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1\Downloads\"/>
    </mc:Choice>
  </mc:AlternateContent>
  <xr:revisionPtr revIDLastSave="0" documentId="13_ncr:1_{04A3C559-6D64-4C7C-A2FA-2B4D9BCF18AE}" xr6:coauthVersionLast="47" xr6:coauthVersionMax="47" xr10:uidLastSave="{00000000-0000-0000-0000-000000000000}"/>
  <bookViews>
    <workbookView xWindow="-110" yWindow="-110" windowWidth="19420" windowHeight="10300" firstSheet="5" activeTab="9" xr2:uid="{92AAE5EE-B9EE-45A7-94FA-B2A6F6750D53}"/>
  </bookViews>
  <sheets>
    <sheet name="Activos 2022" sheetId="3" r:id="rId1"/>
    <sheet name="Bajas 2022" sheetId="4" r:id="rId2"/>
    <sheet name="Activos 2021" sheetId="5" r:id="rId3"/>
    <sheet name="Bajas 2021" sheetId="6" r:id="rId4"/>
    <sheet name="Activos 2020" sheetId="7" r:id="rId5"/>
    <sheet name="73 0 97" sheetId="2" r:id="rId6"/>
    <sheet name="73" sheetId="9" r:id="rId7"/>
    <sheet name="CBIA" sheetId="10" r:id="rId8"/>
    <sheet name="97" sheetId="11" r:id="rId9"/>
    <sheet name="Plan de pensiones" sheetId="13" r:id="rId10"/>
    <sheet name="Simulación" sheetId="12" r:id="rId11"/>
  </sheets>
  <externalReferences>
    <externalReference r:id="rId12"/>
    <externalReference r:id="rId13"/>
    <externalReference r:id="rId14"/>
    <externalReference r:id="rId15"/>
  </externalReferences>
  <definedNames>
    <definedName name="_xlnm._FilterDatabase" localSheetId="5" hidden="1">'73 0 97'!$B$2:$J$916</definedName>
    <definedName name="_xlnm._FilterDatabase" localSheetId="4" hidden="1">'Activos 2020'!$A$2:$DZ$860</definedName>
    <definedName name="_xlnm._FilterDatabase" localSheetId="2" hidden="1">'Activos 2021'!$A$2:$DX$830</definedName>
    <definedName name="_xlnm._FilterDatabase" localSheetId="0" hidden="1">'Activos 2022'!$A$2:$DX$916</definedName>
    <definedName name="_xlnm._FilterDatabase" localSheetId="3" hidden="1">'Bajas 2021'!$B$2:$K$106</definedName>
    <definedName name="_xlnm._FilterDatabase" localSheetId="1" hidden="1">'Bajas 2022'!$A$2:$EC$271</definedName>
    <definedName name="_PAR1" localSheetId="4">'[1]Nathal 2009'!$H$14:$R$16</definedName>
    <definedName name="_PAR1" localSheetId="2">'[1]Nathal 2009'!$H$14:$R$16</definedName>
    <definedName name="_PAR1" localSheetId="0">'[1]Nathal 2009'!$H$14:$R$16</definedName>
    <definedName name="_PAR1" localSheetId="3">'[1]Nathal 2009'!$H$14:$R$16</definedName>
    <definedName name="_PAR1" localSheetId="1">'[1]Nathal 2009'!$H$14:$R$16</definedName>
    <definedName name="_PAR1">'[2]Nathal 2009'!$H$14:$R$16</definedName>
    <definedName name="_xlnm.Print_Area" localSheetId="4">'Activos 2020'!$A$1:$I$864</definedName>
    <definedName name="_xlnm.Print_Area" localSheetId="2">'Activos 2021'!$A$1:$H$835</definedName>
    <definedName name="_xlnm.Print_Area" localSheetId="0">'Activos 2022'!$A$1:$H$920</definedName>
    <definedName name="_xlnm.Print_Area" localSheetId="3">'Bajas 2021'!$A$1:$K$760</definedName>
    <definedName name="_xlnm.Print_Area" localSheetId="1">'Bajas 2022'!$A$1:$L$274</definedName>
    <definedName name="asd">#REF!</definedName>
    <definedName name="BASE">'[3]Base Control'!$C$5:$CH$104</definedName>
    <definedName name="CLIENTES" localSheetId="4">'[1]CLIENTES_11-08'!$A$3:$IV$1001</definedName>
    <definedName name="CLIENTES" localSheetId="2">'[1]CLIENTES_11-08'!$A$3:$IV$1001</definedName>
    <definedName name="CLIENTES" localSheetId="0">'[1]CLIENTES_11-08'!$A$3:$IV$1001</definedName>
    <definedName name="CLIENTES" localSheetId="3">'[1]CLIENTES_11-08'!$A$3:$IV$1001</definedName>
    <definedName name="CLIENTES" localSheetId="1">'[1]CLIENTES_11-08'!$A$3:$IV$1001</definedName>
    <definedName name="CLIENTES">'[2]CLIENTES_11-08'!$3:$1001</definedName>
    <definedName name="Clientes1" localSheetId="4">[4]CLIENTES_NATHAL!$A$3:$IV$1001</definedName>
    <definedName name="Clientes1" localSheetId="2">[4]CLIENTES_NATHAL!$A$3:$IV$1001</definedName>
    <definedName name="Clientes1" localSheetId="0">[4]CLIENTES_NATHAL!$A$3:$IV$1001</definedName>
    <definedName name="Clientes1" localSheetId="3">[4]CLIENTES_NATHAL!$A$3:$IV$1001</definedName>
    <definedName name="Clientes1" localSheetId="1">[4]CLIENTES_NATHAL!$A$3:$IV$1001</definedName>
    <definedName name="Clientes1">[4]CLIENTES_NATHAL!$3:$1001</definedName>
    <definedName name="klñkm" localSheetId="4">#REF!</definedName>
    <definedName name="klñkm" localSheetId="2">#REF!</definedName>
    <definedName name="klñkm" localSheetId="0">#REF!</definedName>
    <definedName name="klñkm" localSheetId="3">#REF!</definedName>
    <definedName name="klñkm" localSheetId="1">#REF!</definedName>
    <definedName name="klñkm">#REF!</definedName>
    <definedName name="M_Empresas">'[3]Base Control'!$C$5:$C$104</definedName>
    <definedName name="NO" hidden="1">{#N/A,#N/A,FALSE,"CENSO";#N/A,#N/A,FALSE,"FINANCIAMIENTO";#N/A,#N/A,FALSE,"D3PENSION";#N/A,#N/A,FALSE,"ACT PP";#N/A,#N/A,FALSE,"D3ANTIGÜEDAD";#N/A,#N/A,FALSE,"ACT PA";#N/A,#N/A,FALSE,"Notas al D-3";#N/A,#N/A,FALSE,"AMORTIZACION DE TRANSICION"}</definedName>
    <definedName name="OMAR" hidden="1">{#N/A,#N/A,FALSE,"CENSO";#N/A,#N/A,FALSE,"FINANCIAMIENTO";#N/A,#N/A,FALSE,"D3PENSION";#N/A,#N/A,FALSE,"ACT PP";#N/A,#N/A,FALSE,"D3ANTIGÜEDAD";#N/A,#N/A,FALSE,"ACT PA";#N/A,#N/A,FALSE,"Notas al D-3";#N/A,#N/A,FALSE,"AMORTIZACION DE TRANSICION"}</definedName>
    <definedName name="tabla" localSheetId="4">#REF!</definedName>
    <definedName name="tabla" localSheetId="2">#REF!</definedName>
    <definedName name="tabla" localSheetId="0">#REF!</definedName>
    <definedName name="tabla" localSheetId="3">#REF!</definedName>
    <definedName name="tabla" localSheetId="1">#REF!</definedName>
    <definedName name="tabla">#REF!</definedName>
    <definedName name="wrn.GERLING." hidden="1">{#N/A,#N/A,FALSE,"CENSO";#N/A,#N/A,FALSE,"FINANCIAMIENTO";#N/A,#N/A,FALSE,"D3PENSION";#N/A,#N/A,FALSE,"ACT PP";#N/A,#N/A,FALSE,"D3ANTIGÜEDAD";#N/A,#N/A,FALSE,"ACT PA";#N/A,#N/A,FALSE,"Notas al D-3";#N/A,#N/A,FALSE,"AMORTIZACION DE TRANSICION"}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2" l="1"/>
  <c r="F9" i="12"/>
  <c r="H9" i="12"/>
  <c r="E9" i="12"/>
  <c r="E7" i="12"/>
  <c r="O685" i="11"/>
  <c r="P685" i="11" s="1"/>
  <c r="Q685" i="11" s="1"/>
  <c r="S685" i="11" s="1"/>
  <c r="R685" i="11"/>
  <c r="N685" i="11"/>
  <c r="M685" i="11"/>
  <c r="L685" i="11"/>
  <c r="K685" i="11"/>
  <c r="I684" i="11"/>
  <c r="M233" i="9"/>
  <c r="Q233" i="9"/>
  <c r="N232" i="9"/>
  <c r="J233" i="9"/>
  <c r="F233" i="9"/>
  <c r="K233" i="9" s="1"/>
  <c r="O2" i="11"/>
  <c r="J9" i="12" l="1"/>
  <c r="K9" i="12"/>
  <c r="H7" i="12"/>
  <c r="L233" i="9"/>
  <c r="N233" i="9" s="1"/>
  <c r="O233" i="9" s="1"/>
  <c r="J7" i="12" l="1"/>
  <c r="K7" i="12"/>
  <c r="P233" i="9"/>
  <c r="R233" i="9" s="1"/>
  <c r="S233" i="9" s="1"/>
  <c r="W8" i="11" l="1"/>
  <c r="W9" i="11"/>
  <c r="W11" i="11" s="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393" i="11"/>
  <c r="G394" i="11"/>
  <c r="G395" i="11"/>
  <c r="G396" i="11"/>
  <c r="G397" i="11"/>
  <c r="G398" i="11"/>
  <c r="G399" i="11"/>
  <c r="G400" i="11"/>
  <c r="G401" i="11"/>
  <c r="G402" i="11"/>
  <c r="G403" i="11"/>
  <c r="G404" i="11"/>
  <c r="G405" i="11"/>
  <c r="G406" i="11"/>
  <c r="G407" i="11"/>
  <c r="G408" i="11"/>
  <c r="G409" i="11"/>
  <c r="G410" i="11"/>
  <c r="G411" i="11"/>
  <c r="G412" i="11"/>
  <c r="G413" i="11"/>
  <c r="G414" i="11"/>
  <c r="G415" i="11"/>
  <c r="G416" i="11"/>
  <c r="G417" i="11"/>
  <c r="G418" i="11"/>
  <c r="G419" i="11"/>
  <c r="G420" i="11"/>
  <c r="G421" i="11"/>
  <c r="G422" i="11"/>
  <c r="G423" i="11"/>
  <c r="G424" i="11"/>
  <c r="G425" i="11"/>
  <c r="G426" i="11"/>
  <c r="G427" i="11"/>
  <c r="G428" i="11"/>
  <c r="G429" i="11"/>
  <c r="G430" i="11"/>
  <c r="G431" i="11"/>
  <c r="G432" i="11"/>
  <c r="G433" i="11"/>
  <c r="G434" i="11"/>
  <c r="G435" i="11"/>
  <c r="G436" i="11"/>
  <c r="G437" i="11"/>
  <c r="G438" i="11"/>
  <c r="G439" i="11"/>
  <c r="G440" i="11"/>
  <c r="G441" i="11"/>
  <c r="G442" i="11"/>
  <c r="G443" i="11"/>
  <c r="G444" i="11"/>
  <c r="G445" i="11"/>
  <c r="G446" i="11"/>
  <c r="G447" i="11"/>
  <c r="G448" i="11"/>
  <c r="G449" i="11"/>
  <c r="G450" i="11"/>
  <c r="G451" i="11"/>
  <c r="G452" i="11"/>
  <c r="G453" i="11"/>
  <c r="G454" i="11"/>
  <c r="G455" i="11"/>
  <c r="G456" i="11"/>
  <c r="G457" i="11"/>
  <c r="G458" i="11"/>
  <c r="G459" i="11"/>
  <c r="G460" i="11"/>
  <c r="G461" i="11"/>
  <c r="G462" i="11"/>
  <c r="G463" i="11"/>
  <c r="G464" i="11"/>
  <c r="G465" i="11"/>
  <c r="G466" i="11"/>
  <c r="G467" i="11"/>
  <c r="G468" i="11"/>
  <c r="G469" i="11"/>
  <c r="G470" i="11"/>
  <c r="G471" i="11"/>
  <c r="G472" i="11"/>
  <c r="G473" i="11"/>
  <c r="G474" i="11"/>
  <c r="G475" i="11"/>
  <c r="G476" i="11"/>
  <c r="G477" i="11"/>
  <c r="G478" i="11"/>
  <c r="G479" i="11"/>
  <c r="G480" i="11"/>
  <c r="G481" i="11"/>
  <c r="G482" i="11"/>
  <c r="G483" i="11"/>
  <c r="G484" i="11"/>
  <c r="G485" i="11"/>
  <c r="G486" i="11"/>
  <c r="G487" i="11"/>
  <c r="G488" i="11"/>
  <c r="G489" i="11"/>
  <c r="G490" i="11"/>
  <c r="G491" i="11"/>
  <c r="G492" i="11"/>
  <c r="G493" i="11"/>
  <c r="G494" i="11"/>
  <c r="G495" i="11"/>
  <c r="G496" i="11"/>
  <c r="G497" i="11"/>
  <c r="G498" i="11"/>
  <c r="G499" i="11"/>
  <c r="G500" i="11"/>
  <c r="G501" i="11"/>
  <c r="G502" i="11"/>
  <c r="G503" i="11"/>
  <c r="G504" i="11"/>
  <c r="G505" i="11"/>
  <c r="G506" i="11"/>
  <c r="G507" i="11"/>
  <c r="G508" i="11"/>
  <c r="G509" i="11"/>
  <c r="G510" i="11"/>
  <c r="G511" i="11"/>
  <c r="G512" i="11"/>
  <c r="G513" i="11"/>
  <c r="G514" i="11"/>
  <c r="G515" i="11"/>
  <c r="G516" i="11"/>
  <c r="G517" i="11"/>
  <c r="G518" i="11"/>
  <c r="G519" i="11"/>
  <c r="G520" i="11"/>
  <c r="G521" i="11"/>
  <c r="G522" i="11"/>
  <c r="G523" i="11"/>
  <c r="G524" i="11"/>
  <c r="G525" i="11"/>
  <c r="G526" i="11"/>
  <c r="G527" i="11"/>
  <c r="G528" i="11"/>
  <c r="G529" i="11"/>
  <c r="G530" i="11"/>
  <c r="G531" i="11"/>
  <c r="G532" i="11"/>
  <c r="G533" i="11"/>
  <c r="G534" i="11"/>
  <c r="G535" i="11"/>
  <c r="G536" i="11"/>
  <c r="G537" i="11"/>
  <c r="G538" i="11"/>
  <c r="G539" i="11"/>
  <c r="G540" i="11"/>
  <c r="G541" i="11"/>
  <c r="G542" i="11"/>
  <c r="G543" i="11"/>
  <c r="G544" i="11"/>
  <c r="G545" i="11"/>
  <c r="G546" i="11"/>
  <c r="G547" i="11"/>
  <c r="G548" i="11"/>
  <c r="G549" i="11"/>
  <c r="G550" i="11"/>
  <c r="G551" i="11"/>
  <c r="G552" i="11"/>
  <c r="G553" i="11"/>
  <c r="G554" i="11"/>
  <c r="G555" i="11"/>
  <c r="G556" i="11"/>
  <c r="G557" i="11"/>
  <c r="G558" i="11"/>
  <c r="G559" i="11"/>
  <c r="G560" i="11"/>
  <c r="G561" i="11"/>
  <c r="G562" i="11"/>
  <c r="G563" i="11"/>
  <c r="G564" i="11"/>
  <c r="G565" i="11"/>
  <c r="G566" i="11"/>
  <c r="G567" i="11"/>
  <c r="G568" i="11"/>
  <c r="G569" i="11"/>
  <c r="G570" i="11"/>
  <c r="G571" i="11"/>
  <c r="G572" i="11"/>
  <c r="G573" i="11"/>
  <c r="G574" i="11"/>
  <c r="G575" i="11"/>
  <c r="G576" i="11"/>
  <c r="G577" i="11"/>
  <c r="G578" i="11"/>
  <c r="G579" i="11"/>
  <c r="G580" i="11"/>
  <c r="G581" i="11"/>
  <c r="G582" i="11"/>
  <c r="G583" i="11"/>
  <c r="G584" i="11"/>
  <c r="G585" i="11"/>
  <c r="G586" i="11"/>
  <c r="G587" i="11"/>
  <c r="G588" i="11"/>
  <c r="G589" i="11"/>
  <c r="G590" i="11"/>
  <c r="G591" i="11"/>
  <c r="G592" i="11"/>
  <c r="G593" i="11"/>
  <c r="G594" i="11"/>
  <c r="G595" i="11"/>
  <c r="G596" i="11"/>
  <c r="G597" i="11"/>
  <c r="G598" i="11"/>
  <c r="G599" i="11"/>
  <c r="G600" i="11"/>
  <c r="G601" i="11"/>
  <c r="G602" i="11"/>
  <c r="G603" i="11"/>
  <c r="G604" i="11"/>
  <c r="G605" i="11"/>
  <c r="G606" i="11"/>
  <c r="G607" i="11"/>
  <c r="G608" i="11"/>
  <c r="G609" i="11"/>
  <c r="G610" i="11"/>
  <c r="G611" i="11"/>
  <c r="G612" i="11"/>
  <c r="G613" i="11"/>
  <c r="G614" i="11"/>
  <c r="G615" i="11"/>
  <c r="G616" i="11"/>
  <c r="G617" i="11"/>
  <c r="G618" i="11"/>
  <c r="G619" i="11"/>
  <c r="G620" i="11"/>
  <c r="G621" i="11"/>
  <c r="G622" i="11"/>
  <c r="G623" i="11"/>
  <c r="G624" i="11"/>
  <c r="G625" i="11"/>
  <c r="G626" i="11"/>
  <c r="G627" i="11"/>
  <c r="G628" i="11"/>
  <c r="G629" i="11"/>
  <c r="G630" i="11"/>
  <c r="G631" i="11"/>
  <c r="G632" i="11"/>
  <c r="G633" i="11"/>
  <c r="G634" i="11"/>
  <c r="G635" i="11"/>
  <c r="G636" i="11"/>
  <c r="G637" i="11"/>
  <c r="G638" i="11"/>
  <c r="G639" i="11"/>
  <c r="G640" i="11"/>
  <c r="G641" i="11"/>
  <c r="G642" i="11"/>
  <c r="G643" i="11"/>
  <c r="G644" i="11"/>
  <c r="G645" i="11"/>
  <c r="G646" i="11"/>
  <c r="G647" i="11"/>
  <c r="G648" i="11"/>
  <c r="G649" i="11"/>
  <c r="G650" i="11"/>
  <c r="G651" i="11"/>
  <c r="G652" i="11"/>
  <c r="G653" i="11"/>
  <c r="G654" i="11"/>
  <c r="G655" i="11"/>
  <c r="G656" i="11"/>
  <c r="G657" i="11"/>
  <c r="G658" i="11"/>
  <c r="G659" i="11"/>
  <c r="G660" i="11"/>
  <c r="G661" i="11"/>
  <c r="G662" i="11"/>
  <c r="G663" i="11"/>
  <c r="G664" i="11"/>
  <c r="G665" i="11"/>
  <c r="G666" i="11"/>
  <c r="G667" i="11"/>
  <c r="G668" i="11"/>
  <c r="G669" i="11"/>
  <c r="G670" i="11"/>
  <c r="G671" i="11"/>
  <c r="G672" i="11"/>
  <c r="G673" i="11"/>
  <c r="G674" i="11"/>
  <c r="G675" i="11"/>
  <c r="G676" i="11"/>
  <c r="G677" i="11"/>
  <c r="G678" i="11"/>
  <c r="G679" i="11"/>
  <c r="G680" i="11"/>
  <c r="G681" i="11"/>
  <c r="G682" i="11"/>
  <c r="G683" i="11"/>
  <c r="G684" i="11"/>
  <c r="G2" i="11"/>
  <c r="Y2" i="11"/>
  <c r="W7" i="11"/>
  <c r="D3" i="12" l="1"/>
  <c r="W10" i="11"/>
  <c r="W13" i="11"/>
  <c r="H3" i="11"/>
  <c r="L3" i="11" s="1"/>
  <c r="H4" i="11"/>
  <c r="L4" i="11" s="1"/>
  <c r="H5" i="11"/>
  <c r="L5" i="11" s="1"/>
  <c r="H6" i="11"/>
  <c r="L6" i="11" s="1"/>
  <c r="H7" i="11"/>
  <c r="L7" i="11" s="1"/>
  <c r="H8" i="11"/>
  <c r="L8" i="11" s="1"/>
  <c r="H9" i="11"/>
  <c r="L9" i="11" s="1"/>
  <c r="H10" i="11"/>
  <c r="L10" i="11" s="1"/>
  <c r="H11" i="11"/>
  <c r="L11" i="11" s="1"/>
  <c r="H12" i="11"/>
  <c r="L12" i="11" s="1"/>
  <c r="H13" i="11"/>
  <c r="L13" i="11" s="1"/>
  <c r="H14" i="11"/>
  <c r="L14" i="11" s="1"/>
  <c r="H15" i="11"/>
  <c r="L15" i="11" s="1"/>
  <c r="H16" i="11"/>
  <c r="L16" i="11" s="1"/>
  <c r="H17" i="11"/>
  <c r="L17" i="11" s="1"/>
  <c r="H18" i="11"/>
  <c r="L18" i="11" s="1"/>
  <c r="H19" i="11"/>
  <c r="L19" i="11" s="1"/>
  <c r="H20" i="11"/>
  <c r="L20" i="11" s="1"/>
  <c r="H21" i="11"/>
  <c r="L21" i="11" s="1"/>
  <c r="H22" i="11"/>
  <c r="L22" i="11" s="1"/>
  <c r="H23" i="11"/>
  <c r="L23" i="11" s="1"/>
  <c r="H24" i="11"/>
  <c r="L24" i="11" s="1"/>
  <c r="H25" i="11"/>
  <c r="L25" i="11" s="1"/>
  <c r="H26" i="11"/>
  <c r="L26" i="11" s="1"/>
  <c r="H27" i="11"/>
  <c r="L27" i="11" s="1"/>
  <c r="H28" i="11"/>
  <c r="L28" i="11" s="1"/>
  <c r="H29" i="11"/>
  <c r="L29" i="11" s="1"/>
  <c r="H30" i="11"/>
  <c r="L30" i="11" s="1"/>
  <c r="H31" i="11"/>
  <c r="L31" i="11" s="1"/>
  <c r="H32" i="11"/>
  <c r="L32" i="11" s="1"/>
  <c r="H33" i="11"/>
  <c r="L33" i="11" s="1"/>
  <c r="H34" i="11"/>
  <c r="L34" i="11" s="1"/>
  <c r="H35" i="11"/>
  <c r="L35" i="11" s="1"/>
  <c r="H36" i="11"/>
  <c r="L36" i="11" s="1"/>
  <c r="H37" i="11"/>
  <c r="L37" i="11" s="1"/>
  <c r="H38" i="11"/>
  <c r="L38" i="11" s="1"/>
  <c r="H39" i="11"/>
  <c r="L39" i="11" s="1"/>
  <c r="H40" i="11"/>
  <c r="L40" i="11" s="1"/>
  <c r="H41" i="11"/>
  <c r="L41" i="11" s="1"/>
  <c r="H42" i="11"/>
  <c r="L42" i="11" s="1"/>
  <c r="H43" i="11"/>
  <c r="L43" i="11" s="1"/>
  <c r="H44" i="11"/>
  <c r="L44" i="11" s="1"/>
  <c r="H45" i="11"/>
  <c r="L45" i="11" s="1"/>
  <c r="H46" i="11"/>
  <c r="L46" i="11" s="1"/>
  <c r="H47" i="11"/>
  <c r="L47" i="11" s="1"/>
  <c r="H48" i="11"/>
  <c r="L48" i="11" s="1"/>
  <c r="H49" i="11"/>
  <c r="L49" i="11" s="1"/>
  <c r="H50" i="11"/>
  <c r="L50" i="11" s="1"/>
  <c r="H51" i="11"/>
  <c r="L51" i="11" s="1"/>
  <c r="H52" i="11"/>
  <c r="L52" i="11" s="1"/>
  <c r="H53" i="11"/>
  <c r="L53" i="11" s="1"/>
  <c r="H54" i="11"/>
  <c r="L54" i="11" s="1"/>
  <c r="H55" i="11"/>
  <c r="L55" i="11" s="1"/>
  <c r="H56" i="11"/>
  <c r="L56" i="11" s="1"/>
  <c r="H57" i="11"/>
  <c r="L57" i="11" s="1"/>
  <c r="H58" i="11"/>
  <c r="L58" i="11" s="1"/>
  <c r="H59" i="11"/>
  <c r="L59" i="11" s="1"/>
  <c r="H60" i="11"/>
  <c r="L60" i="11" s="1"/>
  <c r="H61" i="11"/>
  <c r="L61" i="11" s="1"/>
  <c r="H62" i="11"/>
  <c r="L62" i="11" s="1"/>
  <c r="H63" i="11"/>
  <c r="L63" i="11" s="1"/>
  <c r="H64" i="11"/>
  <c r="L64" i="11" s="1"/>
  <c r="H65" i="11"/>
  <c r="L65" i="11" s="1"/>
  <c r="H66" i="11"/>
  <c r="L66" i="11" s="1"/>
  <c r="H67" i="11"/>
  <c r="L67" i="11" s="1"/>
  <c r="H68" i="11"/>
  <c r="L68" i="11" s="1"/>
  <c r="H69" i="11"/>
  <c r="L69" i="11" s="1"/>
  <c r="H70" i="11"/>
  <c r="L70" i="11" s="1"/>
  <c r="H71" i="11"/>
  <c r="L71" i="11" s="1"/>
  <c r="H72" i="11"/>
  <c r="L72" i="11" s="1"/>
  <c r="H73" i="11"/>
  <c r="L73" i="11" s="1"/>
  <c r="H74" i="11"/>
  <c r="L74" i="11" s="1"/>
  <c r="H75" i="11"/>
  <c r="L75" i="11" s="1"/>
  <c r="H76" i="11"/>
  <c r="L76" i="11" s="1"/>
  <c r="H77" i="11"/>
  <c r="L77" i="11" s="1"/>
  <c r="H78" i="11"/>
  <c r="L78" i="11" s="1"/>
  <c r="H79" i="11"/>
  <c r="L79" i="11" s="1"/>
  <c r="H80" i="11"/>
  <c r="L80" i="11" s="1"/>
  <c r="H81" i="11"/>
  <c r="L81" i="11" s="1"/>
  <c r="H82" i="11"/>
  <c r="L82" i="11" s="1"/>
  <c r="H83" i="11"/>
  <c r="L83" i="11" s="1"/>
  <c r="H84" i="11"/>
  <c r="L84" i="11" s="1"/>
  <c r="H85" i="11"/>
  <c r="L85" i="11" s="1"/>
  <c r="H86" i="11"/>
  <c r="L86" i="11" s="1"/>
  <c r="H87" i="11"/>
  <c r="L87" i="11" s="1"/>
  <c r="H88" i="11"/>
  <c r="L88" i="11" s="1"/>
  <c r="H89" i="11"/>
  <c r="L89" i="11" s="1"/>
  <c r="H90" i="11"/>
  <c r="L90" i="11" s="1"/>
  <c r="H91" i="11"/>
  <c r="L91" i="11" s="1"/>
  <c r="H92" i="11"/>
  <c r="L92" i="11" s="1"/>
  <c r="H93" i="11"/>
  <c r="L93" i="11" s="1"/>
  <c r="H94" i="11"/>
  <c r="L94" i="11" s="1"/>
  <c r="H95" i="11"/>
  <c r="L95" i="11" s="1"/>
  <c r="H96" i="11"/>
  <c r="L96" i="11" s="1"/>
  <c r="H97" i="11"/>
  <c r="L97" i="11" s="1"/>
  <c r="H98" i="11"/>
  <c r="L98" i="11" s="1"/>
  <c r="H99" i="11"/>
  <c r="L99" i="11" s="1"/>
  <c r="H100" i="11"/>
  <c r="L100" i="11" s="1"/>
  <c r="H101" i="11"/>
  <c r="L101" i="11" s="1"/>
  <c r="H102" i="11"/>
  <c r="L102" i="11" s="1"/>
  <c r="H103" i="11"/>
  <c r="L103" i="11" s="1"/>
  <c r="H104" i="11"/>
  <c r="L104" i="11" s="1"/>
  <c r="H105" i="11"/>
  <c r="L105" i="11" s="1"/>
  <c r="H106" i="11"/>
  <c r="L106" i="11" s="1"/>
  <c r="H107" i="11"/>
  <c r="L107" i="11" s="1"/>
  <c r="H108" i="11"/>
  <c r="L108" i="11" s="1"/>
  <c r="H109" i="11"/>
  <c r="L109" i="11" s="1"/>
  <c r="H110" i="11"/>
  <c r="L110" i="11" s="1"/>
  <c r="H111" i="11"/>
  <c r="L111" i="11" s="1"/>
  <c r="H112" i="11"/>
  <c r="L112" i="11" s="1"/>
  <c r="H113" i="11"/>
  <c r="L113" i="11" s="1"/>
  <c r="H114" i="11"/>
  <c r="L114" i="11" s="1"/>
  <c r="H115" i="11"/>
  <c r="L115" i="11" s="1"/>
  <c r="H116" i="11"/>
  <c r="L116" i="11" s="1"/>
  <c r="H117" i="11"/>
  <c r="L117" i="11" s="1"/>
  <c r="H118" i="11"/>
  <c r="L118" i="11" s="1"/>
  <c r="H119" i="11"/>
  <c r="L119" i="11" s="1"/>
  <c r="H120" i="11"/>
  <c r="L120" i="11" s="1"/>
  <c r="H121" i="11"/>
  <c r="L121" i="11" s="1"/>
  <c r="H122" i="11"/>
  <c r="L122" i="11" s="1"/>
  <c r="H123" i="11"/>
  <c r="L123" i="11" s="1"/>
  <c r="H124" i="11"/>
  <c r="L124" i="11" s="1"/>
  <c r="H125" i="11"/>
  <c r="L125" i="11" s="1"/>
  <c r="H126" i="11"/>
  <c r="L126" i="11" s="1"/>
  <c r="H127" i="11"/>
  <c r="L127" i="11" s="1"/>
  <c r="H128" i="11"/>
  <c r="L128" i="11" s="1"/>
  <c r="H129" i="11"/>
  <c r="L129" i="11" s="1"/>
  <c r="H130" i="11"/>
  <c r="L130" i="11" s="1"/>
  <c r="H131" i="11"/>
  <c r="L131" i="11" s="1"/>
  <c r="H132" i="11"/>
  <c r="L132" i="11" s="1"/>
  <c r="H133" i="11"/>
  <c r="L133" i="11" s="1"/>
  <c r="H134" i="11"/>
  <c r="L134" i="11" s="1"/>
  <c r="H135" i="11"/>
  <c r="L135" i="11" s="1"/>
  <c r="H136" i="11"/>
  <c r="L136" i="11" s="1"/>
  <c r="H137" i="11"/>
  <c r="L137" i="11" s="1"/>
  <c r="H138" i="11"/>
  <c r="L138" i="11" s="1"/>
  <c r="H139" i="11"/>
  <c r="L139" i="11" s="1"/>
  <c r="H140" i="11"/>
  <c r="L140" i="11" s="1"/>
  <c r="H141" i="11"/>
  <c r="L141" i="11" s="1"/>
  <c r="H142" i="11"/>
  <c r="L142" i="11" s="1"/>
  <c r="H143" i="11"/>
  <c r="L143" i="11" s="1"/>
  <c r="H144" i="11"/>
  <c r="L144" i="11" s="1"/>
  <c r="H145" i="11"/>
  <c r="L145" i="11" s="1"/>
  <c r="H146" i="11"/>
  <c r="L146" i="11" s="1"/>
  <c r="H147" i="11"/>
  <c r="L147" i="11" s="1"/>
  <c r="H148" i="11"/>
  <c r="L148" i="11" s="1"/>
  <c r="H149" i="11"/>
  <c r="L149" i="11" s="1"/>
  <c r="H150" i="11"/>
  <c r="L150" i="11" s="1"/>
  <c r="H151" i="11"/>
  <c r="L151" i="11" s="1"/>
  <c r="H152" i="11"/>
  <c r="L152" i="11" s="1"/>
  <c r="H153" i="11"/>
  <c r="L153" i="11" s="1"/>
  <c r="H154" i="11"/>
  <c r="L154" i="11" s="1"/>
  <c r="H155" i="11"/>
  <c r="L155" i="11" s="1"/>
  <c r="H156" i="11"/>
  <c r="L156" i="11" s="1"/>
  <c r="H157" i="11"/>
  <c r="L157" i="11" s="1"/>
  <c r="H158" i="11"/>
  <c r="L158" i="11" s="1"/>
  <c r="H159" i="11"/>
  <c r="L159" i="11" s="1"/>
  <c r="H160" i="11"/>
  <c r="L160" i="11" s="1"/>
  <c r="H161" i="11"/>
  <c r="L161" i="11" s="1"/>
  <c r="H162" i="11"/>
  <c r="L162" i="11" s="1"/>
  <c r="H163" i="11"/>
  <c r="L163" i="11" s="1"/>
  <c r="H164" i="11"/>
  <c r="L164" i="11" s="1"/>
  <c r="H165" i="11"/>
  <c r="L165" i="11" s="1"/>
  <c r="H166" i="11"/>
  <c r="L166" i="11" s="1"/>
  <c r="H167" i="11"/>
  <c r="L167" i="11" s="1"/>
  <c r="H168" i="11"/>
  <c r="L168" i="11" s="1"/>
  <c r="H169" i="11"/>
  <c r="L169" i="11" s="1"/>
  <c r="H170" i="11"/>
  <c r="L170" i="11" s="1"/>
  <c r="H171" i="11"/>
  <c r="L171" i="11" s="1"/>
  <c r="H172" i="11"/>
  <c r="L172" i="11" s="1"/>
  <c r="H173" i="11"/>
  <c r="L173" i="11" s="1"/>
  <c r="H174" i="11"/>
  <c r="L174" i="11" s="1"/>
  <c r="H175" i="11"/>
  <c r="L175" i="11" s="1"/>
  <c r="H176" i="11"/>
  <c r="L176" i="11" s="1"/>
  <c r="H177" i="11"/>
  <c r="L177" i="11" s="1"/>
  <c r="H178" i="11"/>
  <c r="L178" i="11" s="1"/>
  <c r="H179" i="11"/>
  <c r="L179" i="11" s="1"/>
  <c r="H180" i="11"/>
  <c r="L180" i="11" s="1"/>
  <c r="H181" i="11"/>
  <c r="L181" i="11" s="1"/>
  <c r="H182" i="11"/>
  <c r="L182" i="11" s="1"/>
  <c r="H183" i="11"/>
  <c r="L183" i="11" s="1"/>
  <c r="H184" i="11"/>
  <c r="L184" i="11" s="1"/>
  <c r="H185" i="11"/>
  <c r="L185" i="11" s="1"/>
  <c r="H186" i="11"/>
  <c r="L186" i="11" s="1"/>
  <c r="H187" i="11"/>
  <c r="L187" i="11" s="1"/>
  <c r="H188" i="11"/>
  <c r="L188" i="11" s="1"/>
  <c r="H189" i="11"/>
  <c r="L189" i="11" s="1"/>
  <c r="H190" i="11"/>
  <c r="L190" i="11" s="1"/>
  <c r="H191" i="11"/>
  <c r="L191" i="11" s="1"/>
  <c r="H192" i="11"/>
  <c r="L192" i="11" s="1"/>
  <c r="H193" i="11"/>
  <c r="L193" i="11" s="1"/>
  <c r="H194" i="11"/>
  <c r="L194" i="11" s="1"/>
  <c r="H195" i="11"/>
  <c r="L195" i="11" s="1"/>
  <c r="H196" i="11"/>
  <c r="L196" i="11" s="1"/>
  <c r="H197" i="11"/>
  <c r="L197" i="11" s="1"/>
  <c r="H198" i="11"/>
  <c r="L198" i="11" s="1"/>
  <c r="H199" i="11"/>
  <c r="L199" i="11" s="1"/>
  <c r="H200" i="11"/>
  <c r="L200" i="11" s="1"/>
  <c r="H201" i="11"/>
  <c r="L201" i="11" s="1"/>
  <c r="H202" i="11"/>
  <c r="L202" i="11" s="1"/>
  <c r="H203" i="11"/>
  <c r="L203" i="11" s="1"/>
  <c r="H204" i="11"/>
  <c r="L204" i="11" s="1"/>
  <c r="H205" i="11"/>
  <c r="L205" i="11" s="1"/>
  <c r="H206" i="11"/>
  <c r="L206" i="11" s="1"/>
  <c r="H207" i="11"/>
  <c r="L207" i="11" s="1"/>
  <c r="H208" i="11"/>
  <c r="L208" i="11" s="1"/>
  <c r="H209" i="11"/>
  <c r="L209" i="11" s="1"/>
  <c r="H210" i="11"/>
  <c r="L210" i="11" s="1"/>
  <c r="H211" i="11"/>
  <c r="L211" i="11" s="1"/>
  <c r="H212" i="11"/>
  <c r="L212" i="11" s="1"/>
  <c r="H213" i="11"/>
  <c r="L213" i="11" s="1"/>
  <c r="H214" i="11"/>
  <c r="L214" i="11" s="1"/>
  <c r="H215" i="11"/>
  <c r="L215" i="11" s="1"/>
  <c r="H216" i="11"/>
  <c r="L216" i="11" s="1"/>
  <c r="H217" i="11"/>
  <c r="L217" i="11" s="1"/>
  <c r="H218" i="11"/>
  <c r="L218" i="11" s="1"/>
  <c r="H219" i="11"/>
  <c r="L219" i="11" s="1"/>
  <c r="H220" i="11"/>
  <c r="L220" i="11" s="1"/>
  <c r="H221" i="11"/>
  <c r="L221" i="11" s="1"/>
  <c r="H222" i="11"/>
  <c r="L222" i="11" s="1"/>
  <c r="H223" i="11"/>
  <c r="L223" i="11" s="1"/>
  <c r="H224" i="11"/>
  <c r="L224" i="11" s="1"/>
  <c r="H225" i="11"/>
  <c r="L225" i="11" s="1"/>
  <c r="H226" i="11"/>
  <c r="L226" i="11" s="1"/>
  <c r="H227" i="11"/>
  <c r="L227" i="11" s="1"/>
  <c r="H228" i="11"/>
  <c r="L228" i="11" s="1"/>
  <c r="H229" i="11"/>
  <c r="L229" i="11" s="1"/>
  <c r="H230" i="11"/>
  <c r="L230" i="11" s="1"/>
  <c r="H231" i="11"/>
  <c r="L231" i="11" s="1"/>
  <c r="H232" i="11"/>
  <c r="L232" i="11" s="1"/>
  <c r="H233" i="11"/>
  <c r="L233" i="11" s="1"/>
  <c r="H234" i="11"/>
  <c r="L234" i="11" s="1"/>
  <c r="H235" i="11"/>
  <c r="L235" i="11" s="1"/>
  <c r="H236" i="11"/>
  <c r="L236" i="11" s="1"/>
  <c r="H237" i="11"/>
  <c r="L237" i="11" s="1"/>
  <c r="H238" i="11"/>
  <c r="L238" i="11" s="1"/>
  <c r="H239" i="11"/>
  <c r="L239" i="11" s="1"/>
  <c r="H240" i="11"/>
  <c r="L240" i="11" s="1"/>
  <c r="H241" i="11"/>
  <c r="L241" i="11" s="1"/>
  <c r="H242" i="11"/>
  <c r="L242" i="11" s="1"/>
  <c r="H243" i="11"/>
  <c r="L243" i="11" s="1"/>
  <c r="H244" i="11"/>
  <c r="L244" i="11" s="1"/>
  <c r="H245" i="11"/>
  <c r="L245" i="11" s="1"/>
  <c r="H246" i="11"/>
  <c r="L246" i="11" s="1"/>
  <c r="H247" i="11"/>
  <c r="L247" i="11" s="1"/>
  <c r="H248" i="11"/>
  <c r="L248" i="11" s="1"/>
  <c r="H249" i="11"/>
  <c r="L249" i="11" s="1"/>
  <c r="H250" i="11"/>
  <c r="L250" i="11" s="1"/>
  <c r="H251" i="11"/>
  <c r="L251" i="11" s="1"/>
  <c r="H252" i="11"/>
  <c r="L252" i="11" s="1"/>
  <c r="H253" i="11"/>
  <c r="L253" i="11" s="1"/>
  <c r="H254" i="11"/>
  <c r="L254" i="11" s="1"/>
  <c r="H255" i="11"/>
  <c r="L255" i="11" s="1"/>
  <c r="H256" i="11"/>
  <c r="L256" i="11" s="1"/>
  <c r="H257" i="11"/>
  <c r="L257" i="11" s="1"/>
  <c r="H258" i="11"/>
  <c r="L258" i="11" s="1"/>
  <c r="H259" i="11"/>
  <c r="L259" i="11" s="1"/>
  <c r="H260" i="11"/>
  <c r="L260" i="11" s="1"/>
  <c r="H261" i="11"/>
  <c r="L261" i="11" s="1"/>
  <c r="H262" i="11"/>
  <c r="L262" i="11" s="1"/>
  <c r="H263" i="11"/>
  <c r="L263" i="11" s="1"/>
  <c r="H264" i="11"/>
  <c r="L264" i="11" s="1"/>
  <c r="H265" i="11"/>
  <c r="L265" i="11" s="1"/>
  <c r="H266" i="11"/>
  <c r="L266" i="11" s="1"/>
  <c r="H267" i="11"/>
  <c r="L267" i="11" s="1"/>
  <c r="H268" i="11"/>
  <c r="L268" i="11" s="1"/>
  <c r="H269" i="11"/>
  <c r="L269" i="11" s="1"/>
  <c r="H270" i="11"/>
  <c r="L270" i="11" s="1"/>
  <c r="H271" i="11"/>
  <c r="L271" i="11" s="1"/>
  <c r="H272" i="11"/>
  <c r="L272" i="11" s="1"/>
  <c r="H273" i="11"/>
  <c r="L273" i="11" s="1"/>
  <c r="H274" i="11"/>
  <c r="L274" i="11" s="1"/>
  <c r="H275" i="11"/>
  <c r="L275" i="11" s="1"/>
  <c r="H276" i="11"/>
  <c r="L276" i="11" s="1"/>
  <c r="H277" i="11"/>
  <c r="L277" i="11" s="1"/>
  <c r="H278" i="11"/>
  <c r="L278" i="11" s="1"/>
  <c r="H279" i="11"/>
  <c r="L279" i="11" s="1"/>
  <c r="H280" i="11"/>
  <c r="L280" i="11" s="1"/>
  <c r="H281" i="11"/>
  <c r="L281" i="11" s="1"/>
  <c r="H282" i="11"/>
  <c r="L282" i="11" s="1"/>
  <c r="H283" i="11"/>
  <c r="L283" i="11" s="1"/>
  <c r="H284" i="11"/>
  <c r="L284" i="11" s="1"/>
  <c r="H285" i="11"/>
  <c r="L285" i="11" s="1"/>
  <c r="H286" i="11"/>
  <c r="L286" i="11" s="1"/>
  <c r="H287" i="11"/>
  <c r="L287" i="11" s="1"/>
  <c r="H288" i="11"/>
  <c r="L288" i="11" s="1"/>
  <c r="H289" i="11"/>
  <c r="L289" i="11" s="1"/>
  <c r="H290" i="11"/>
  <c r="L290" i="11" s="1"/>
  <c r="H291" i="11"/>
  <c r="L291" i="11" s="1"/>
  <c r="H292" i="11"/>
  <c r="L292" i="11" s="1"/>
  <c r="H293" i="11"/>
  <c r="L293" i="11" s="1"/>
  <c r="H294" i="11"/>
  <c r="L294" i="11" s="1"/>
  <c r="H295" i="11"/>
  <c r="L295" i="11" s="1"/>
  <c r="H296" i="11"/>
  <c r="L296" i="11" s="1"/>
  <c r="H297" i="11"/>
  <c r="L297" i="11" s="1"/>
  <c r="H298" i="11"/>
  <c r="L298" i="11" s="1"/>
  <c r="H299" i="11"/>
  <c r="L299" i="11" s="1"/>
  <c r="H300" i="11"/>
  <c r="L300" i="11" s="1"/>
  <c r="H301" i="11"/>
  <c r="L301" i="11" s="1"/>
  <c r="H302" i="11"/>
  <c r="L302" i="11" s="1"/>
  <c r="H303" i="11"/>
  <c r="L303" i="11" s="1"/>
  <c r="H304" i="11"/>
  <c r="L304" i="11" s="1"/>
  <c r="H305" i="11"/>
  <c r="L305" i="11" s="1"/>
  <c r="H306" i="11"/>
  <c r="L306" i="11" s="1"/>
  <c r="H307" i="11"/>
  <c r="L307" i="11" s="1"/>
  <c r="H308" i="11"/>
  <c r="L308" i="11" s="1"/>
  <c r="H309" i="11"/>
  <c r="L309" i="11" s="1"/>
  <c r="H310" i="11"/>
  <c r="L310" i="11" s="1"/>
  <c r="H311" i="11"/>
  <c r="L311" i="11" s="1"/>
  <c r="H312" i="11"/>
  <c r="L312" i="11" s="1"/>
  <c r="H313" i="11"/>
  <c r="L313" i="11" s="1"/>
  <c r="H314" i="11"/>
  <c r="L314" i="11" s="1"/>
  <c r="H315" i="11"/>
  <c r="L315" i="11" s="1"/>
  <c r="H316" i="11"/>
  <c r="L316" i="11" s="1"/>
  <c r="H317" i="11"/>
  <c r="L317" i="11" s="1"/>
  <c r="H318" i="11"/>
  <c r="L318" i="11" s="1"/>
  <c r="H319" i="11"/>
  <c r="L319" i="11" s="1"/>
  <c r="H320" i="11"/>
  <c r="L320" i="11" s="1"/>
  <c r="H321" i="11"/>
  <c r="L321" i="11" s="1"/>
  <c r="H322" i="11"/>
  <c r="L322" i="11" s="1"/>
  <c r="H323" i="11"/>
  <c r="L323" i="11" s="1"/>
  <c r="H324" i="11"/>
  <c r="L324" i="11" s="1"/>
  <c r="H325" i="11"/>
  <c r="L325" i="11" s="1"/>
  <c r="H326" i="11"/>
  <c r="L326" i="11" s="1"/>
  <c r="H327" i="11"/>
  <c r="L327" i="11" s="1"/>
  <c r="H328" i="11"/>
  <c r="L328" i="11" s="1"/>
  <c r="H329" i="11"/>
  <c r="L329" i="11" s="1"/>
  <c r="H330" i="11"/>
  <c r="L330" i="11" s="1"/>
  <c r="H331" i="11"/>
  <c r="L331" i="11" s="1"/>
  <c r="H332" i="11"/>
  <c r="L332" i="11" s="1"/>
  <c r="H333" i="11"/>
  <c r="L333" i="11" s="1"/>
  <c r="H334" i="11"/>
  <c r="L334" i="11" s="1"/>
  <c r="H335" i="11"/>
  <c r="L335" i="11" s="1"/>
  <c r="H336" i="11"/>
  <c r="L336" i="11" s="1"/>
  <c r="H337" i="11"/>
  <c r="L337" i="11" s="1"/>
  <c r="H338" i="11"/>
  <c r="L338" i="11" s="1"/>
  <c r="H339" i="11"/>
  <c r="L339" i="11" s="1"/>
  <c r="H340" i="11"/>
  <c r="L340" i="11" s="1"/>
  <c r="H341" i="11"/>
  <c r="L341" i="11" s="1"/>
  <c r="H342" i="11"/>
  <c r="L342" i="11" s="1"/>
  <c r="H343" i="11"/>
  <c r="L343" i="11" s="1"/>
  <c r="H344" i="11"/>
  <c r="L344" i="11" s="1"/>
  <c r="H345" i="11"/>
  <c r="L345" i="11" s="1"/>
  <c r="H346" i="11"/>
  <c r="L346" i="11" s="1"/>
  <c r="H347" i="11"/>
  <c r="L347" i="11" s="1"/>
  <c r="H348" i="11"/>
  <c r="L348" i="11" s="1"/>
  <c r="H349" i="11"/>
  <c r="L349" i="11" s="1"/>
  <c r="H350" i="11"/>
  <c r="L350" i="11" s="1"/>
  <c r="H351" i="11"/>
  <c r="L351" i="11" s="1"/>
  <c r="H352" i="11"/>
  <c r="L352" i="11" s="1"/>
  <c r="H353" i="11"/>
  <c r="L353" i="11" s="1"/>
  <c r="H354" i="11"/>
  <c r="L354" i="11" s="1"/>
  <c r="H355" i="11"/>
  <c r="L355" i="11" s="1"/>
  <c r="H356" i="11"/>
  <c r="L356" i="11" s="1"/>
  <c r="H357" i="11"/>
  <c r="L357" i="11" s="1"/>
  <c r="H358" i="11"/>
  <c r="L358" i="11" s="1"/>
  <c r="H359" i="11"/>
  <c r="L359" i="11" s="1"/>
  <c r="H360" i="11"/>
  <c r="L360" i="11" s="1"/>
  <c r="H361" i="11"/>
  <c r="L361" i="11" s="1"/>
  <c r="H362" i="11"/>
  <c r="L362" i="11" s="1"/>
  <c r="H363" i="11"/>
  <c r="L363" i="11" s="1"/>
  <c r="H364" i="11"/>
  <c r="L364" i="11" s="1"/>
  <c r="H365" i="11"/>
  <c r="L365" i="11" s="1"/>
  <c r="H366" i="11"/>
  <c r="L366" i="11" s="1"/>
  <c r="H367" i="11"/>
  <c r="L367" i="11" s="1"/>
  <c r="H368" i="11"/>
  <c r="L368" i="11" s="1"/>
  <c r="H369" i="11"/>
  <c r="L369" i="11" s="1"/>
  <c r="H370" i="11"/>
  <c r="L370" i="11" s="1"/>
  <c r="H371" i="11"/>
  <c r="L371" i="11" s="1"/>
  <c r="H372" i="11"/>
  <c r="L372" i="11" s="1"/>
  <c r="H373" i="11"/>
  <c r="L373" i="11" s="1"/>
  <c r="H374" i="11"/>
  <c r="L374" i="11" s="1"/>
  <c r="H375" i="11"/>
  <c r="L375" i="11" s="1"/>
  <c r="H376" i="11"/>
  <c r="L376" i="11" s="1"/>
  <c r="H377" i="11"/>
  <c r="L377" i="11" s="1"/>
  <c r="H378" i="11"/>
  <c r="L378" i="11" s="1"/>
  <c r="H379" i="11"/>
  <c r="L379" i="11" s="1"/>
  <c r="H380" i="11"/>
  <c r="L380" i="11" s="1"/>
  <c r="H381" i="11"/>
  <c r="L381" i="11" s="1"/>
  <c r="H382" i="11"/>
  <c r="L382" i="11" s="1"/>
  <c r="H383" i="11"/>
  <c r="L383" i="11" s="1"/>
  <c r="H384" i="11"/>
  <c r="L384" i="11" s="1"/>
  <c r="H385" i="11"/>
  <c r="L385" i="11" s="1"/>
  <c r="H386" i="11"/>
  <c r="L386" i="11" s="1"/>
  <c r="H387" i="11"/>
  <c r="L387" i="11" s="1"/>
  <c r="H388" i="11"/>
  <c r="L388" i="11" s="1"/>
  <c r="H389" i="11"/>
  <c r="L389" i="11" s="1"/>
  <c r="H390" i="11"/>
  <c r="L390" i="11" s="1"/>
  <c r="H391" i="11"/>
  <c r="L391" i="11" s="1"/>
  <c r="H392" i="11"/>
  <c r="L392" i="11" s="1"/>
  <c r="H393" i="11"/>
  <c r="L393" i="11" s="1"/>
  <c r="H394" i="11"/>
  <c r="L394" i="11" s="1"/>
  <c r="H395" i="11"/>
  <c r="L395" i="11" s="1"/>
  <c r="H396" i="11"/>
  <c r="L396" i="11" s="1"/>
  <c r="H397" i="11"/>
  <c r="L397" i="11" s="1"/>
  <c r="H398" i="11"/>
  <c r="L398" i="11" s="1"/>
  <c r="H399" i="11"/>
  <c r="L399" i="11" s="1"/>
  <c r="H400" i="11"/>
  <c r="L400" i="11" s="1"/>
  <c r="H401" i="11"/>
  <c r="L401" i="11" s="1"/>
  <c r="H402" i="11"/>
  <c r="L402" i="11" s="1"/>
  <c r="H403" i="11"/>
  <c r="L403" i="11" s="1"/>
  <c r="H404" i="11"/>
  <c r="L404" i="11" s="1"/>
  <c r="H405" i="11"/>
  <c r="L405" i="11" s="1"/>
  <c r="H406" i="11"/>
  <c r="L406" i="11" s="1"/>
  <c r="H407" i="11"/>
  <c r="L407" i="11" s="1"/>
  <c r="H408" i="11"/>
  <c r="L408" i="11" s="1"/>
  <c r="H409" i="11"/>
  <c r="L409" i="11" s="1"/>
  <c r="H410" i="11"/>
  <c r="L410" i="11" s="1"/>
  <c r="H411" i="11"/>
  <c r="L411" i="11" s="1"/>
  <c r="H412" i="11"/>
  <c r="L412" i="11" s="1"/>
  <c r="H413" i="11"/>
  <c r="L413" i="11" s="1"/>
  <c r="H414" i="11"/>
  <c r="L414" i="11" s="1"/>
  <c r="H415" i="11"/>
  <c r="L415" i="11" s="1"/>
  <c r="H416" i="11"/>
  <c r="L416" i="11" s="1"/>
  <c r="H417" i="11"/>
  <c r="L417" i="11" s="1"/>
  <c r="H418" i="11"/>
  <c r="L418" i="11" s="1"/>
  <c r="H419" i="11"/>
  <c r="L419" i="11" s="1"/>
  <c r="H420" i="11"/>
  <c r="L420" i="11" s="1"/>
  <c r="H421" i="11"/>
  <c r="L421" i="11" s="1"/>
  <c r="H422" i="11"/>
  <c r="L422" i="11" s="1"/>
  <c r="H423" i="11"/>
  <c r="L423" i="11" s="1"/>
  <c r="H424" i="11"/>
  <c r="L424" i="11" s="1"/>
  <c r="H425" i="11"/>
  <c r="L425" i="11" s="1"/>
  <c r="H426" i="11"/>
  <c r="L426" i="11" s="1"/>
  <c r="H427" i="11"/>
  <c r="L427" i="11" s="1"/>
  <c r="H428" i="11"/>
  <c r="L428" i="11" s="1"/>
  <c r="H429" i="11"/>
  <c r="L429" i="11" s="1"/>
  <c r="H430" i="11"/>
  <c r="L430" i="11" s="1"/>
  <c r="H431" i="11"/>
  <c r="L431" i="11" s="1"/>
  <c r="H432" i="11"/>
  <c r="L432" i="11" s="1"/>
  <c r="H433" i="11"/>
  <c r="L433" i="11" s="1"/>
  <c r="H434" i="11"/>
  <c r="L434" i="11" s="1"/>
  <c r="H435" i="11"/>
  <c r="L435" i="11" s="1"/>
  <c r="H436" i="11"/>
  <c r="L436" i="11" s="1"/>
  <c r="H437" i="11"/>
  <c r="L437" i="11" s="1"/>
  <c r="H438" i="11"/>
  <c r="L438" i="11" s="1"/>
  <c r="H439" i="11"/>
  <c r="L439" i="11" s="1"/>
  <c r="H440" i="11"/>
  <c r="L440" i="11" s="1"/>
  <c r="H441" i="11"/>
  <c r="L441" i="11" s="1"/>
  <c r="H442" i="11"/>
  <c r="L442" i="11" s="1"/>
  <c r="H443" i="11"/>
  <c r="L443" i="11" s="1"/>
  <c r="H444" i="11"/>
  <c r="L444" i="11" s="1"/>
  <c r="H445" i="11"/>
  <c r="L445" i="11" s="1"/>
  <c r="H446" i="11"/>
  <c r="L446" i="11" s="1"/>
  <c r="H447" i="11"/>
  <c r="L447" i="11" s="1"/>
  <c r="H448" i="11"/>
  <c r="L448" i="11" s="1"/>
  <c r="H449" i="11"/>
  <c r="L449" i="11" s="1"/>
  <c r="H450" i="11"/>
  <c r="L450" i="11" s="1"/>
  <c r="H451" i="11"/>
  <c r="L451" i="11" s="1"/>
  <c r="H452" i="11"/>
  <c r="L452" i="11" s="1"/>
  <c r="H453" i="11"/>
  <c r="L453" i="11" s="1"/>
  <c r="H454" i="11"/>
  <c r="L454" i="11" s="1"/>
  <c r="H455" i="11"/>
  <c r="L455" i="11" s="1"/>
  <c r="H456" i="11"/>
  <c r="L456" i="11" s="1"/>
  <c r="H457" i="11"/>
  <c r="L457" i="11" s="1"/>
  <c r="H458" i="11"/>
  <c r="L458" i="11" s="1"/>
  <c r="H459" i="11"/>
  <c r="L459" i="11" s="1"/>
  <c r="H460" i="11"/>
  <c r="L460" i="11" s="1"/>
  <c r="H461" i="11"/>
  <c r="L461" i="11" s="1"/>
  <c r="H462" i="11"/>
  <c r="L462" i="11" s="1"/>
  <c r="H463" i="11"/>
  <c r="L463" i="11" s="1"/>
  <c r="H464" i="11"/>
  <c r="L464" i="11" s="1"/>
  <c r="H465" i="11"/>
  <c r="L465" i="11" s="1"/>
  <c r="H466" i="11"/>
  <c r="L466" i="11" s="1"/>
  <c r="H467" i="11"/>
  <c r="L467" i="11" s="1"/>
  <c r="H468" i="11"/>
  <c r="L468" i="11" s="1"/>
  <c r="H469" i="11"/>
  <c r="L469" i="11" s="1"/>
  <c r="H470" i="11"/>
  <c r="L470" i="11" s="1"/>
  <c r="H471" i="11"/>
  <c r="L471" i="11" s="1"/>
  <c r="H472" i="11"/>
  <c r="L472" i="11" s="1"/>
  <c r="H473" i="11"/>
  <c r="L473" i="11" s="1"/>
  <c r="H474" i="11"/>
  <c r="L474" i="11" s="1"/>
  <c r="H475" i="11"/>
  <c r="L475" i="11" s="1"/>
  <c r="H476" i="11"/>
  <c r="L476" i="11" s="1"/>
  <c r="H477" i="11"/>
  <c r="L477" i="11" s="1"/>
  <c r="H478" i="11"/>
  <c r="L478" i="11" s="1"/>
  <c r="H479" i="11"/>
  <c r="L479" i="11" s="1"/>
  <c r="H480" i="11"/>
  <c r="L480" i="11" s="1"/>
  <c r="H481" i="11"/>
  <c r="L481" i="11" s="1"/>
  <c r="H482" i="11"/>
  <c r="L482" i="11" s="1"/>
  <c r="H483" i="11"/>
  <c r="L483" i="11" s="1"/>
  <c r="H484" i="11"/>
  <c r="L484" i="11" s="1"/>
  <c r="H485" i="11"/>
  <c r="L485" i="11" s="1"/>
  <c r="H486" i="11"/>
  <c r="L486" i="11" s="1"/>
  <c r="H487" i="11"/>
  <c r="L487" i="11" s="1"/>
  <c r="H488" i="11"/>
  <c r="L488" i="11" s="1"/>
  <c r="H489" i="11"/>
  <c r="L489" i="11" s="1"/>
  <c r="H490" i="11"/>
  <c r="L490" i="11" s="1"/>
  <c r="H491" i="11"/>
  <c r="L491" i="11" s="1"/>
  <c r="H492" i="11"/>
  <c r="L492" i="11" s="1"/>
  <c r="H493" i="11"/>
  <c r="L493" i="11" s="1"/>
  <c r="H494" i="11"/>
  <c r="L494" i="11" s="1"/>
  <c r="H495" i="11"/>
  <c r="L495" i="11" s="1"/>
  <c r="H496" i="11"/>
  <c r="L496" i="11" s="1"/>
  <c r="H497" i="11"/>
  <c r="L497" i="11" s="1"/>
  <c r="H498" i="11"/>
  <c r="L498" i="11" s="1"/>
  <c r="H499" i="11"/>
  <c r="L499" i="11" s="1"/>
  <c r="H500" i="11"/>
  <c r="L500" i="11" s="1"/>
  <c r="H501" i="11"/>
  <c r="L501" i="11" s="1"/>
  <c r="H502" i="11"/>
  <c r="L502" i="11" s="1"/>
  <c r="H503" i="11"/>
  <c r="L503" i="11" s="1"/>
  <c r="H504" i="11"/>
  <c r="L504" i="11" s="1"/>
  <c r="H505" i="11"/>
  <c r="L505" i="11" s="1"/>
  <c r="H506" i="11"/>
  <c r="L506" i="11" s="1"/>
  <c r="H507" i="11"/>
  <c r="L507" i="11" s="1"/>
  <c r="H508" i="11"/>
  <c r="L508" i="11" s="1"/>
  <c r="H509" i="11"/>
  <c r="L509" i="11" s="1"/>
  <c r="H510" i="11"/>
  <c r="L510" i="11" s="1"/>
  <c r="H511" i="11"/>
  <c r="L511" i="11" s="1"/>
  <c r="H512" i="11"/>
  <c r="L512" i="11" s="1"/>
  <c r="H513" i="11"/>
  <c r="L513" i="11" s="1"/>
  <c r="H514" i="11"/>
  <c r="L514" i="11" s="1"/>
  <c r="H515" i="11"/>
  <c r="L515" i="11" s="1"/>
  <c r="H516" i="11"/>
  <c r="L516" i="11" s="1"/>
  <c r="H517" i="11"/>
  <c r="L517" i="11" s="1"/>
  <c r="H518" i="11"/>
  <c r="L518" i="11" s="1"/>
  <c r="H519" i="11"/>
  <c r="L519" i="11" s="1"/>
  <c r="H520" i="11"/>
  <c r="L520" i="11" s="1"/>
  <c r="H521" i="11"/>
  <c r="L521" i="11" s="1"/>
  <c r="H522" i="11"/>
  <c r="L522" i="11" s="1"/>
  <c r="H523" i="11"/>
  <c r="L523" i="11" s="1"/>
  <c r="H524" i="11"/>
  <c r="L524" i="11" s="1"/>
  <c r="H525" i="11"/>
  <c r="L525" i="11" s="1"/>
  <c r="H526" i="11"/>
  <c r="L526" i="11" s="1"/>
  <c r="H527" i="11"/>
  <c r="L527" i="11" s="1"/>
  <c r="H528" i="11"/>
  <c r="L528" i="11" s="1"/>
  <c r="H529" i="11"/>
  <c r="L529" i="11" s="1"/>
  <c r="H530" i="11"/>
  <c r="L530" i="11" s="1"/>
  <c r="H531" i="11"/>
  <c r="L531" i="11" s="1"/>
  <c r="H532" i="11"/>
  <c r="L532" i="11" s="1"/>
  <c r="H533" i="11"/>
  <c r="L533" i="11" s="1"/>
  <c r="H534" i="11"/>
  <c r="L534" i="11" s="1"/>
  <c r="H535" i="11"/>
  <c r="L535" i="11" s="1"/>
  <c r="H536" i="11"/>
  <c r="L536" i="11" s="1"/>
  <c r="H537" i="11"/>
  <c r="L537" i="11" s="1"/>
  <c r="H538" i="11"/>
  <c r="L538" i="11" s="1"/>
  <c r="H539" i="11"/>
  <c r="L539" i="11" s="1"/>
  <c r="H540" i="11"/>
  <c r="L540" i="11" s="1"/>
  <c r="H541" i="11"/>
  <c r="L541" i="11" s="1"/>
  <c r="H542" i="11"/>
  <c r="L542" i="11" s="1"/>
  <c r="H543" i="11"/>
  <c r="L543" i="11" s="1"/>
  <c r="H544" i="11"/>
  <c r="L544" i="11" s="1"/>
  <c r="H545" i="11"/>
  <c r="L545" i="11" s="1"/>
  <c r="H546" i="11"/>
  <c r="L546" i="11" s="1"/>
  <c r="H547" i="11"/>
  <c r="L547" i="11" s="1"/>
  <c r="H548" i="11"/>
  <c r="L548" i="11" s="1"/>
  <c r="H549" i="11"/>
  <c r="L549" i="11" s="1"/>
  <c r="H550" i="11"/>
  <c r="L550" i="11" s="1"/>
  <c r="H551" i="11"/>
  <c r="L551" i="11" s="1"/>
  <c r="H552" i="11"/>
  <c r="L552" i="11" s="1"/>
  <c r="H553" i="11"/>
  <c r="L553" i="11" s="1"/>
  <c r="H554" i="11"/>
  <c r="L554" i="11" s="1"/>
  <c r="H555" i="11"/>
  <c r="L555" i="11" s="1"/>
  <c r="H556" i="11"/>
  <c r="L556" i="11" s="1"/>
  <c r="H557" i="11"/>
  <c r="L557" i="11" s="1"/>
  <c r="H558" i="11"/>
  <c r="L558" i="11" s="1"/>
  <c r="H559" i="11"/>
  <c r="L559" i="11" s="1"/>
  <c r="H560" i="11"/>
  <c r="L560" i="11" s="1"/>
  <c r="H561" i="11"/>
  <c r="L561" i="11" s="1"/>
  <c r="H562" i="11"/>
  <c r="L562" i="11" s="1"/>
  <c r="H563" i="11"/>
  <c r="L563" i="11" s="1"/>
  <c r="H564" i="11"/>
  <c r="L564" i="11" s="1"/>
  <c r="H565" i="11"/>
  <c r="L565" i="11" s="1"/>
  <c r="H566" i="11"/>
  <c r="L566" i="11" s="1"/>
  <c r="H567" i="11"/>
  <c r="L567" i="11" s="1"/>
  <c r="H568" i="11"/>
  <c r="L568" i="11" s="1"/>
  <c r="H569" i="11"/>
  <c r="L569" i="11" s="1"/>
  <c r="H570" i="11"/>
  <c r="L570" i="11" s="1"/>
  <c r="H571" i="11"/>
  <c r="L571" i="11" s="1"/>
  <c r="H572" i="11"/>
  <c r="L572" i="11" s="1"/>
  <c r="H573" i="11"/>
  <c r="L573" i="11" s="1"/>
  <c r="H574" i="11"/>
  <c r="L574" i="11" s="1"/>
  <c r="H575" i="11"/>
  <c r="L575" i="11" s="1"/>
  <c r="H576" i="11"/>
  <c r="L576" i="11" s="1"/>
  <c r="H577" i="11"/>
  <c r="L577" i="11" s="1"/>
  <c r="H578" i="11"/>
  <c r="L578" i="11" s="1"/>
  <c r="H579" i="11"/>
  <c r="L579" i="11" s="1"/>
  <c r="H580" i="11"/>
  <c r="L580" i="11" s="1"/>
  <c r="H581" i="11"/>
  <c r="L581" i="11" s="1"/>
  <c r="H582" i="11"/>
  <c r="L582" i="11" s="1"/>
  <c r="H583" i="11"/>
  <c r="L583" i="11" s="1"/>
  <c r="H584" i="11"/>
  <c r="L584" i="11" s="1"/>
  <c r="H585" i="11"/>
  <c r="L585" i="11" s="1"/>
  <c r="H586" i="11"/>
  <c r="L586" i="11" s="1"/>
  <c r="H587" i="11"/>
  <c r="L587" i="11" s="1"/>
  <c r="H588" i="11"/>
  <c r="L588" i="11" s="1"/>
  <c r="H589" i="11"/>
  <c r="L589" i="11" s="1"/>
  <c r="H590" i="11"/>
  <c r="L590" i="11" s="1"/>
  <c r="H591" i="11"/>
  <c r="L591" i="11" s="1"/>
  <c r="H592" i="11"/>
  <c r="L592" i="11" s="1"/>
  <c r="H593" i="11"/>
  <c r="L593" i="11" s="1"/>
  <c r="H594" i="11"/>
  <c r="L594" i="11" s="1"/>
  <c r="H595" i="11"/>
  <c r="L595" i="11" s="1"/>
  <c r="H596" i="11"/>
  <c r="L596" i="11" s="1"/>
  <c r="H597" i="11"/>
  <c r="L597" i="11" s="1"/>
  <c r="H598" i="11"/>
  <c r="L598" i="11" s="1"/>
  <c r="H599" i="11"/>
  <c r="L599" i="11" s="1"/>
  <c r="H600" i="11"/>
  <c r="L600" i="11" s="1"/>
  <c r="H601" i="11"/>
  <c r="L601" i="11" s="1"/>
  <c r="H602" i="11"/>
  <c r="L602" i="11" s="1"/>
  <c r="H603" i="11"/>
  <c r="L603" i="11" s="1"/>
  <c r="H604" i="11"/>
  <c r="L604" i="11" s="1"/>
  <c r="H605" i="11"/>
  <c r="L605" i="11" s="1"/>
  <c r="H606" i="11"/>
  <c r="L606" i="11" s="1"/>
  <c r="H607" i="11"/>
  <c r="L607" i="11" s="1"/>
  <c r="H608" i="11"/>
  <c r="L608" i="11" s="1"/>
  <c r="H609" i="11"/>
  <c r="L609" i="11" s="1"/>
  <c r="H610" i="11"/>
  <c r="L610" i="11" s="1"/>
  <c r="H611" i="11"/>
  <c r="L611" i="11" s="1"/>
  <c r="H612" i="11"/>
  <c r="L612" i="11" s="1"/>
  <c r="H613" i="11"/>
  <c r="L613" i="11" s="1"/>
  <c r="H614" i="11"/>
  <c r="L614" i="11" s="1"/>
  <c r="H615" i="11"/>
  <c r="L615" i="11" s="1"/>
  <c r="H616" i="11"/>
  <c r="L616" i="11" s="1"/>
  <c r="H617" i="11"/>
  <c r="L617" i="11" s="1"/>
  <c r="H618" i="11"/>
  <c r="L618" i="11" s="1"/>
  <c r="H619" i="11"/>
  <c r="L619" i="11" s="1"/>
  <c r="H620" i="11"/>
  <c r="L620" i="11" s="1"/>
  <c r="H621" i="11"/>
  <c r="L621" i="11" s="1"/>
  <c r="H622" i="11"/>
  <c r="L622" i="11" s="1"/>
  <c r="H623" i="11"/>
  <c r="L623" i="11" s="1"/>
  <c r="H624" i="11"/>
  <c r="L624" i="11" s="1"/>
  <c r="H625" i="11"/>
  <c r="L625" i="11" s="1"/>
  <c r="H626" i="11"/>
  <c r="L626" i="11" s="1"/>
  <c r="H627" i="11"/>
  <c r="L627" i="11" s="1"/>
  <c r="H628" i="11"/>
  <c r="L628" i="11" s="1"/>
  <c r="H629" i="11"/>
  <c r="L629" i="11" s="1"/>
  <c r="H630" i="11"/>
  <c r="L630" i="11" s="1"/>
  <c r="H631" i="11"/>
  <c r="L631" i="11" s="1"/>
  <c r="H632" i="11"/>
  <c r="L632" i="11" s="1"/>
  <c r="H633" i="11"/>
  <c r="L633" i="11" s="1"/>
  <c r="H634" i="11"/>
  <c r="L634" i="11" s="1"/>
  <c r="H635" i="11"/>
  <c r="L635" i="11" s="1"/>
  <c r="H636" i="11"/>
  <c r="L636" i="11" s="1"/>
  <c r="H637" i="11"/>
  <c r="L637" i="11" s="1"/>
  <c r="H638" i="11"/>
  <c r="L638" i="11" s="1"/>
  <c r="H639" i="11"/>
  <c r="L639" i="11" s="1"/>
  <c r="H640" i="11"/>
  <c r="L640" i="11" s="1"/>
  <c r="H641" i="11"/>
  <c r="L641" i="11" s="1"/>
  <c r="H642" i="11"/>
  <c r="L642" i="11" s="1"/>
  <c r="H643" i="11"/>
  <c r="L643" i="11" s="1"/>
  <c r="H644" i="11"/>
  <c r="L644" i="11" s="1"/>
  <c r="H645" i="11"/>
  <c r="L645" i="11" s="1"/>
  <c r="H646" i="11"/>
  <c r="L646" i="11" s="1"/>
  <c r="H647" i="11"/>
  <c r="L647" i="11" s="1"/>
  <c r="H648" i="11"/>
  <c r="L648" i="11" s="1"/>
  <c r="H649" i="11"/>
  <c r="L649" i="11" s="1"/>
  <c r="H650" i="11"/>
  <c r="L650" i="11" s="1"/>
  <c r="H651" i="11"/>
  <c r="L651" i="11" s="1"/>
  <c r="H652" i="11"/>
  <c r="L652" i="11" s="1"/>
  <c r="H653" i="11"/>
  <c r="L653" i="11" s="1"/>
  <c r="H654" i="11"/>
  <c r="L654" i="11" s="1"/>
  <c r="H655" i="11"/>
  <c r="L655" i="11" s="1"/>
  <c r="H656" i="11"/>
  <c r="L656" i="11" s="1"/>
  <c r="H657" i="11"/>
  <c r="L657" i="11" s="1"/>
  <c r="H658" i="11"/>
  <c r="L658" i="11" s="1"/>
  <c r="H659" i="11"/>
  <c r="L659" i="11" s="1"/>
  <c r="H660" i="11"/>
  <c r="L660" i="11" s="1"/>
  <c r="H661" i="11"/>
  <c r="L661" i="11" s="1"/>
  <c r="H662" i="11"/>
  <c r="L662" i="11" s="1"/>
  <c r="H663" i="11"/>
  <c r="L663" i="11" s="1"/>
  <c r="H664" i="11"/>
  <c r="L664" i="11" s="1"/>
  <c r="H665" i="11"/>
  <c r="L665" i="11" s="1"/>
  <c r="H666" i="11"/>
  <c r="L666" i="11" s="1"/>
  <c r="H667" i="11"/>
  <c r="L667" i="11" s="1"/>
  <c r="H668" i="11"/>
  <c r="L668" i="11" s="1"/>
  <c r="H669" i="11"/>
  <c r="L669" i="11" s="1"/>
  <c r="H670" i="11"/>
  <c r="L670" i="11" s="1"/>
  <c r="H671" i="11"/>
  <c r="L671" i="11" s="1"/>
  <c r="H672" i="11"/>
  <c r="L672" i="11" s="1"/>
  <c r="H673" i="11"/>
  <c r="L673" i="11" s="1"/>
  <c r="H674" i="11"/>
  <c r="L674" i="11" s="1"/>
  <c r="H675" i="11"/>
  <c r="L675" i="11" s="1"/>
  <c r="H676" i="11"/>
  <c r="L676" i="11" s="1"/>
  <c r="H677" i="11"/>
  <c r="L677" i="11" s="1"/>
  <c r="H678" i="11"/>
  <c r="L678" i="11" s="1"/>
  <c r="H679" i="11"/>
  <c r="L679" i="11" s="1"/>
  <c r="H680" i="11"/>
  <c r="L680" i="11" s="1"/>
  <c r="H681" i="11"/>
  <c r="L681" i="11" s="1"/>
  <c r="H682" i="11"/>
  <c r="L682" i="11" s="1"/>
  <c r="H683" i="11"/>
  <c r="L683" i="11" s="1"/>
  <c r="H684" i="11"/>
  <c r="L684" i="11" s="1"/>
  <c r="H2" i="11"/>
  <c r="L2" i="11" s="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N32" i="11" s="1"/>
  <c r="J33" i="11"/>
  <c r="J34" i="11"/>
  <c r="J35" i="11"/>
  <c r="J36" i="11"/>
  <c r="J37" i="11"/>
  <c r="J38" i="11"/>
  <c r="J39" i="11"/>
  <c r="J40" i="11"/>
  <c r="N40" i="11" s="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N66" i="11" s="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N96" i="11" s="1"/>
  <c r="J97" i="11"/>
  <c r="J98" i="11"/>
  <c r="J99" i="11"/>
  <c r="J100" i="11"/>
  <c r="J101" i="11"/>
  <c r="J102" i="11"/>
  <c r="J103" i="11"/>
  <c r="J104" i="11"/>
  <c r="N104" i="11" s="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N130" i="11" s="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N160" i="11" s="1"/>
  <c r="J161" i="11"/>
  <c r="J162" i="11"/>
  <c r="J163" i="11"/>
  <c r="J164" i="11"/>
  <c r="J165" i="11"/>
  <c r="J166" i="11"/>
  <c r="J167" i="11"/>
  <c r="J168" i="11"/>
  <c r="N168" i="11" s="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N194" i="11" s="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N224" i="11" s="1"/>
  <c r="J225" i="11"/>
  <c r="J226" i="11"/>
  <c r="J227" i="11"/>
  <c r="J228" i="11"/>
  <c r="J229" i="11"/>
  <c r="J230" i="11"/>
  <c r="J231" i="11"/>
  <c r="J232" i="11"/>
  <c r="N232" i="11" s="1"/>
  <c r="J233" i="11"/>
  <c r="N233" i="11" s="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N258" i="11" s="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N288" i="11" s="1"/>
  <c r="J289" i="11"/>
  <c r="J290" i="11"/>
  <c r="J291" i="11"/>
  <c r="J292" i="11"/>
  <c r="J293" i="11"/>
  <c r="J294" i="11"/>
  <c r="J295" i="11"/>
  <c r="J296" i="11"/>
  <c r="N296" i="11" s="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N322" i="11" s="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N352" i="11" s="1"/>
  <c r="J353" i="11"/>
  <c r="J354" i="11"/>
  <c r="J355" i="11"/>
  <c r="J356" i="11"/>
  <c r="J357" i="11"/>
  <c r="J358" i="11"/>
  <c r="J359" i="11"/>
  <c r="J360" i="11"/>
  <c r="N360" i="11" s="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N386" i="11" s="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N416" i="11" s="1"/>
  <c r="J417" i="11"/>
  <c r="J418" i="11"/>
  <c r="J419" i="11"/>
  <c r="J420" i="11"/>
  <c r="J421" i="11"/>
  <c r="J422" i="11"/>
  <c r="J423" i="11"/>
  <c r="J424" i="11"/>
  <c r="N424" i="11" s="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N450" i="11" s="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N480" i="11" s="1"/>
  <c r="J481" i="11"/>
  <c r="J482" i="11"/>
  <c r="J483" i="11"/>
  <c r="J484" i="11"/>
  <c r="J485" i="11"/>
  <c r="J486" i="11"/>
  <c r="J487" i="11"/>
  <c r="J488" i="11"/>
  <c r="N488" i="11" s="1"/>
  <c r="J489" i="11"/>
  <c r="N489" i="11" s="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N506" i="11" s="1"/>
  <c r="J507" i="11"/>
  <c r="J508" i="11"/>
  <c r="J509" i="11"/>
  <c r="J510" i="11"/>
  <c r="J511" i="11"/>
  <c r="J512" i="11"/>
  <c r="J513" i="11"/>
  <c r="J514" i="11"/>
  <c r="N514" i="11" s="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N544" i="11" s="1"/>
  <c r="J545" i="11"/>
  <c r="J546" i="11"/>
  <c r="J547" i="11"/>
  <c r="J548" i="11"/>
  <c r="J549" i="11"/>
  <c r="J550" i="11"/>
  <c r="J551" i="11"/>
  <c r="J552" i="11"/>
  <c r="N552" i="11" s="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N570" i="11" s="1"/>
  <c r="J571" i="11"/>
  <c r="J572" i="11"/>
  <c r="J573" i="11"/>
  <c r="J574" i="11"/>
  <c r="J575" i="11"/>
  <c r="J576" i="11"/>
  <c r="J577" i="11"/>
  <c r="J578" i="11"/>
  <c r="N578" i="11" s="1"/>
  <c r="J579" i="11"/>
  <c r="J580" i="11"/>
  <c r="J581" i="11"/>
  <c r="J582" i="11"/>
  <c r="J583" i="11"/>
  <c r="J584" i="11"/>
  <c r="N584" i="11" s="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N634" i="11" s="1"/>
  <c r="J635" i="11"/>
  <c r="J636" i="11"/>
  <c r="J637" i="11"/>
  <c r="J638" i="11"/>
  <c r="J639" i="11"/>
  <c r="J640" i="11"/>
  <c r="N640" i="11" s="1"/>
  <c r="J641" i="11"/>
  <c r="J642" i="11"/>
  <c r="N642" i="11" s="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N656" i="11" s="1"/>
  <c r="J657" i="11"/>
  <c r="J658" i="11"/>
  <c r="J659" i="11"/>
  <c r="J660" i="11"/>
  <c r="J661" i="11"/>
  <c r="J662" i="11"/>
  <c r="J663" i="11"/>
  <c r="J664" i="11"/>
  <c r="N664" i="11" s="1"/>
  <c r="J665" i="11"/>
  <c r="J666" i="11"/>
  <c r="J667" i="11"/>
  <c r="J668" i="11"/>
  <c r="J669" i="11"/>
  <c r="J670" i="11"/>
  <c r="J671" i="11"/>
  <c r="J672" i="11"/>
  <c r="N672" i="11" s="1"/>
  <c r="J673" i="11"/>
  <c r="J674" i="11"/>
  <c r="J675" i="11"/>
  <c r="J676" i="11"/>
  <c r="J677" i="11"/>
  <c r="J678" i="11"/>
  <c r="J679" i="11"/>
  <c r="J680" i="11"/>
  <c r="N680" i="11" s="1"/>
  <c r="J681" i="11"/>
  <c r="J682" i="11"/>
  <c r="J683" i="11"/>
  <c r="J684" i="11"/>
  <c r="D3" i="11"/>
  <c r="I3" i="11" s="1"/>
  <c r="D4" i="11"/>
  <c r="I4" i="11" s="1"/>
  <c r="D5" i="11"/>
  <c r="I5" i="11" s="1"/>
  <c r="D6" i="11"/>
  <c r="I6" i="11" s="1"/>
  <c r="D7" i="11"/>
  <c r="I7" i="11" s="1"/>
  <c r="D8" i="11"/>
  <c r="I8" i="11" s="1"/>
  <c r="D9" i="11"/>
  <c r="I9" i="11" s="1"/>
  <c r="D10" i="11"/>
  <c r="I10" i="11" s="1"/>
  <c r="D11" i="11"/>
  <c r="I11" i="11" s="1"/>
  <c r="D12" i="11"/>
  <c r="I12" i="11" s="1"/>
  <c r="D13" i="11"/>
  <c r="I13" i="11" s="1"/>
  <c r="D14" i="11"/>
  <c r="I14" i="11" s="1"/>
  <c r="D15" i="11"/>
  <c r="I15" i="11" s="1"/>
  <c r="D16" i="11"/>
  <c r="I16" i="11" s="1"/>
  <c r="D17" i="11"/>
  <c r="I17" i="11" s="1"/>
  <c r="K17" i="11" s="1"/>
  <c r="D18" i="11"/>
  <c r="I18" i="11" s="1"/>
  <c r="K18" i="11" s="1"/>
  <c r="D19" i="11"/>
  <c r="I19" i="11" s="1"/>
  <c r="D20" i="11"/>
  <c r="I20" i="11" s="1"/>
  <c r="D21" i="11"/>
  <c r="I21" i="11" s="1"/>
  <c r="D22" i="11"/>
  <c r="I22" i="11" s="1"/>
  <c r="D23" i="11"/>
  <c r="I23" i="11" s="1"/>
  <c r="D24" i="11"/>
  <c r="I24" i="11" s="1"/>
  <c r="K24" i="11" s="1"/>
  <c r="D25" i="11"/>
  <c r="I25" i="11" s="1"/>
  <c r="D26" i="11"/>
  <c r="I26" i="11" s="1"/>
  <c r="D27" i="11"/>
  <c r="I27" i="11" s="1"/>
  <c r="D28" i="11"/>
  <c r="I28" i="11" s="1"/>
  <c r="D29" i="11"/>
  <c r="I29" i="11" s="1"/>
  <c r="D30" i="11"/>
  <c r="I30" i="11" s="1"/>
  <c r="D31" i="11"/>
  <c r="I31" i="11" s="1"/>
  <c r="D32" i="11"/>
  <c r="I32" i="11" s="1"/>
  <c r="D33" i="11"/>
  <c r="I33" i="11" s="1"/>
  <c r="D34" i="11"/>
  <c r="I34" i="11" s="1"/>
  <c r="D35" i="11"/>
  <c r="I35" i="11" s="1"/>
  <c r="D36" i="11"/>
  <c r="I36" i="11" s="1"/>
  <c r="D37" i="11"/>
  <c r="I37" i="11" s="1"/>
  <c r="D38" i="11"/>
  <c r="I38" i="11" s="1"/>
  <c r="D39" i="11"/>
  <c r="I39" i="11" s="1"/>
  <c r="D40" i="11"/>
  <c r="I40" i="11" s="1"/>
  <c r="D41" i="11"/>
  <c r="I41" i="11" s="1"/>
  <c r="D42" i="11"/>
  <c r="I42" i="11" s="1"/>
  <c r="D43" i="11"/>
  <c r="I43" i="11" s="1"/>
  <c r="D44" i="11"/>
  <c r="I44" i="11" s="1"/>
  <c r="D45" i="11"/>
  <c r="I45" i="11" s="1"/>
  <c r="D46" i="11"/>
  <c r="I46" i="11" s="1"/>
  <c r="D47" i="11"/>
  <c r="I47" i="11" s="1"/>
  <c r="D48" i="11"/>
  <c r="I48" i="11" s="1"/>
  <c r="D49" i="11"/>
  <c r="I49" i="11" s="1"/>
  <c r="D50" i="11"/>
  <c r="I50" i="11" s="1"/>
  <c r="D51" i="11"/>
  <c r="I51" i="11" s="1"/>
  <c r="D52" i="11"/>
  <c r="I52" i="11" s="1"/>
  <c r="D53" i="11"/>
  <c r="I53" i="11" s="1"/>
  <c r="D54" i="11"/>
  <c r="I54" i="11" s="1"/>
  <c r="D55" i="11"/>
  <c r="I55" i="11" s="1"/>
  <c r="D56" i="11"/>
  <c r="I56" i="11" s="1"/>
  <c r="D57" i="11"/>
  <c r="I57" i="11" s="1"/>
  <c r="K57" i="11" s="1"/>
  <c r="D58" i="11"/>
  <c r="I58" i="11" s="1"/>
  <c r="D59" i="11"/>
  <c r="I59" i="11" s="1"/>
  <c r="D60" i="11"/>
  <c r="I60" i="11" s="1"/>
  <c r="D61" i="11"/>
  <c r="I61" i="11" s="1"/>
  <c r="D62" i="11"/>
  <c r="I62" i="11" s="1"/>
  <c r="D63" i="11"/>
  <c r="I63" i="11" s="1"/>
  <c r="D64" i="11"/>
  <c r="I64" i="11" s="1"/>
  <c r="D65" i="11"/>
  <c r="I65" i="11" s="1"/>
  <c r="D66" i="11"/>
  <c r="I66" i="11" s="1"/>
  <c r="D67" i="11"/>
  <c r="I67" i="11" s="1"/>
  <c r="D68" i="11"/>
  <c r="I68" i="11" s="1"/>
  <c r="D69" i="11"/>
  <c r="I69" i="11" s="1"/>
  <c r="D70" i="11"/>
  <c r="I70" i="11" s="1"/>
  <c r="D71" i="11"/>
  <c r="I71" i="11" s="1"/>
  <c r="D72" i="11"/>
  <c r="I72" i="11" s="1"/>
  <c r="K72" i="11" s="1"/>
  <c r="D73" i="11"/>
  <c r="I73" i="11" s="1"/>
  <c r="D74" i="11"/>
  <c r="I74" i="11" s="1"/>
  <c r="D75" i="11"/>
  <c r="I75" i="11" s="1"/>
  <c r="D76" i="11"/>
  <c r="I76" i="11" s="1"/>
  <c r="D77" i="11"/>
  <c r="I77" i="11" s="1"/>
  <c r="D78" i="11"/>
  <c r="I78" i="11" s="1"/>
  <c r="D79" i="11"/>
  <c r="I79" i="11" s="1"/>
  <c r="D80" i="11"/>
  <c r="I80" i="11" s="1"/>
  <c r="K80" i="11" s="1"/>
  <c r="D81" i="11"/>
  <c r="I81" i="11" s="1"/>
  <c r="D82" i="11"/>
  <c r="I82" i="11" s="1"/>
  <c r="D83" i="11"/>
  <c r="I83" i="11" s="1"/>
  <c r="D84" i="11"/>
  <c r="I84" i="11" s="1"/>
  <c r="D85" i="11"/>
  <c r="I85" i="11" s="1"/>
  <c r="D86" i="11"/>
  <c r="I86" i="11" s="1"/>
  <c r="D87" i="11"/>
  <c r="I87" i="11" s="1"/>
  <c r="D88" i="11"/>
  <c r="I88" i="11" s="1"/>
  <c r="K88" i="11" s="1"/>
  <c r="D89" i="11"/>
  <c r="I89" i="11" s="1"/>
  <c r="D90" i="11"/>
  <c r="I90" i="11" s="1"/>
  <c r="D91" i="11"/>
  <c r="I91" i="11" s="1"/>
  <c r="D92" i="11"/>
  <c r="I92" i="11" s="1"/>
  <c r="D93" i="11"/>
  <c r="I93" i="11" s="1"/>
  <c r="D94" i="11"/>
  <c r="I94" i="11" s="1"/>
  <c r="D95" i="11"/>
  <c r="I95" i="11" s="1"/>
  <c r="D96" i="11"/>
  <c r="I96" i="11" s="1"/>
  <c r="D97" i="11"/>
  <c r="I97" i="11" s="1"/>
  <c r="D98" i="11"/>
  <c r="I98" i="11" s="1"/>
  <c r="D99" i="11"/>
  <c r="I99" i="11" s="1"/>
  <c r="D100" i="11"/>
  <c r="I100" i="11" s="1"/>
  <c r="D101" i="11"/>
  <c r="I101" i="11" s="1"/>
  <c r="D102" i="11"/>
  <c r="I102" i="11" s="1"/>
  <c r="D103" i="11"/>
  <c r="I103" i="11" s="1"/>
  <c r="D104" i="11"/>
  <c r="I104" i="11" s="1"/>
  <c r="D105" i="11"/>
  <c r="I105" i="11" s="1"/>
  <c r="D106" i="11"/>
  <c r="I106" i="11" s="1"/>
  <c r="D107" i="11"/>
  <c r="I107" i="11" s="1"/>
  <c r="K107" i="11" s="1"/>
  <c r="D108" i="11"/>
  <c r="I108" i="11" s="1"/>
  <c r="D109" i="11"/>
  <c r="I109" i="11" s="1"/>
  <c r="D110" i="11"/>
  <c r="I110" i="11" s="1"/>
  <c r="K110" i="11" s="1"/>
  <c r="D111" i="11"/>
  <c r="I111" i="11" s="1"/>
  <c r="D112" i="11"/>
  <c r="I112" i="11" s="1"/>
  <c r="D113" i="11"/>
  <c r="I113" i="11" s="1"/>
  <c r="D114" i="11"/>
  <c r="I114" i="11" s="1"/>
  <c r="D115" i="11"/>
  <c r="I115" i="11" s="1"/>
  <c r="D116" i="11"/>
  <c r="I116" i="11" s="1"/>
  <c r="D117" i="11"/>
  <c r="I117" i="11" s="1"/>
  <c r="D118" i="11"/>
  <c r="I118" i="11" s="1"/>
  <c r="D119" i="11"/>
  <c r="I119" i="11" s="1"/>
  <c r="D120" i="11"/>
  <c r="I120" i="11" s="1"/>
  <c r="D121" i="11"/>
  <c r="I121" i="11" s="1"/>
  <c r="D122" i="11"/>
  <c r="I122" i="11" s="1"/>
  <c r="K122" i="11" s="1"/>
  <c r="D123" i="11"/>
  <c r="I123" i="11" s="1"/>
  <c r="D124" i="11"/>
  <c r="I124" i="11" s="1"/>
  <c r="D125" i="11"/>
  <c r="I125" i="11" s="1"/>
  <c r="D126" i="11"/>
  <c r="I126" i="11" s="1"/>
  <c r="D127" i="11"/>
  <c r="I127" i="11" s="1"/>
  <c r="D128" i="11"/>
  <c r="I128" i="11" s="1"/>
  <c r="D129" i="11"/>
  <c r="I129" i="11" s="1"/>
  <c r="D130" i="11"/>
  <c r="I130" i="11" s="1"/>
  <c r="D131" i="11"/>
  <c r="I131" i="11" s="1"/>
  <c r="D132" i="11"/>
  <c r="I132" i="11" s="1"/>
  <c r="D133" i="11"/>
  <c r="I133" i="11" s="1"/>
  <c r="D134" i="11"/>
  <c r="I134" i="11" s="1"/>
  <c r="D135" i="11"/>
  <c r="I135" i="11" s="1"/>
  <c r="D136" i="11"/>
  <c r="I136" i="11" s="1"/>
  <c r="D137" i="11"/>
  <c r="I137" i="11" s="1"/>
  <c r="D138" i="11"/>
  <c r="I138" i="11" s="1"/>
  <c r="D139" i="11"/>
  <c r="I139" i="11" s="1"/>
  <c r="D140" i="11"/>
  <c r="I140" i="11" s="1"/>
  <c r="K140" i="11" s="1"/>
  <c r="D141" i="11"/>
  <c r="I141" i="11" s="1"/>
  <c r="D142" i="11"/>
  <c r="I142" i="11" s="1"/>
  <c r="D143" i="11"/>
  <c r="I143" i="11" s="1"/>
  <c r="D144" i="11"/>
  <c r="I144" i="11" s="1"/>
  <c r="D145" i="11"/>
  <c r="I145" i="11" s="1"/>
  <c r="D146" i="11"/>
  <c r="I146" i="11" s="1"/>
  <c r="D147" i="11"/>
  <c r="I147" i="11" s="1"/>
  <c r="D148" i="11"/>
  <c r="I148" i="11" s="1"/>
  <c r="K148" i="11" s="1"/>
  <c r="D149" i="11"/>
  <c r="I149" i="11" s="1"/>
  <c r="D150" i="11"/>
  <c r="I150" i="11" s="1"/>
  <c r="D151" i="11"/>
  <c r="I151" i="11" s="1"/>
  <c r="D152" i="11"/>
  <c r="I152" i="11" s="1"/>
  <c r="D153" i="11"/>
  <c r="I153" i="11" s="1"/>
  <c r="D154" i="11"/>
  <c r="I154" i="11" s="1"/>
  <c r="D155" i="11"/>
  <c r="I155" i="11" s="1"/>
  <c r="K155" i="11" s="1"/>
  <c r="D156" i="11"/>
  <c r="I156" i="11" s="1"/>
  <c r="D157" i="11"/>
  <c r="I157" i="11" s="1"/>
  <c r="D158" i="11"/>
  <c r="I158" i="11" s="1"/>
  <c r="D159" i="11"/>
  <c r="I159" i="11" s="1"/>
  <c r="D160" i="11"/>
  <c r="I160" i="11" s="1"/>
  <c r="D161" i="11"/>
  <c r="I161" i="11" s="1"/>
  <c r="D162" i="11"/>
  <c r="I162" i="11" s="1"/>
  <c r="D163" i="11"/>
  <c r="I163" i="11" s="1"/>
  <c r="D164" i="11"/>
  <c r="I164" i="11" s="1"/>
  <c r="D165" i="11"/>
  <c r="I165" i="11" s="1"/>
  <c r="D166" i="11"/>
  <c r="I166" i="11" s="1"/>
  <c r="D167" i="11"/>
  <c r="I167" i="11" s="1"/>
  <c r="D168" i="11"/>
  <c r="I168" i="11" s="1"/>
  <c r="D169" i="11"/>
  <c r="I169" i="11" s="1"/>
  <c r="D170" i="11"/>
  <c r="I170" i="11" s="1"/>
  <c r="D171" i="11"/>
  <c r="I171" i="11" s="1"/>
  <c r="D172" i="11"/>
  <c r="I172" i="11" s="1"/>
  <c r="D173" i="11"/>
  <c r="I173" i="11" s="1"/>
  <c r="D174" i="11"/>
  <c r="I174" i="11" s="1"/>
  <c r="D175" i="11"/>
  <c r="I175" i="11" s="1"/>
  <c r="D176" i="11"/>
  <c r="I176" i="11" s="1"/>
  <c r="D177" i="11"/>
  <c r="I177" i="11" s="1"/>
  <c r="D178" i="11"/>
  <c r="I178" i="11" s="1"/>
  <c r="D179" i="11"/>
  <c r="I179" i="11" s="1"/>
  <c r="D180" i="11"/>
  <c r="I180" i="11" s="1"/>
  <c r="D181" i="11"/>
  <c r="I181" i="11" s="1"/>
  <c r="D182" i="11"/>
  <c r="I182" i="11" s="1"/>
  <c r="D183" i="11"/>
  <c r="I183" i="11" s="1"/>
  <c r="D184" i="11"/>
  <c r="I184" i="11" s="1"/>
  <c r="D185" i="11"/>
  <c r="I185" i="11" s="1"/>
  <c r="D186" i="11"/>
  <c r="I186" i="11" s="1"/>
  <c r="D187" i="11"/>
  <c r="I187" i="11" s="1"/>
  <c r="D188" i="11"/>
  <c r="I188" i="11" s="1"/>
  <c r="K188" i="11" s="1"/>
  <c r="D189" i="11"/>
  <c r="I189" i="11" s="1"/>
  <c r="D190" i="11"/>
  <c r="I190" i="11" s="1"/>
  <c r="D191" i="11"/>
  <c r="I191" i="11" s="1"/>
  <c r="D192" i="11"/>
  <c r="I192" i="11" s="1"/>
  <c r="D193" i="11"/>
  <c r="I193" i="11" s="1"/>
  <c r="D194" i="11"/>
  <c r="I194" i="11" s="1"/>
  <c r="D195" i="11"/>
  <c r="I195" i="11" s="1"/>
  <c r="D196" i="11"/>
  <c r="I196" i="11" s="1"/>
  <c r="D197" i="11"/>
  <c r="I197" i="11" s="1"/>
  <c r="D198" i="11"/>
  <c r="I198" i="11" s="1"/>
  <c r="D199" i="11"/>
  <c r="I199" i="11" s="1"/>
  <c r="D200" i="11"/>
  <c r="I200" i="11" s="1"/>
  <c r="D201" i="11"/>
  <c r="I201" i="11" s="1"/>
  <c r="D202" i="11"/>
  <c r="I202" i="11" s="1"/>
  <c r="D203" i="11"/>
  <c r="I203" i="11" s="1"/>
  <c r="D204" i="11"/>
  <c r="I204" i="11" s="1"/>
  <c r="D205" i="11"/>
  <c r="I205" i="11" s="1"/>
  <c r="D206" i="11"/>
  <c r="I206" i="11" s="1"/>
  <c r="D207" i="11"/>
  <c r="I207" i="11" s="1"/>
  <c r="D208" i="11"/>
  <c r="I208" i="11" s="1"/>
  <c r="D209" i="11"/>
  <c r="I209" i="11" s="1"/>
  <c r="D210" i="11"/>
  <c r="I210" i="11" s="1"/>
  <c r="D211" i="11"/>
  <c r="I211" i="11" s="1"/>
  <c r="D212" i="11"/>
  <c r="I212" i="11" s="1"/>
  <c r="D213" i="11"/>
  <c r="I213" i="11" s="1"/>
  <c r="D214" i="11"/>
  <c r="I214" i="11" s="1"/>
  <c r="D215" i="11"/>
  <c r="I215" i="11" s="1"/>
  <c r="D216" i="11"/>
  <c r="I216" i="11" s="1"/>
  <c r="D217" i="11"/>
  <c r="I217" i="11" s="1"/>
  <c r="D218" i="11"/>
  <c r="I218" i="11" s="1"/>
  <c r="D219" i="11"/>
  <c r="I219" i="11" s="1"/>
  <c r="D220" i="11"/>
  <c r="I220" i="11" s="1"/>
  <c r="D221" i="11"/>
  <c r="I221" i="11" s="1"/>
  <c r="D222" i="11"/>
  <c r="I222" i="11" s="1"/>
  <c r="K222" i="11" s="1"/>
  <c r="D223" i="11"/>
  <c r="I223" i="11" s="1"/>
  <c r="D224" i="11"/>
  <c r="I224" i="11" s="1"/>
  <c r="D225" i="11"/>
  <c r="I225" i="11" s="1"/>
  <c r="D226" i="11"/>
  <c r="I226" i="11" s="1"/>
  <c r="D227" i="11"/>
  <c r="I227" i="11" s="1"/>
  <c r="D228" i="11"/>
  <c r="I228" i="11" s="1"/>
  <c r="D229" i="11"/>
  <c r="I229" i="11" s="1"/>
  <c r="D230" i="11"/>
  <c r="I230" i="11" s="1"/>
  <c r="D231" i="11"/>
  <c r="I231" i="11" s="1"/>
  <c r="D232" i="11"/>
  <c r="I232" i="11" s="1"/>
  <c r="D233" i="11"/>
  <c r="I233" i="11" s="1"/>
  <c r="D234" i="11"/>
  <c r="I234" i="11" s="1"/>
  <c r="D235" i="11"/>
  <c r="I235" i="11" s="1"/>
  <c r="D236" i="11"/>
  <c r="I236" i="11" s="1"/>
  <c r="D237" i="11"/>
  <c r="I237" i="11" s="1"/>
  <c r="D238" i="11"/>
  <c r="I238" i="11" s="1"/>
  <c r="D239" i="11"/>
  <c r="I239" i="11" s="1"/>
  <c r="D240" i="11"/>
  <c r="I240" i="11" s="1"/>
  <c r="D241" i="11"/>
  <c r="I241" i="11" s="1"/>
  <c r="D242" i="11"/>
  <c r="I242" i="11" s="1"/>
  <c r="D243" i="11"/>
  <c r="I243" i="11" s="1"/>
  <c r="D244" i="11"/>
  <c r="I244" i="11" s="1"/>
  <c r="D245" i="11"/>
  <c r="I245" i="11" s="1"/>
  <c r="D246" i="11"/>
  <c r="I246" i="11" s="1"/>
  <c r="D247" i="11"/>
  <c r="I247" i="11" s="1"/>
  <c r="D248" i="11"/>
  <c r="I248" i="11" s="1"/>
  <c r="D249" i="11"/>
  <c r="I249" i="11" s="1"/>
  <c r="D250" i="11"/>
  <c r="I250" i="11" s="1"/>
  <c r="D251" i="11"/>
  <c r="I251" i="11" s="1"/>
  <c r="D252" i="11"/>
  <c r="I252" i="11" s="1"/>
  <c r="D253" i="11"/>
  <c r="I253" i="11" s="1"/>
  <c r="D254" i="11"/>
  <c r="I254" i="11" s="1"/>
  <c r="D255" i="11"/>
  <c r="I255" i="11" s="1"/>
  <c r="D256" i="11"/>
  <c r="I256" i="11" s="1"/>
  <c r="D257" i="11"/>
  <c r="I257" i="11" s="1"/>
  <c r="D258" i="11"/>
  <c r="I258" i="11" s="1"/>
  <c r="D259" i="11"/>
  <c r="I259" i="11" s="1"/>
  <c r="D260" i="11"/>
  <c r="I260" i="11" s="1"/>
  <c r="D261" i="11"/>
  <c r="I261" i="11" s="1"/>
  <c r="D262" i="11"/>
  <c r="I262" i="11" s="1"/>
  <c r="D263" i="11"/>
  <c r="I263" i="11" s="1"/>
  <c r="D264" i="11"/>
  <c r="I264" i="11" s="1"/>
  <c r="D265" i="11"/>
  <c r="I265" i="11" s="1"/>
  <c r="D266" i="11"/>
  <c r="I266" i="11" s="1"/>
  <c r="D267" i="11"/>
  <c r="I267" i="11" s="1"/>
  <c r="D268" i="11"/>
  <c r="I268" i="11" s="1"/>
  <c r="D269" i="11"/>
  <c r="I269" i="11" s="1"/>
  <c r="D270" i="11"/>
  <c r="I270" i="11" s="1"/>
  <c r="D271" i="11"/>
  <c r="I271" i="11" s="1"/>
  <c r="D272" i="11"/>
  <c r="I272" i="11" s="1"/>
  <c r="D273" i="11"/>
  <c r="I273" i="11" s="1"/>
  <c r="D274" i="11"/>
  <c r="I274" i="11" s="1"/>
  <c r="D275" i="11"/>
  <c r="I275" i="11" s="1"/>
  <c r="D276" i="11"/>
  <c r="I276" i="11" s="1"/>
  <c r="D277" i="11"/>
  <c r="I277" i="11" s="1"/>
  <c r="D278" i="11"/>
  <c r="I278" i="11" s="1"/>
  <c r="D279" i="11"/>
  <c r="I279" i="11" s="1"/>
  <c r="D280" i="11"/>
  <c r="I280" i="11" s="1"/>
  <c r="D281" i="11"/>
  <c r="I281" i="11" s="1"/>
  <c r="D282" i="11"/>
  <c r="I282" i="11" s="1"/>
  <c r="D283" i="11"/>
  <c r="I283" i="11" s="1"/>
  <c r="D284" i="11"/>
  <c r="I284" i="11" s="1"/>
  <c r="D285" i="11"/>
  <c r="I285" i="11" s="1"/>
  <c r="D286" i="11"/>
  <c r="I286" i="11" s="1"/>
  <c r="D287" i="11"/>
  <c r="I287" i="11" s="1"/>
  <c r="D288" i="11"/>
  <c r="I288" i="11" s="1"/>
  <c r="D289" i="11"/>
  <c r="I289" i="11" s="1"/>
  <c r="D290" i="11"/>
  <c r="I290" i="11" s="1"/>
  <c r="D291" i="11"/>
  <c r="I291" i="11" s="1"/>
  <c r="D292" i="11"/>
  <c r="I292" i="11" s="1"/>
  <c r="D293" i="11"/>
  <c r="I293" i="11" s="1"/>
  <c r="D294" i="11"/>
  <c r="I294" i="11" s="1"/>
  <c r="D295" i="11"/>
  <c r="I295" i="11" s="1"/>
  <c r="D296" i="11"/>
  <c r="I296" i="11" s="1"/>
  <c r="D297" i="11"/>
  <c r="I297" i="11" s="1"/>
  <c r="K297" i="11" s="1"/>
  <c r="D298" i="11"/>
  <c r="I298" i="11" s="1"/>
  <c r="D299" i="11"/>
  <c r="I299" i="11" s="1"/>
  <c r="D300" i="11"/>
  <c r="I300" i="11" s="1"/>
  <c r="D301" i="11"/>
  <c r="I301" i="11" s="1"/>
  <c r="D302" i="11"/>
  <c r="I302" i="11" s="1"/>
  <c r="D303" i="11"/>
  <c r="I303" i="11" s="1"/>
  <c r="D304" i="11"/>
  <c r="I304" i="11" s="1"/>
  <c r="D305" i="11"/>
  <c r="I305" i="11" s="1"/>
  <c r="K305" i="11" s="1"/>
  <c r="D306" i="11"/>
  <c r="I306" i="11" s="1"/>
  <c r="D307" i="11"/>
  <c r="I307" i="11" s="1"/>
  <c r="D308" i="11"/>
  <c r="I308" i="11" s="1"/>
  <c r="D309" i="11"/>
  <c r="I309" i="11" s="1"/>
  <c r="D310" i="11"/>
  <c r="I310" i="11" s="1"/>
  <c r="D311" i="11"/>
  <c r="I311" i="11" s="1"/>
  <c r="D312" i="11"/>
  <c r="I312" i="11" s="1"/>
  <c r="D313" i="11"/>
  <c r="I313" i="11" s="1"/>
  <c r="D314" i="11"/>
  <c r="I314" i="11" s="1"/>
  <c r="D315" i="11"/>
  <c r="I315" i="11" s="1"/>
  <c r="D316" i="11"/>
  <c r="I316" i="11" s="1"/>
  <c r="D317" i="11"/>
  <c r="I317" i="11" s="1"/>
  <c r="K317" i="11" s="1"/>
  <c r="D318" i="11"/>
  <c r="I318" i="11" s="1"/>
  <c r="D319" i="11"/>
  <c r="I319" i="11" s="1"/>
  <c r="D320" i="11"/>
  <c r="I320" i="11" s="1"/>
  <c r="D321" i="11"/>
  <c r="I321" i="11" s="1"/>
  <c r="D322" i="11"/>
  <c r="I322" i="11" s="1"/>
  <c r="D323" i="11"/>
  <c r="I323" i="11" s="1"/>
  <c r="D324" i="11"/>
  <c r="I324" i="11" s="1"/>
  <c r="D325" i="11"/>
  <c r="I325" i="11" s="1"/>
  <c r="D326" i="11"/>
  <c r="I326" i="11" s="1"/>
  <c r="K326" i="11" s="1"/>
  <c r="D327" i="11"/>
  <c r="I327" i="11" s="1"/>
  <c r="D328" i="11"/>
  <c r="I328" i="11" s="1"/>
  <c r="D329" i="11"/>
  <c r="I329" i="11" s="1"/>
  <c r="D330" i="11"/>
  <c r="I330" i="11" s="1"/>
  <c r="K330" i="11" s="1"/>
  <c r="D331" i="11"/>
  <c r="I331" i="11" s="1"/>
  <c r="D332" i="11"/>
  <c r="I332" i="11" s="1"/>
  <c r="D333" i="11"/>
  <c r="I333" i="11" s="1"/>
  <c r="D334" i="11"/>
  <c r="I334" i="11" s="1"/>
  <c r="D335" i="11"/>
  <c r="I335" i="11" s="1"/>
  <c r="D336" i="11"/>
  <c r="I336" i="11" s="1"/>
  <c r="D337" i="11"/>
  <c r="I337" i="11" s="1"/>
  <c r="D338" i="11"/>
  <c r="I338" i="11" s="1"/>
  <c r="D339" i="11"/>
  <c r="I339" i="11" s="1"/>
  <c r="D340" i="11"/>
  <c r="I340" i="11" s="1"/>
  <c r="D341" i="11"/>
  <c r="I341" i="11" s="1"/>
  <c r="D342" i="11"/>
  <c r="I342" i="11" s="1"/>
  <c r="D343" i="11"/>
  <c r="I343" i="11" s="1"/>
  <c r="D344" i="11"/>
  <c r="I344" i="11" s="1"/>
  <c r="D345" i="11"/>
  <c r="I345" i="11" s="1"/>
  <c r="D346" i="11"/>
  <c r="I346" i="11" s="1"/>
  <c r="D347" i="11"/>
  <c r="I347" i="11" s="1"/>
  <c r="D348" i="11"/>
  <c r="I348" i="11" s="1"/>
  <c r="D349" i="11"/>
  <c r="I349" i="11" s="1"/>
  <c r="D350" i="11"/>
  <c r="I350" i="11" s="1"/>
  <c r="D351" i="11"/>
  <c r="I351" i="11" s="1"/>
  <c r="D352" i="11"/>
  <c r="I352" i="11" s="1"/>
  <c r="D353" i="11"/>
  <c r="I353" i="11" s="1"/>
  <c r="D354" i="11"/>
  <c r="I354" i="11" s="1"/>
  <c r="D355" i="11"/>
  <c r="I355" i="11" s="1"/>
  <c r="D356" i="11"/>
  <c r="I356" i="11" s="1"/>
  <c r="D357" i="11"/>
  <c r="I357" i="11" s="1"/>
  <c r="D358" i="11"/>
  <c r="I358" i="11" s="1"/>
  <c r="D359" i="11"/>
  <c r="I359" i="11" s="1"/>
  <c r="K359" i="11" s="1"/>
  <c r="D360" i="11"/>
  <c r="I360" i="11" s="1"/>
  <c r="D361" i="11"/>
  <c r="I361" i="11" s="1"/>
  <c r="D362" i="11"/>
  <c r="I362" i="11" s="1"/>
  <c r="D363" i="11"/>
  <c r="I363" i="11" s="1"/>
  <c r="D364" i="11"/>
  <c r="I364" i="11" s="1"/>
  <c r="D365" i="11"/>
  <c r="I365" i="11" s="1"/>
  <c r="D366" i="11"/>
  <c r="I366" i="11" s="1"/>
  <c r="D367" i="11"/>
  <c r="I367" i="11" s="1"/>
  <c r="D368" i="11"/>
  <c r="I368" i="11" s="1"/>
  <c r="D369" i="11"/>
  <c r="I369" i="11" s="1"/>
  <c r="D370" i="11"/>
  <c r="I370" i="11" s="1"/>
  <c r="D371" i="11"/>
  <c r="I371" i="11" s="1"/>
  <c r="D372" i="11"/>
  <c r="I372" i="11" s="1"/>
  <c r="D373" i="11"/>
  <c r="I373" i="11" s="1"/>
  <c r="D374" i="11"/>
  <c r="I374" i="11" s="1"/>
  <c r="D375" i="11"/>
  <c r="I375" i="11" s="1"/>
  <c r="D376" i="11"/>
  <c r="I376" i="11" s="1"/>
  <c r="D377" i="11"/>
  <c r="I377" i="11" s="1"/>
  <c r="D378" i="11"/>
  <c r="I378" i="11" s="1"/>
  <c r="D379" i="11"/>
  <c r="I379" i="11" s="1"/>
  <c r="D380" i="11"/>
  <c r="I380" i="11" s="1"/>
  <c r="D381" i="11"/>
  <c r="I381" i="11" s="1"/>
  <c r="D382" i="11"/>
  <c r="I382" i="11" s="1"/>
  <c r="D383" i="11"/>
  <c r="I383" i="11" s="1"/>
  <c r="D384" i="11"/>
  <c r="I384" i="11" s="1"/>
  <c r="D385" i="11"/>
  <c r="I385" i="11" s="1"/>
  <c r="D386" i="11"/>
  <c r="I386" i="11" s="1"/>
  <c r="D387" i="11"/>
  <c r="I387" i="11" s="1"/>
  <c r="D388" i="11"/>
  <c r="I388" i="11" s="1"/>
  <c r="K388" i="11" s="1"/>
  <c r="D389" i="11"/>
  <c r="I389" i="11" s="1"/>
  <c r="D390" i="11"/>
  <c r="I390" i="11" s="1"/>
  <c r="D391" i="11"/>
  <c r="I391" i="11" s="1"/>
  <c r="D392" i="11"/>
  <c r="I392" i="11" s="1"/>
  <c r="D393" i="11"/>
  <c r="I393" i="11" s="1"/>
  <c r="K393" i="11" s="1"/>
  <c r="D394" i="11"/>
  <c r="I394" i="11" s="1"/>
  <c r="D395" i="11"/>
  <c r="I395" i="11" s="1"/>
  <c r="D396" i="11"/>
  <c r="I396" i="11" s="1"/>
  <c r="D397" i="11"/>
  <c r="I397" i="11" s="1"/>
  <c r="D398" i="11"/>
  <c r="I398" i="11" s="1"/>
  <c r="D399" i="11"/>
  <c r="I399" i="11" s="1"/>
  <c r="D400" i="11"/>
  <c r="I400" i="11" s="1"/>
  <c r="D401" i="11"/>
  <c r="I401" i="11" s="1"/>
  <c r="D402" i="11"/>
  <c r="I402" i="11" s="1"/>
  <c r="D403" i="11"/>
  <c r="I403" i="11" s="1"/>
  <c r="D404" i="11"/>
  <c r="I404" i="11" s="1"/>
  <c r="D405" i="11"/>
  <c r="I405" i="11" s="1"/>
  <c r="D406" i="11"/>
  <c r="I406" i="11" s="1"/>
  <c r="D407" i="11"/>
  <c r="I407" i="11" s="1"/>
  <c r="D408" i="11"/>
  <c r="I408" i="11" s="1"/>
  <c r="D409" i="11"/>
  <c r="I409" i="11" s="1"/>
  <c r="D410" i="11"/>
  <c r="I410" i="11" s="1"/>
  <c r="D411" i="11"/>
  <c r="I411" i="11" s="1"/>
  <c r="D412" i="11"/>
  <c r="I412" i="11" s="1"/>
  <c r="D413" i="11"/>
  <c r="I413" i="11" s="1"/>
  <c r="D414" i="11"/>
  <c r="I414" i="11" s="1"/>
  <c r="D415" i="11"/>
  <c r="I415" i="11" s="1"/>
  <c r="D416" i="11"/>
  <c r="I416" i="11" s="1"/>
  <c r="D417" i="11"/>
  <c r="I417" i="11" s="1"/>
  <c r="D418" i="11"/>
  <c r="I418" i="11" s="1"/>
  <c r="D419" i="11"/>
  <c r="I419" i="11" s="1"/>
  <c r="D420" i="11"/>
  <c r="I420" i="11" s="1"/>
  <c r="D421" i="11"/>
  <c r="I421" i="11" s="1"/>
  <c r="D422" i="11"/>
  <c r="I422" i="11" s="1"/>
  <c r="D423" i="11"/>
  <c r="I423" i="11" s="1"/>
  <c r="D424" i="11"/>
  <c r="I424" i="11" s="1"/>
  <c r="D425" i="11"/>
  <c r="I425" i="11" s="1"/>
  <c r="D426" i="11"/>
  <c r="I426" i="11" s="1"/>
  <c r="D427" i="11"/>
  <c r="I427" i="11" s="1"/>
  <c r="D428" i="11"/>
  <c r="I428" i="11" s="1"/>
  <c r="D429" i="11"/>
  <c r="I429" i="11" s="1"/>
  <c r="D430" i="11"/>
  <c r="I430" i="11" s="1"/>
  <c r="D431" i="11"/>
  <c r="I431" i="11" s="1"/>
  <c r="D432" i="11"/>
  <c r="I432" i="11" s="1"/>
  <c r="K432" i="11" s="1"/>
  <c r="D433" i="11"/>
  <c r="I433" i="11" s="1"/>
  <c r="D434" i="11"/>
  <c r="I434" i="11" s="1"/>
  <c r="D435" i="11"/>
  <c r="I435" i="11" s="1"/>
  <c r="D436" i="11"/>
  <c r="I436" i="11" s="1"/>
  <c r="D437" i="11"/>
  <c r="I437" i="11" s="1"/>
  <c r="D438" i="11"/>
  <c r="I438" i="11" s="1"/>
  <c r="D439" i="11"/>
  <c r="I439" i="11" s="1"/>
  <c r="D440" i="11"/>
  <c r="I440" i="11" s="1"/>
  <c r="D441" i="11"/>
  <c r="I441" i="11" s="1"/>
  <c r="D442" i="11"/>
  <c r="I442" i="11" s="1"/>
  <c r="D443" i="11"/>
  <c r="I443" i="11" s="1"/>
  <c r="D444" i="11"/>
  <c r="I444" i="11" s="1"/>
  <c r="D445" i="11"/>
  <c r="I445" i="11" s="1"/>
  <c r="D446" i="11"/>
  <c r="I446" i="11" s="1"/>
  <c r="D447" i="11"/>
  <c r="I447" i="11" s="1"/>
  <c r="D448" i="11"/>
  <c r="I448" i="11" s="1"/>
  <c r="D449" i="11"/>
  <c r="I449" i="11" s="1"/>
  <c r="D450" i="11"/>
  <c r="I450" i="11" s="1"/>
  <c r="D451" i="11"/>
  <c r="I451" i="11" s="1"/>
  <c r="D452" i="11"/>
  <c r="I452" i="11" s="1"/>
  <c r="D453" i="11"/>
  <c r="I453" i="11" s="1"/>
  <c r="D454" i="11"/>
  <c r="I454" i="11" s="1"/>
  <c r="D455" i="11"/>
  <c r="I455" i="11" s="1"/>
  <c r="D456" i="11"/>
  <c r="I456" i="11" s="1"/>
  <c r="D457" i="11"/>
  <c r="I457" i="11" s="1"/>
  <c r="D458" i="11"/>
  <c r="I458" i="11" s="1"/>
  <c r="D459" i="11"/>
  <c r="I459" i="11" s="1"/>
  <c r="D460" i="11"/>
  <c r="I460" i="11" s="1"/>
  <c r="D461" i="11"/>
  <c r="I461" i="11" s="1"/>
  <c r="D462" i="11"/>
  <c r="I462" i="11" s="1"/>
  <c r="D463" i="11"/>
  <c r="I463" i="11" s="1"/>
  <c r="D464" i="11"/>
  <c r="I464" i="11" s="1"/>
  <c r="D465" i="11"/>
  <c r="I465" i="11" s="1"/>
  <c r="D466" i="11"/>
  <c r="I466" i="11" s="1"/>
  <c r="D467" i="11"/>
  <c r="I467" i="11" s="1"/>
  <c r="D468" i="11"/>
  <c r="I468" i="11" s="1"/>
  <c r="D469" i="11"/>
  <c r="I469" i="11" s="1"/>
  <c r="D470" i="11"/>
  <c r="I470" i="11" s="1"/>
  <c r="D471" i="11"/>
  <c r="I471" i="11" s="1"/>
  <c r="D472" i="11"/>
  <c r="I472" i="11" s="1"/>
  <c r="D473" i="11"/>
  <c r="I473" i="11" s="1"/>
  <c r="D474" i="11"/>
  <c r="I474" i="11" s="1"/>
  <c r="D475" i="11"/>
  <c r="I475" i="11" s="1"/>
  <c r="D476" i="11"/>
  <c r="I476" i="11" s="1"/>
  <c r="D477" i="11"/>
  <c r="I477" i="11" s="1"/>
  <c r="D478" i="11"/>
  <c r="I478" i="11" s="1"/>
  <c r="D479" i="11"/>
  <c r="I479" i="11" s="1"/>
  <c r="D480" i="11"/>
  <c r="I480" i="11" s="1"/>
  <c r="D481" i="11"/>
  <c r="I481" i="11" s="1"/>
  <c r="D482" i="11"/>
  <c r="I482" i="11" s="1"/>
  <c r="D483" i="11"/>
  <c r="I483" i="11" s="1"/>
  <c r="D484" i="11"/>
  <c r="I484" i="11" s="1"/>
  <c r="D485" i="11"/>
  <c r="I485" i="11" s="1"/>
  <c r="D486" i="11"/>
  <c r="I486" i="11" s="1"/>
  <c r="D487" i="11"/>
  <c r="I487" i="11" s="1"/>
  <c r="D488" i="11"/>
  <c r="I488" i="11" s="1"/>
  <c r="D489" i="11"/>
  <c r="I489" i="11" s="1"/>
  <c r="D490" i="11"/>
  <c r="I490" i="11" s="1"/>
  <c r="D491" i="11"/>
  <c r="I491" i="11" s="1"/>
  <c r="D492" i="11"/>
  <c r="I492" i="11" s="1"/>
  <c r="D493" i="11"/>
  <c r="I493" i="11" s="1"/>
  <c r="K493" i="11" s="1"/>
  <c r="D494" i="11"/>
  <c r="I494" i="11" s="1"/>
  <c r="D495" i="11"/>
  <c r="I495" i="11" s="1"/>
  <c r="D496" i="11"/>
  <c r="I496" i="11" s="1"/>
  <c r="D497" i="11"/>
  <c r="I497" i="11" s="1"/>
  <c r="D498" i="11"/>
  <c r="I498" i="11" s="1"/>
  <c r="K498" i="11" s="1"/>
  <c r="D499" i="11"/>
  <c r="I499" i="11" s="1"/>
  <c r="K499" i="11" s="1"/>
  <c r="D500" i="11"/>
  <c r="I500" i="11" s="1"/>
  <c r="D501" i="11"/>
  <c r="I501" i="11" s="1"/>
  <c r="D502" i="11"/>
  <c r="I502" i="11" s="1"/>
  <c r="D503" i="11"/>
  <c r="I503" i="11" s="1"/>
  <c r="D504" i="11"/>
  <c r="I504" i="11" s="1"/>
  <c r="D505" i="11"/>
  <c r="I505" i="11" s="1"/>
  <c r="D506" i="11"/>
  <c r="I506" i="11" s="1"/>
  <c r="D507" i="11"/>
  <c r="I507" i="11" s="1"/>
  <c r="D508" i="11"/>
  <c r="I508" i="11" s="1"/>
  <c r="D509" i="11"/>
  <c r="I509" i="11" s="1"/>
  <c r="K509" i="11" s="1"/>
  <c r="D510" i="11"/>
  <c r="I510" i="11" s="1"/>
  <c r="D511" i="11"/>
  <c r="I511" i="11" s="1"/>
  <c r="D512" i="11"/>
  <c r="I512" i="11" s="1"/>
  <c r="D513" i="11"/>
  <c r="I513" i="11" s="1"/>
  <c r="D514" i="11"/>
  <c r="I514" i="11" s="1"/>
  <c r="D515" i="11"/>
  <c r="I515" i="11" s="1"/>
  <c r="D516" i="11"/>
  <c r="I516" i="11" s="1"/>
  <c r="D517" i="11"/>
  <c r="I517" i="11" s="1"/>
  <c r="D518" i="11"/>
  <c r="I518" i="11" s="1"/>
  <c r="K518" i="11" s="1"/>
  <c r="D519" i="11"/>
  <c r="I519" i="11" s="1"/>
  <c r="D520" i="11"/>
  <c r="I520" i="11" s="1"/>
  <c r="D521" i="11"/>
  <c r="I521" i="11" s="1"/>
  <c r="D522" i="11"/>
  <c r="I522" i="11" s="1"/>
  <c r="D523" i="11"/>
  <c r="I523" i="11" s="1"/>
  <c r="D524" i="11"/>
  <c r="I524" i="11" s="1"/>
  <c r="D525" i="11"/>
  <c r="I525" i="11" s="1"/>
  <c r="D526" i="11"/>
  <c r="I526" i="11" s="1"/>
  <c r="D527" i="11"/>
  <c r="I527" i="11" s="1"/>
  <c r="D528" i="11"/>
  <c r="I528" i="11" s="1"/>
  <c r="D529" i="11"/>
  <c r="I529" i="11" s="1"/>
  <c r="D530" i="11"/>
  <c r="I530" i="11" s="1"/>
  <c r="D531" i="11"/>
  <c r="I531" i="11" s="1"/>
  <c r="D532" i="11"/>
  <c r="I532" i="11" s="1"/>
  <c r="D533" i="11"/>
  <c r="I533" i="11" s="1"/>
  <c r="D534" i="11"/>
  <c r="I534" i="11" s="1"/>
  <c r="D535" i="11"/>
  <c r="I535" i="11" s="1"/>
  <c r="D536" i="11"/>
  <c r="I536" i="11" s="1"/>
  <c r="D537" i="11"/>
  <c r="I537" i="11" s="1"/>
  <c r="D538" i="11"/>
  <c r="I538" i="11" s="1"/>
  <c r="D539" i="11"/>
  <c r="I539" i="11" s="1"/>
  <c r="D540" i="11"/>
  <c r="I540" i="11" s="1"/>
  <c r="D541" i="11"/>
  <c r="I541" i="11" s="1"/>
  <c r="D542" i="11"/>
  <c r="I542" i="11" s="1"/>
  <c r="D543" i="11"/>
  <c r="I543" i="11" s="1"/>
  <c r="D544" i="11"/>
  <c r="I544" i="11" s="1"/>
  <c r="D545" i="11"/>
  <c r="I545" i="11" s="1"/>
  <c r="D546" i="11"/>
  <c r="I546" i="11" s="1"/>
  <c r="D547" i="11"/>
  <c r="I547" i="11" s="1"/>
  <c r="K547" i="11" s="1"/>
  <c r="D548" i="11"/>
  <c r="I548" i="11" s="1"/>
  <c r="D549" i="11"/>
  <c r="I549" i="11" s="1"/>
  <c r="D550" i="11"/>
  <c r="I550" i="11" s="1"/>
  <c r="D551" i="11"/>
  <c r="I551" i="11" s="1"/>
  <c r="D552" i="11"/>
  <c r="I552" i="11" s="1"/>
  <c r="D553" i="11"/>
  <c r="I553" i="11" s="1"/>
  <c r="D554" i="11"/>
  <c r="I554" i="11" s="1"/>
  <c r="D555" i="11"/>
  <c r="I555" i="11" s="1"/>
  <c r="D556" i="11"/>
  <c r="I556" i="11" s="1"/>
  <c r="D557" i="11"/>
  <c r="I557" i="11" s="1"/>
  <c r="K557" i="11" s="1"/>
  <c r="O557" i="11" s="1"/>
  <c r="D558" i="11"/>
  <c r="I558" i="11" s="1"/>
  <c r="D559" i="11"/>
  <c r="I559" i="11" s="1"/>
  <c r="D560" i="11"/>
  <c r="I560" i="11" s="1"/>
  <c r="D561" i="11"/>
  <c r="I561" i="11" s="1"/>
  <c r="D562" i="11"/>
  <c r="I562" i="11" s="1"/>
  <c r="D563" i="11"/>
  <c r="I563" i="11" s="1"/>
  <c r="D564" i="11"/>
  <c r="I564" i="11" s="1"/>
  <c r="K564" i="11" s="1"/>
  <c r="D565" i="11"/>
  <c r="I565" i="11" s="1"/>
  <c r="D566" i="11"/>
  <c r="I566" i="11" s="1"/>
  <c r="D567" i="11"/>
  <c r="I567" i="11" s="1"/>
  <c r="D568" i="11"/>
  <c r="I568" i="11" s="1"/>
  <c r="D569" i="11"/>
  <c r="I569" i="11" s="1"/>
  <c r="D570" i="11"/>
  <c r="I570" i="11" s="1"/>
  <c r="D571" i="11"/>
  <c r="I571" i="11" s="1"/>
  <c r="D572" i="11"/>
  <c r="I572" i="11" s="1"/>
  <c r="D573" i="11"/>
  <c r="I573" i="11" s="1"/>
  <c r="D574" i="11"/>
  <c r="I574" i="11" s="1"/>
  <c r="D575" i="11"/>
  <c r="I575" i="11" s="1"/>
  <c r="D576" i="11"/>
  <c r="I576" i="11" s="1"/>
  <c r="D577" i="11"/>
  <c r="I577" i="11" s="1"/>
  <c r="D578" i="11"/>
  <c r="I578" i="11" s="1"/>
  <c r="D579" i="11"/>
  <c r="I579" i="11" s="1"/>
  <c r="D580" i="11"/>
  <c r="I580" i="11" s="1"/>
  <c r="D581" i="11"/>
  <c r="I581" i="11" s="1"/>
  <c r="D582" i="11"/>
  <c r="I582" i="11" s="1"/>
  <c r="D583" i="11"/>
  <c r="I583" i="11" s="1"/>
  <c r="D584" i="11"/>
  <c r="I584" i="11" s="1"/>
  <c r="D585" i="11"/>
  <c r="I585" i="11" s="1"/>
  <c r="K585" i="11" s="1"/>
  <c r="D586" i="11"/>
  <c r="I586" i="11" s="1"/>
  <c r="D587" i="11"/>
  <c r="I587" i="11" s="1"/>
  <c r="D588" i="11"/>
  <c r="I588" i="11" s="1"/>
  <c r="D589" i="11"/>
  <c r="I589" i="11" s="1"/>
  <c r="D590" i="11"/>
  <c r="I590" i="11" s="1"/>
  <c r="D591" i="11"/>
  <c r="I591" i="11" s="1"/>
  <c r="D592" i="11"/>
  <c r="I592" i="11" s="1"/>
  <c r="D593" i="11"/>
  <c r="I593" i="11" s="1"/>
  <c r="D594" i="11"/>
  <c r="I594" i="11" s="1"/>
  <c r="D595" i="11"/>
  <c r="I595" i="11" s="1"/>
  <c r="D596" i="11"/>
  <c r="I596" i="11" s="1"/>
  <c r="D597" i="11"/>
  <c r="I597" i="11" s="1"/>
  <c r="D598" i="11"/>
  <c r="I598" i="11" s="1"/>
  <c r="D599" i="11"/>
  <c r="I599" i="11" s="1"/>
  <c r="D600" i="11"/>
  <c r="I600" i="11" s="1"/>
  <c r="D601" i="11"/>
  <c r="I601" i="11" s="1"/>
  <c r="D602" i="11"/>
  <c r="I602" i="11" s="1"/>
  <c r="D603" i="11"/>
  <c r="I603" i="11" s="1"/>
  <c r="D604" i="11"/>
  <c r="I604" i="11" s="1"/>
  <c r="D605" i="11"/>
  <c r="I605" i="11" s="1"/>
  <c r="D606" i="11"/>
  <c r="I606" i="11" s="1"/>
  <c r="D607" i="11"/>
  <c r="I607" i="11" s="1"/>
  <c r="D608" i="11"/>
  <c r="I608" i="11" s="1"/>
  <c r="D609" i="11"/>
  <c r="I609" i="11" s="1"/>
  <c r="D610" i="11"/>
  <c r="I610" i="11" s="1"/>
  <c r="D611" i="11"/>
  <c r="I611" i="11" s="1"/>
  <c r="D612" i="11"/>
  <c r="I612" i="11" s="1"/>
  <c r="D613" i="11"/>
  <c r="I613" i="11" s="1"/>
  <c r="D614" i="11"/>
  <c r="I614" i="11" s="1"/>
  <c r="D615" i="11"/>
  <c r="I615" i="11" s="1"/>
  <c r="D616" i="11"/>
  <c r="I616" i="11" s="1"/>
  <c r="D617" i="11"/>
  <c r="I617" i="11" s="1"/>
  <c r="D618" i="11"/>
  <c r="I618" i="11" s="1"/>
  <c r="D619" i="11"/>
  <c r="I619" i="11" s="1"/>
  <c r="D620" i="11"/>
  <c r="I620" i="11" s="1"/>
  <c r="D621" i="11"/>
  <c r="I621" i="11" s="1"/>
  <c r="D622" i="11"/>
  <c r="I622" i="11" s="1"/>
  <c r="D623" i="11"/>
  <c r="I623" i="11" s="1"/>
  <c r="D624" i="11"/>
  <c r="I624" i="11" s="1"/>
  <c r="D625" i="11"/>
  <c r="I625" i="11" s="1"/>
  <c r="D626" i="11"/>
  <c r="I626" i="11" s="1"/>
  <c r="D627" i="11"/>
  <c r="I627" i="11" s="1"/>
  <c r="K627" i="11" s="1"/>
  <c r="D628" i="11"/>
  <c r="I628" i="11" s="1"/>
  <c r="D629" i="11"/>
  <c r="I629" i="11" s="1"/>
  <c r="D630" i="11"/>
  <c r="I630" i="11" s="1"/>
  <c r="D631" i="11"/>
  <c r="I631" i="11" s="1"/>
  <c r="D632" i="11"/>
  <c r="I632" i="11" s="1"/>
  <c r="D633" i="11"/>
  <c r="I633" i="11" s="1"/>
  <c r="D634" i="11"/>
  <c r="I634" i="11" s="1"/>
  <c r="D635" i="11"/>
  <c r="I635" i="11" s="1"/>
  <c r="K635" i="11" s="1"/>
  <c r="D636" i="11"/>
  <c r="I636" i="11" s="1"/>
  <c r="K636" i="11" s="1"/>
  <c r="D637" i="11"/>
  <c r="I637" i="11" s="1"/>
  <c r="D638" i="11"/>
  <c r="I638" i="11" s="1"/>
  <c r="D639" i="11"/>
  <c r="I639" i="11" s="1"/>
  <c r="D640" i="11"/>
  <c r="I640" i="11" s="1"/>
  <c r="D641" i="11"/>
  <c r="I641" i="11" s="1"/>
  <c r="D642" i="11"/>
  <c r="I642" i="11" s="1"/>
  <c r="D643" i="11"/>
  <c r="I643" i="11" s="1"/>
  <c r="D644" i="11"/>
  <c r="I644" i="11" s="1"/>
  <c r="D645" i="11"/>
  <c r="I645" i="11" s="1"/>
  <c r="D646" i="11"/>
  <c r="I646" i="11" s="1"/>
  <c r="D647" i="11"/>
  <c r="I647" i="11" s="1"/>
  <c r="D648" i="11"/>
  <c r="I648" i="11" s="1"/>
  <c r="D649" i="11"/>
  <c r="I649" i="11" s="1"/>
  <c r="D650" i="11"/>
  <c r="I650" i="11" s="1"/>
  <c r="D651" i="11"/>
  <c r="I651" i="11" s="1"/>
  <c r="D652" i="11"/>
  <c r="I652" i="11" s="1"/>
  <c r="D653" i="11"/>
  <c r="I653" i="11" s="1"/>
  <c r="D654" i="11"/>
  <c r="I654" i="11" s="1"/>
  <c r="D655" i="11"/>
  <c r="I655" i="11" s="1"/>
  <c r="D656" i="11"/>
  <c r="I656" i="11" s="1"/>
  <c r="D657" i="11"/>
  <c r="I657" i="11" s="1"/>
  <c r="D658" i="11"/>
  <c r="I658" i="11" s="1"/>
  <c r="D659" i="11"/>
  <c r="I659" i="11" s="1"/>
  <c r="D660" i="11"/>
  <c r="I660" i="11" s="1"/>
  <c r="D661" i="11"/>
  <c r="I661" i="11" s="1"/>
  <c r="D662" i="11"/>
  <c r="I662" i="11" s="1"/>
  <c r="D663" i="11"/>
  <c r="I663" i="11" s="1"/>
  <c r="D664" i="11"/>
  <c r="I664" i="11" s="1"/>
  <c r="D665" i="11"/>
  <c r="I665" i="11" s="1"/>
  <c r="D666" i="11"/>
  <c r="I666" i="11" s="1"/>
  <c r="D667" i="11"/>
  <c r="I667" i="11" s="1"/>
  <c r="D668" i="11"/>
  <c r="I668" i="11" s="1"/>
  <c r="D669" i="11"/>
  <c r="I669" i="11" s="1"/>
  <c r="D670" i="11"/>
  <c r="I670" i="11" s="1"/>
  <c r="D671" i="11"/>
  <c r="I671" i="11" s="1"/>
  <c r="D672" i="11"/>
  <c r="I672" i="11" s="1"/>
  <c r="D673" i="11"/>
  <c r="I673" i="11" s="1"/>
  <c r="D674" i="11"/>
  <c r="I674" i="11" s="1"/>
  <c r="D675" i="11"/>
  <c r="I675" i="11" s="1"/>
  <c r="D676" i="11"/>
  <c r="I676" i="11" s="1"/>
  <c r="D677" i="11"/>
  <c r="I677" i="11" s="1"/>
  <c r="D678" i="11"/>
  <c r="I678" i="11" s="1"/>
  <c r="D679" i="11"/>
  <c r="I679" i="11" s="1"/>
  <c r="D680" i="11"/>
  <c r="I680" i="11" s="1"/>
  <c r="D681" i="11"/>
  <c r="I681" i="11" s="1"/>
  <c r="D682" i="11"/>
  <c r="I682" i="11" s="1"/>
  <c r="D683" i="11"/>
  <c r="I683" i="11" s="1"/>
  <c r="D684" i="11"/>
  <c r="D2" i="11"/>
  <c r="I2" i="11" s="1"/>
  <c r="D2" i="9"/>
  <c r="J2" i="11"/>
  <c r="J3" i="12" l="1"/>
  <c r="K3" i="12" s="1"/>
  <c r="E3" i="12"/>
  <c r="O122" i="11"/>
  <c r="O57" i="11"/>
  <c r="O359" i="11"/>
  <c r="O518" i="11"/>
  <c r="O547" i="11"/>
  <c r="N2" i="11"/>
  <c r="O317" i="11"/>
  <c r="N681" i="11"/>
  <c r="N665" i="11"/>
  <c r="N641" i="11"/>
  <c r="N625" i="11"/>
  <c r="N609" i="11"/>
  <c r="N585" i="11"/>
  <c r="O585" i="11"/>
  <c r="N569" i="11"/>
  <c r="N545" i="11"/>
  <c r="N529" i="11"/>
  <c r="N513" i="11"/>
  <c r="N497" i="11"/>
  <c r="N481" i="11"/>
  <c r="N457" i="11"/>
  <c r="N417" i="11"/>
  <c r="N401" i="11"/>
  <c r="N361" i="11"/>
  <c r="N353" i="11"/>
  <c r="N337" i="11"/>
  <c r="N321" i="11"/>
  <c r="N305" i="11"/>
  <c r="O305" i="11"/>
  <c r="N289" i="11"/>
  <c r="N273" i="11"/>
  <c r="N225" i="11"/>
  <c r="N209" i="11"/>
  <c r="N201" i="11"/>
  <c r="N193" i="11"/>
  <c r="N177" i="11"/>
  <c r="N169" i="11"/>
  <c r="N161" i="11"/>
  <c r="N137" i="11"/>
  <c r="N129" i="11"/>
  <c r="N113" i="11"/>
  <c r="N105" i="11"/>
  <c r="N97" i="11"/>
  <c r="N81" i="11"/>
  <c r="N73" i="11"/>
  <c r="N65" i="11"/>
  <c r="N49" i="11"/>
  <c r="N41" i="11"/>
  <c r="N33" i="11"/>
  <c r="N17" i="11"/>
  <c r="O17" i="11"/>
  <c r="N9" i="11"/>
  <c r="N673" i="11"/>
  <c r="N657" i="11"/>
  <c r="N649" i="11"/>
  <c r="N633" i="11"/>
  <c r="N617" i="11"/>
  <c r="N601" i="11"/>
  <c r="N593" i="11"/>
  <c r="N577" i="11"/>
  <c r="N561" i="11"/>
  <c r="N553" i="11"/>
  <c r="N537" i="11"/>
  <c r="N521" i="11"/>
  <c r="N505" i="11"/>
  <c r="N465" i="11"/>
  <c r="N449" i="11"/>
  <c r="N433" i="11"/>
  <c r="N425" i="11"/>
  <c r="N393" i="11"/>
  <c r="O393" i="11"/>
  <c r="N385" i="11"/>
  <c r="N369" i="11"/>
  <c r="N329" i="11"/>
  <c r="N297" i="11"/>
  <c r="O297" i="11"/>
  <c r="P297" i="11" s="1"/>
  <c r="Q297" i="11" s="1"/>
  <c r="N265" i="11"/>
  <c r="N257" i="11"/>
  <c r="N241" i="11"/>
  <c r="N145" i="11"/>
  <c r="N648" i="11"/>
  <c r="N632" i="11"/>
  <c r="N624" i="11"/>
  <c r="N616" i="11"/>
  <c r="N608" i="11"/>
  <c r="N600" i="11"/>
  <c r="N592" i="11"/>
  <c r="N576" i="11"/>
  <c r="N568" i="11"/>
  <c r="N560" i="11"/>
  <c r="N536" i="11"/>
  <c r="N528" i="11"/>
  <c r="N520" i="11"/>
  <c r="N512" i="11"/>
  <c r="N504" i="11"/>
  <c r="N496" i="11"/>
  <c r="N472" i="11"/>
  <c r="N464" i="11"/>
  <c r="N456" i="11"/>
  <c r="N448" i="11"/>
  <c r="N440" i="11"/>
  <c r="N432" i="11"/>
  <c r="O432" i="11"/>
  <c r="N408" i="11"/>
  <c r="N400" i="11"/>
  <c r="N392" i="11"/>
  <c r="N384" i="11"/>
  <c r="N376" i="11"/>
  <c r="N368" i="11"/>
  <c r="N344" i="11"/>
  <c r="N336" i="11"/>
  <c r="N328" i="11"/>
  <c r="N320" i="11"/>
  <c r="N312" i="11"/>
  <c r="N304" i="11"/>
  <c r="N280" i="11"/>
  <c r="N272" i="11"/>
  <c r="N264" i="11"/>
  <c r="N256" i="11"/>
  <c r="N248" i="11"/>
  <c r="N240" i="11"/>
  <c r="N216" i="11"/>
  <c r="N208" i="11"/>
  <c r="N200" i="11"/>
  <c r="N192" i="11"/>
  <c r="N184" i="11"/>
  <c r="N176" i="11"/>
  <c r="N152" i="11"/>
  <c r="N144" i="11"/>
  <c r="N136" i="11"/>
  <c r="N128" i="11"/>
  <c r="N120" i="11"/>
  <c r="N112" i="11"/>
  <c r="N88" i="11"/>
  <c r="O88" i="11"/>
  <c r="N80" i="11"/>
  <c r="P80" i="11" s="1"/>
  <c r="Q80" i="11" s="1"/>
  <c r="O80" i="11"/>
  <c r="N72" i="11"/>
  <c r="O72" i="11"/>
  <c r="N64" i="11"/>
  <c r="N56" i="11"/>
  <c r="N48" i="11"/>
  <c r="N24" i="11"/>
  <c r="O24" i="11"/>
  <c r="N16" i="11"/>
  <c r="N8" i="11"/>
  <c r="O326" i="11"/>
  <c r="O222" i="11"/>
  <c r="O110" i="11"/>
  <c r="O509" i="11"/>
  <c r="O493" i="11"/>
  <c r="O636" i="11"/>
  <c r="O564" i="11"/>
  <c r="O388" i="11"/>
  <c r="O188" i="11"/>
  <c r="O148" i="11"/>
  <c r="O140" i="11"/>
  <c r="O635" i="11"/>
  <c r="O627" i="11"/>
  <c r="O499" i="11"/>
  <c r="O155" i="11"/>
  <c r="O107" i="11"/>
  <c r="N682" i="11"/>
  <c r="N674" i="11"/>
  <c r="N666" i="11"/>
  <c r="N658" i="11"/>
  <c r="N650" i="11"/>
  <c r="N626" i="11"/>
  <c r="N618" i="11"/>
  <c r="N610" i="11"/>
  <c r="N602" i="11"/>
  <c r="N594" i="11"/>
  <c r="N586" i="11"/>
  <c r="N562" i="11"/>
  <c r="N554" i="11"/>
  <c r="N546" i="11"/>
  <c r="N538" i="11"/>
  <c r="N530" i="11"/>
  <c r="N522" i="11"/>
  <c r="N498" i="11"/>
  <c r="O498" i="11"/>
  <c r="N490" i="11"/>
  <c r="N482" i="11"/>
  <c r="N466" i="11"/>
  <c r="N458" i="11"/>
  <c r="N434" i="11"/>
  <c r="N426" i="11"/>
  <c r="N418" i="11"/>
  <c r="N402" i="11"/>
  <c r="N394" i="11"/>
  <c r="N370" i="11"/>
  <c r="N362" i="11"/>
  <c r="N354" i="11"/>
  <c r="N338" i="11"/>
  <c r="N330" i="11"/>
  <c r="O330" i="11"/>
  <c r="N306" i="11"/>
  <c r="N298" i="11"/>
  <c r="N290" i="11"/>
  <c r="N274" i="11"/>
  <c r="N266" i="11"/>
  <c r="N242" i="11"/>
  <c r="N234" i="11"/>
  <c r="N226" i="11"/>
  <c r="N210" i="11"/>
  <c r="N202" i="11"/>
  <c r="N178" i="11"/>
  <c r="N170" i="11"/>
  <c r="N162" i="11"/>
  <c r="N146" i="11"/>
  <c r="N138" i="11"/>
  <c r="N114" i="11"/>
  <c r="N106" i="11"/>
  <c r="N98" i="11"/>
  <c r="N82" i="11"/>
  <c r="N74" i="11"/>
  <c r="N50" i="11"/>
  <c r="N42" i="11"/>
  <c r="N34" i="11"/>
  <c r="N18" i="11"/>
  <c r="O18" i="11"/>
  <c r="N10" i="11"/>
  <c r="N474" i="11"/>
  <c r="N442" i="11"/>
  <c r="N410" i="11"/>
  <c r="N378" i="11"/>
  <c r="N346" i="11"/>
  <c r="N314" i="11"/>
  <c r="N282" i="11"/>
  <c r="N250" i="11"/>
  <c r="N218" i="11"/>
  <c r="N186" i="11"/>
  <c r="N154" i="11"/>
  <c r="N122" i="11"/>
  <c r="N90" i="11"/>
  <c r="N58" i="11"/>
  <c r="N26" i="11"/>
  <c r="N473" i="11"/>
  <c r="N441" i="11"/>
  <c r="N409" i="11"/>
  <c r="N377" i="11"/>
  <c r="N345" i="11"/>
  <c r="N313" i="11"/>
  <c r="N281" i="11"/>
  <c r="N249" i="11"/>
  <c r="N217" i="11"/>
  <c r="N185" i="11"/>
  <c r="N153" i="11"/>
  <c r="N121" i="11"/>
  <c r="N89" i="11"/>
  <c r="N57" i="11"/>
  <c r="N25" i="11"/>
  <c r="R509" i="11"/>
  <c r="N679" i="11"/>
  <c r="N639" i="11"/>
  <c r="N599" i="11"/>
  <c r="N559" i="11"/>
  <c r="N511" i="11"/>
  <c r="N471" i="11"/>
  <c r="N431" i="11"/>
  <c r="N391" i="11"/>
  <c r="N343" i="11"/>
  <c r="N271" i="11"/>
  <c r="N207" i="11"/>
  <c r="N159" i="11"/>
  <c r="N111" i="11"/>
  <c r="N47" i="11"/>
  <c r="N646" i="11"/>
  <c r="N598" i="11"/>
  <c r="N558" i="11"/>
  <c r="N518" i="11"/>
  <c r="N462" i="11"/>
  <c r="N422" i="11"/>
  <c r="N366" i="11"/>
  <c r="N318" i="11"/>
  <c r="N278" i="11"/>
  <c r="N222" i="11"/>
  <c r="N182" i="11"/>
  <c r="N142" i="11"/>
  <c r="N102" i="11"/>
  <c r="N62" i="11"/>
  <c r="N6" i="11"/>
  <c r="R547" i="11"/>
  <c r="N677" i="11"/>
  <c r="N661" i="11"/>
  <c r="N645" i="11"/>
  <c r="N613" i="11"/>
  <c r="N605" i="11"/>
  <c r="N597" i="11"/>
  <c r="N581" i="11"/>
  <c r="N573" i="11"/>
  <c r="N565" i="11"/>
  <c r="N557" i="11"/>
  <c r="N549" i="11"/>
  <c r="N541" i="11"/>
  <c r="N533" i="11"/>
  <c r="N525" i="11"/>
  <c r="N517" i="11"/>
  <c r="N509" i="11"/>
  <c r="N501" i="11"/>
  <c r="N493" i="11"/>
  <c r="N485" i="11"/>
  <c r="N477" i="11"/>
  <c r="N469" i="11"/>
  <c r="N461" i="11"/>
  <c r="N453" i="11"/>
  <c r="N445" i="11"/>
  <c r="N437" i="11"/>
  <c r="N429" i="11"/>
  <c r="N421" i="11"/>
  <c r="N413" i="11"/>
  <c r="N405" i="11"/>
  <c r="N397" i="11"/>
  <c r="N389" i="11"/>
  <c r="N381" i="11"/>
  <c r="N373" i="11"/>
  <c r="N365" i="11"/>
  <c r="N357" i="11"/>
  <c r="N349" i="11"/>
  <c r="N341" i="11"/>
  <c r="N333" i="11"/>
  <c r="N325" i="11"/>
  <c r="N317" i="11"/>
  <c r="N309" i="11"/>
  <c r="N301" i="11"/>
  <c r="N293" i="11"/>
  <c r="N285" i="11"/>
  <c r="N277" i="11"/>
  <c r="N269" i="11"/>
  <c r="N261" i="11"/>
  <c r="N253" i="11"/>
  <c r="N245" i="11"/>
  <c r="N237" i="11"/>
  <c r="N229" i="11"/>
  <c r="N221" i="11"/>
  <c r="N213" i="11"/>
  <c r="N205" i="11"/>
  <c r="N197" i="11"/>
  <c r="N189" i="11"/>
  <c r="N181" i="11"/>
  <c r="N173" i="11"/>
  <c r="N165" i="11"/>
  <c r="N157" i="11"/>
  <c r="N149" i="11"/>
  <c r="N141" i="11"/>
  <c r="N133" i="11"/>
  <c r="N125" i="11"/>
  <c r="N117" i="11"/>
  <c r="N109" i="11"/>
  <c r="N101" i="11"/>
  <c r="N93" i="11"/>
  <c r="N85" i="11"/>
  <c r="N77" i="11"/>
  <c r="N69" i="11"/>
  <c r="N61" i="11"/>
  <c r="N53" i="11"/>
  <c r="N45" i="11"/>
  <c r="N37" i="11"/>
  <c r="N29" i="11"/>
  <c r="N21" i="11"/>
  <c r="N13" i="11"/>
  <c r="N5" i="11"/>
  <c r="R493" i="11"/>
  <c r="N671" i="11"/>
  <c r="N623" i="11"/>
  <c r="N591" i="11"/>
  <c r="N551" i="11"/>
  <c r="N503" i="11"/>
  <c r="N463" i="11"/>
  <c r="N415" i="11"/>
  <c r="N375" i="11"/>
  <c r="N327" i="11"/>
  <c r="N279" i="11"/>
  <c r="N239" i="11"/>
  <c r="N191" i="11"/>
  <c r="N143" i="11"/>
  <c r="N95" i="11"/>
  <c r="N55" i="11"/>
  <c r="N7" i="11"/>
  <c r="R188" i="11"/>
  <c r="R148" i="11"/>
  <c r="N670" i="11"/>
  <c r="N638" i="11"/>
  <c r="N614" i="11"/>
  <c r="N582" i="11"/>
  <c r="N534" i="11"/>
  <c r="N502" i="11"/>
  <c r="N470" i="11"/>
  <c r="N430" i="11"/>
  <c r="N406" i="11"/>
  <c r="N374" i="11"/>
  <c r="N334" i="11"/>
  <c r="N294" i="11"/>
  <c r="N262" i="11"/>
  <c r="N238" i="11"/>
  <c r="N198" i="11"/>
  <c r="N158" i="11"/>
  <c r="N110" i="11"/>
  <c r="N86" i="11"/>
  <c r="N54" i="11"/>
  <c r="N22" i="11"/>
  <c r="N669" i="11"/>
  <c r="N589" i="11"/>
  <c r="R498" i="11"/>
  <c r="R330" i="11"/>
  <c r="R122" i="11"/>
  <c r="R18" i="11"/>
  <c r="N684" i="11"/>
  <c r="N676" i="11"/>
  <c r="N668" i="11"/>
  <c r="N660" i="11"/>
  <c r="N652" i="11"/>
  <c r="N644" i="11"/>
  <c r="N636" i="11"/>
  <c r="N628" i="11"/>
  <c r="N620" i="11"/>
  <c r="N612" i="11"/>
  <c r="N604" i="11"/>
  <c r="N596" i="11"/>
  <c r="N588" i="11"/>
  <c r="N580" i="11"/>
  <c r="N572" i="11"/>
  <c r="N564" i="11"/>
  <c r="N556" i="11"/>
  <c r="N548" i="11"/>
  <c r="N540" i="11"/>
  <c r="N532" i="11"/>
  <c r="N524" i="11"/>
  <c r="N516" i="11"/>
  <c r="N508" i="11"/>
  <c r="N500" i="11"/>
  <c r="N492" i="11"/>
  <c r="N484" i="11"/>
  <c r="N476" i="11"/>
  <c r="N468" i="11"/>
  <c r="N460" i="11"/>
  <c r="N452" i="11"/>
  <c r="N444" i="11"/>
  <c r="N436" i="11"/>
  <c r="N428" i="11"/>
  <c r="N420" i="11"/>
  <c r="N412" i="11"/>
  <c r="N404" i="11"/>
  <c r="N396" i="11"/>
  <c r="N388" i="11"/>
  <c r="P388" i="11" s="1"/>
  <c r="Q388" i="11" s="1"/>
  <c r="N380" i="11"/>
  <c r="N372" i="11"/>
  <c r="N364" i="11"/>
  <c r="N356" i="11"/>
  <c r="N348" i="11"/>
  <c r="N340" i="11"/>
  <c r="N332" i="11"/>
  <c r="N324" i="11"/>
  <c r="N316" i="11"/>
  <c r="N308" i="11"/>
  <c r="N300" i="11"/>
  <c r="N292" i="11"/>
  <c r="N284" i="11"/>
  <c r="N276" i="11"/>
  <c r="N268" i="11"/>
  <c r="N260" i="11"/>
  <c r="N252" i="11"/>
  <c r="N244" i="11"/>
  <c r="N236" i="11"/>
  <c r="N228" i="11"/>
  <c r="N220" i="11"/>
  <c r="N212" i="11"/>
  <c r="N204" i="11"/>
  <c r="N196" i="11"/>
  <c r="N188" i="11"/>
  <c r="N180" i="11"/>
  <c r="N172" i="11"/>
  <c r="N164" i="11"/>
  <c r="N156" i="11"/>
  <c r="N148" i="11"/>
  <c r="N140" i="11"/>
  <c r="N132" i="11"/>
  <c r="N124" i="11"/>
  <c r="N116" i="11"/>
  <c r="N108" i="11"/>
  <c r="N100" i="11"/>
  <c r="N92" i="11"/>
  <c r="N84" i="11"/>
  <c r="N76" i="11"/>
  <c r="N68" i="11"/>
  <c r="N60" i="11"/>
  <c r="N52" i="11"/>
  <c r="N44" i="11"/>
  <c r="N36" i="11"/>
  <c r="N28" i="11"/>
  <c r="N20" i="11"/>
  <c r="N12" i="11"/>
  <c r="N4" i="11"/>
  <c r="N647" i="11"/>
  <c r="N615" i="11"/>
  <c r="N575" i="11"/>
  <c r="N535" i="11"/>
  <c r="N519" i="11"/>
  <c r="N487" i="11"/>
  <c r="N439" i="11"/>
  <c r="N399" i="11"/>
  <c r="N351" i="11"/>
  <c r="N303" i="11"/>
  <c r="N255" i="11"/>
  <c r="N215" i="11"/>
  <c r="N183" i="11"/>
  <c r="N135" i="11"/>
  <c r="N87" i="11"/>
  <c r="N23" i="11"/>
  <c r="R636" i="11"/>
  <c r="R627" i="11"/>
  <c r="R499" i="11"/>
  <c r="R107" i="11"/>
  <c r="N621" i="11"/>
  <c r="R585" i="11"/>
  <c r="R393" i="11"/>
  <c r="R305" i="11"/>
  <c r="R297" i="11"/>
  <c r="R57" i="11"/>
  <c r="R17" i="11"/>
  <c r="N683" i="11"/>
  <c r="N675" i="11"/>
  <c r="N667" i="11"/>
  <c r="N659" i="11"/>
  <c r="N651" i="11"/>
  <c r="N643" i="11"/>
  <c r="N635" i="11"/>
  <c r="N627" i="11"/>
  <c r="N619" i="11"/>
  <c r="N611" i="11"/>
  <c r="N603" i="11"/>
  <c r="N595" i="11"/>
  <c r="N587" i="11"/>
  <c r="N579" i="11"/>
  <c r="N571" i="11"/>
  <c r="N563" i="11"/>
  <c r="N555" i="11"/>
  <c r="N547" i="11"/>
  <c r="N539" i="11"/>
  <c r="N531" i="11"/>
  <c r="N523" i="11"/>
  <c r="N515" i="11"/>
  <c r="N507" i="11"/>
  <c r="N499" i="11"/>
  <c r="N491" i="11"/>
  <c r="N483" i="11"/>
  <c r="N475" i="11"/>
  <c r="N467" i="11"/>
  <c r="N459" i="11"/>
  <c r="N451" i="11"/>
  <c r="N443" i="11"/>
  <c r="N435" i="11"/>
  <c r="N427" i="11"/>
  <c r="N419" i="11"/>
  <c r="N411" i="11"/>
  <c r="N403" i="11"/>
  <c r="N395" i="11"/>
  <c r="N387" i="11"/>
  <c r="N379" i="11"/>
  <c r="N371" i="11"/>
  <c r="N363" i="11"/>
  <c r="N355" i="11"/>
  <c r="N347" i="11"/>
  <c r="N339" i="11"/>
  <c r="N331" i="11"/>
  <c r="N323" i="11"/>
  <c r="N315" i="11"/>
  <c r="N307" i="11"/>
  <c r="N299" i="11"/>
  <c r="N291" i="11"/>
  <c r="N283" i="11"/>
  <c r="N275" i="11"/>
  <c r="N267" i="11"/>
  <c r="N259" i="11"/>
  <c r="N251" i="11"/>
  <c r="N243" i="11"/>
  <c r="N235" i="11"/>
  <c r="N227" i="11"/>
  <c r="N219" i="11"/>
  <c r="N211" i="11"/>
  <c r="N203" i="11"/>
  <c r="N195" i="11"/>
  <c r="N187" i="11"/>
  <c r="N179" i="11"/>
  <c r="N171" i="11"/>
  <c r="N163" i="11"/>
  <c r="N155" i="11"/>
  <c r="N147" i="11"/>
  <c r="N139" i="11"/>
  <c r="N131" i="11"/>
  <c r="N123" i="11"/>
  <c r="N115" i="11"/>
  <c r="N107" i="11"/>
  <c r="N99" i="11"/>
  <c r="N91" i="11"/>
  <c r="N83" i="11"/>
  <c r="N75" i="11"/>
  <c r="N67" i="11"/>
  <c r="N59" i="11"/>
  <c r="N51" i="11"/>
  <c r="N43" i="11"/>
  <c r="N35" i="11"/>
  <c r="N27" i="11"/>
  <c r="N19" i="11"/>
  <c r="N11" i="11"/>
  <c r="N3" i="11"/>
  <c r="N495" i="11"/>
  <c r="N455" i="11"/>
  <c r="N423" i="11"/>
  <c r="N383" i="11"/>
  <c r="N335" i="11"/>
  <c r="N295" i="11"/>
  <c r="N231" i="11"/>
  <c r="N167" i="11"/>
  <c r="N119" i="11"/>
  <c r="N71" i="11"/>
  <c r="N15" i="11"/>
  <c r="N654" i="11"/>
  <c r="N606" i="11"/>
  <c r="N566" i="11"/>
  <c r="N526" i="11"/>
  <c r="N486" i="11"/>
  <c r="N446" i="11"/>
  <c r="N398" i="11"/>
  <c r="N358" i="11"/>
  <c r="N326" i="11"/>
  <c r="N286" i="11"/>
  <c r="N246" i="11"/>
  <c r="N206" i="11"/>
  <c r="N166" i="11"/>
  <c r="N134" i="11"/>
  <c r="N94" i="11"/>
  <c r="N38" i="11"/>
  <c r="N637" i="11"/>
  <c r="R432" i="11"/>
  <c r="R88" i="11"/>
  <c r="R80" i="11"/>
  <c r="R72" i="11"/>
  <c r="R24" i="11"/>
  <c r="R557" i="11"/>
  <c r="N655" i="11"/>
  <c r="N607" i="11"/>
  <c r="N583" i="11"/>
  <c r="N543" i="11"/>
  <c r="N527" i="11"/>
  <c r="N479" i="11"/>
  <c r="N447" i="11"/>
  <c r="N407" i="11"/>
  <c r="N367" i="11"/>
  <c r="N311" i="11"/>
  <c r="N263" i="11"/>
  <c r="N223" i="11"/>
  <c r="N175" i="11"/>
  <c r="N127" i="11"/>
  <c r="N79" i="11"/>
  <c r="N39" i="11"/>
  <c r="N630" i="11"/>
  <c r="N590" i="11"/>
  <c r="N550" i="11"/>
  <c r="N494" i="11"/>
  <c r="N454" i="11"/>
  <c r="N390" i="11"/>
  <c r="N350" i="11"/>
  <c r="N310" i="11"/>
  <c r="N254" i="11"/>
  <c r="N214" i="11"/>
  <c r="N174" i="11"/>
  <c r="N126" i="11"/>
  <c r="N70" i="11"/>
  <c r="N30" i="11"/>
  <c r="R635" i="11"/>
  <c r="N629" i="11"/>
  <c r="R359" i="11"/>
  <c r="R317" i="11"/>
  <c r="N663" i="11"/>
  <c r="N631" i="11"/>
  <c r="N567" i="11"/>
  <c r="N359" i="11"/>
  <c r="N319" i="11"/>
  <c r="N287" i="11"/>
  <c r="N247" i="11"/>
  <c r="N199" i="11"/>
  <c r="N151" i="11"/>
  <c r="N103" i="11"/>
  <c r="N63" i="11"/>
  <c r="N31" i="11"/>
  <c r="R564" i="11"/>
  <c r="R388" i="11"/>
  <c r="R140" i="11"/>
  <c r="N678" i="11"/>
  <c r="N662" i="11"/>
  <c r="N622" i="11"/>
  <c r="N574" i="11"/>
  <c r="N542" i="11"/>
  <c r="N510" i="11"/>
  <c r="N478" i="11"/>
  <c r="N438" i="11"/>
  <c r="N414" i="11"/>
  <c r="N382" i="11"/>
  <c r="N342" i="11"/>
  <c r="N302" i="11"/>
  <c r="N270" i="11"/>
  <c r="N230" i="11"/>
  <c r="N190" i="11"/>
  <c r="N150" i="11"/>
  <c r="N118" i="11"/>
  <c r="N78" i="11"/>
  <c r="N46" i="11"/>
  <c r="N14" i="11"/>
  <c r="R155" i="11"/>
  <c r="N653" i="11"/>
  <c r="R518" i="11"/>
  <c r="R326" i="11"/>
  <c r="R222" i="11"/>
  <c r="R110" i="11"/>
  <c r="M518" i="11"/>
  <c r="M326" i="11"/>
  <c r="M222" i="11"/>
  <c r="M110" i="11"/>
  <c r="M564" i="11"/>
  <c r="M188" i="11"/>
  <c r="M636" i="11"/>
  <c r="M388" i="11"/>
  <c r="M148" i="11"/>
  <c r="M140" i="11"/>
  <c r="M557" i="11"/>
  <c r="M509" i="11"/>
  <c r="M493" i="11"/>
  <c r="M317" i="11"/>
  <c r="M635" i="11"/>
  <c r="M627" i="11"/>
  <c r="M547" i="11"/>
  <c r="M499" i="11"/>
  <c r="M155" i="11"/>
  <c r="M107" i="11"/>
  <c r="M498" i="11"/>
  <c r="M330" i="11"/>
  <c r="M122" i="11"/>
  <c r="M18" i="11"/>
  <c r="M585" i="11"/>
  <c r="M393" i="11"/>
  <c r="M305" i="11"/>
  <c r="M297" i="11"/>
  <c r="M57" i="11"/>
  <c r="M17" i="11"/>
  <c r="M432" i="11"/>
  <c r="M88" i="11"/>
  <c r="M80" i="11"/>
  <c r="M72" i="11"/>
  <c r="M24" i="11"/>
  <c r="M359" i="11"/>
  <c r="K6" i="11"/>
  <c r="O6" i="11" s="1"/>
  <c r="K49" i="11"/>
  <c r="K190" i="11"/>
  <c r="O190" i="11" s="1"/>
  <c r="K344" i="11"/>
  <c r="K408" i="11"/>
  <c r="K452" i="11"/>
  <c r="O452" i="11" s="1"/>
  <c r="K470" i="11"/>
  <c r="O470" i="11" s="1"/>
  <c r="K491" i="11"/>
  <c r="O491" i="11" s="1"/>
  <c r="K505" i="11"/>
  <c r="K546" i="11"/>
  <c r="K549" i="11"/>
  <c r="O549" i="11" s="1"/>
  <c r="K603" i="11"/>
  <c r="O603" i="11" s="1"/>
  <c r="K620" i="11"/>
  <c r="O620" i="11" s="1"/>
  <c r="K657" i="11"/>
  <c r="K28" i="11"/>
  <c r="O28" i="11" s="1"/>
  <c r="K181" i="11"/>
  <c r="O181" i="11" s="1"/>
  <c r="K219" i="11"/>
  <c r="O219" i="11" s="1"/>
  <c r="K419" i="11"/>
  <c r="O419" i="11" s="1"/>
  <c r="K448" i="11"/>
  <c r="K561" i="11"/>
  <c r="K592" i="11"/>
  <c r="K648" i="11"/>
  <c r="K309" i="11"/>
  <c r="O309" i="11" s="1"/>
  <c r="K59" i="11"/>
  <c r="O59" i="11" s="1"/>
  <c r="K114" i="11"/>
  <c r="K117" i="11"/>
  <c r="O117" i="11" s="1"/>
  <c r="K175" i="11"/>
  <c r="O175" i="11" s="1"/>
  <c r="K205" i="11"/>
  <c r="O205" i="11" s="1"/>
  <c r="K245" i="11"/>
  <c r="O245" i="11" s="1"/>
  <c r="K259" i="11"/>
  <c r="O259" i="11" s="1"/>
  <c r="K402" i="11"/>
  <c r="K405" i="11"/>
  <c r="O405" i="11" s="1"/>
  <c r="K492" i="11"/>
  <c r="O492" i="11" s="1"/>
  <c r="K504" i="11"/>
  <c r="K536" i="11"/>
  <c r="K551" i="11"/>
  <c r="O551" i="11" s="1"/>
  <c r="K569" i="11"/>
  <c r="O569" i="11" s="1"/>
  <c r="K619" i="11"/>
  <c r="O619" i="11" s="1"/>
  <c r="K96" i="11"/>
  <c r="O96" i="11" s="1"/>
  <c r="K16" i="11"/>
  <c r="K27" i="11"/>
  <c r="O27" i="11" s="1"/>
  <c r="K123" i="11"/>
  <c r="O123" i="11" s="1"/>
  <c r="K126" i="11"/>
  <c r="O126" i="11" s="1"/>
  <c r="K169" i="11"/>
  <c r="K195" i="11"/>
  <c r="O195" i="11" s="1"/>
  <c r="K424" i="11"/>
  <c r="K427" i="11"/>
  <c r="O427" i="11" s="1"/>
  <c r="K471" i="11"/>
  <c r="O471" i="11" s="1"/>
  <c r="K480" i="11"/>
  <c r="K512" i="11"/>
  <c r="K533" i="11"/>
  <c r="O533" i="11" s="1"/>
  <c r="K599" i="11"/>
  <c r="O599" i="11" s="1"/>
  <c r="K616" i="11"/>
  <c r="K662" i="11"/>
  <c r="O662" i="11" s="1"/>
  <c r="K668" i="11"/>
  <c r="O668" i="11" s="1"/>
  <c r="K179" i="11"/>
  <c r="O179" i="11" s="1"/>
  <c r="K661" i="11"/>
  <c r="O661" i="11" s="1"/>
  <c r="K180" i="11"/>
  <c r="O180" i="11" s="1"/>
  <c r="K371" i="11"/>
  <c r="O371" i="11" s="1"/>
  <c r="K379" i="11"/>
  <c r="O379" i="11" s="1"/>
  <c r="K447" i="11"/>
  <c r="O447" i="11" s="1"/>
  <c r="K463" i="11"/>
  <c r="O463" i="11" s="1"/>
  <c r="K615" i="11"/>
  <c r="O615" i="11" s="1"/>
  <c r="K658" i="11"/>
  <c r="O658" i="11" s="1"/>
  <c r="K630" i="11"/>
  <c r="O630" i="11" s="1"/>
  <c r="K8" i="11"/>
  <c r="K31" i="11"/>
  <c r="O31" i="11" s="1"/>
  <c r="K32" i="11"/>
  <c r="K63" i="11"/>
  <c r="O63" i="11" s="1"/>
  <c r="K64" i="11"/>
  <c r="K92" i="11"/>
  <c r="O92" i="11" s="1"/>
  <c r="K151" i="11"/>
  <c r="O151" i="11" s="1"/>
  <c r="K157" i="11"/>
  <c r="O157" i="11" s="1"/>
  <c r="K203" i="11"/>
  <c r="O203" i="11" s="1"/>
  <c r="K207" i="11"/>
  <c r="O207" i="11" s="1"/>
  <c r="K237" i="11"/>
  <c r="O237" i="11" s="1"/>
  <c r="K253" i="11"/>
  <c r="O253" i="11" s="1"/>
  <c r="K256" i="11"/>
  <c r="K277" i="11"/>
  <c r="O277" i="11" s="1"/>
  <c r="K303" i="11"/>
  <c r="O303" i="11" s="1"/>
  <c r="K328" i="11"/>
  <c r="K339" i="11"/>
  <c r="O339" i="11" s="1"/>
  <c r="K376" i="11"/>
  <c r="K392" i="11"/>
  <c r="K441" i="11"/>
  <c r="O441" i="11" s="1"/>
  <c r="K460" i="11"/>
  <c r="O460" i="11" s="1"/>
  <c r="K496" i="11"/>
  <c r="K526" i="11"/>
  <c r="O526" i="11" s="1"/>
  <c r="K542" i="11"/>
  <c r="O542" i="11" s="1"/>
  <c r="K560" i="11"/>
  <c r="K594" i="11"/>
  <c r="K595" i="11"/>
  <c r="O595" i="11" s="1"/>
  <c r="K483" i="11"/>
  <c r="O483" i="11" s="1"/>
  <c r="K486" i="11"/>
  <c r="O486" i="11" s="1"/>
  <c r="K43" i="11"/>
  <c r="O43" i="11" s="1"/>
  <c r="K44" i="11"/>
  <c r="O44" i="11" s="1"/>
  <c r="K66" i="11"/>
  <c r="K81" i="11"/>
  <c r="K91" i="11"/>
  <c r="O91" i="11" s="1"/>
  <c r="K128" i="11"/>
  <c r="K166" i="11"/>
  <c r="O166" i="11" s="1"/>
  <c r="K171" i="11"/>
  <c r="O171" i="11" s="1"/>
  <c r="K206" i="11"/>
  <c r="O206" i="11" s="1"/>
  <c r="K218" i="11"/>
  <c r="O218" i="11" s="1"/>
  <c r="K233" i="11"/>
  <c r="K290" i="11"/>
  <c r="K306" i="11"/>
  <c r="O306" i="11" s="1"/>
  <c r="K313" i="11"/>
  <c r="O313" i="11" s="1"/>
  <c r="K324" i="11"/>
  <c r="O324" i="11" s="1"/>
  <c r="K366" i="11"/>
  <c r="O366" i="11" s="1"/>
  <c r="K387" i="11"/>
  <c r="O387" i="11" s="1"/>
  <c r="K443" i="11"/>
  <c r="O443" i="11" s="1"/>
  <c r="K453" i="11"/>
  <c r="O453" i="11" s="1"/>
  <c r="K456" i="11"/>
  <c r="K459" i="11"/>
  <c r="O459" i="11" s="1"/>
  <c r="K475" i="11"/>
  <c r="O475" i="11" s="1"/>
  <c r="K519" i="11"/>
  <c r="O519" i="11" s="1"/>
  <c r="K528" i="11"/>
  <c r="K559" i="11"/>
  <c r="O559" i="11" s="1"/>
  <c r="K568" i="11"/>
  <c r="K601" i="11"/>
  <c r="K607" i="11"/>
  <c r="O607" i="11" s="1"/>
  <c r="K623" i="11"/>
  <c r="O623" i="11" s="1"/>
  <c r="K642" i="11"/>
  <c r="K664" i="11"/>
  <c r="K674" i="11"/>
  <c r="K54" i="11"/>
  <c r="O54" i="11" s="1"/>
  <c r="K261" i="11"/>
  <c r="O261" i="11" s="1"/>
  <c r="K360" i="11"/>
  <c r="K37" i="11"/>
  <c r="O37" i="11" s="1"/>
  <c r="K147" i="11"/>
  <c r="O147" i="11" s="1"/>
  <c r="K194" i="11"/>
  <c r="K353" i="11"/>
  <c r="K401" i="11"/>
  <c r="K420" i="11"/>
  <c r="O420" i="11" s="1"/>
  <c r="K522" i="11"/>
  <c r="K626" i="11"/>
  <c r="K639" i="11"/>
  <c r="O639" i="11" s="1"/>
  <c r="K651" i="11"/>
  <c r="O651" i="11" s="1"/>
  <c r="K667" i="11"/>
  <c r="O667" i="11" s="1"/>
  <c r="K39" i="11"/>
  <c r="O39" i="11" s="1"/>
  <c r="K55" i="11"/>
  <c r="O55" i="11" s="1"/>
  <c r="K74" i="11"/>
  <c r="K127" i="11"/>
  <c r="O127" i="11" s="1"/>
  <c r="K133" i="11"/>
  <c r="O133" i="11" s="1"/>
  <c r="K156" i="11"/>
  <c r="O156" i="11" s="1"/>
  <c r="K163" i="11"/>
  <c r="O163" i="11" s="1"/>
  <c r="K220" i="11"/>
  <c r="O220" i="11" s="1"/>
  <c r="K229" i="11"/>
  <c r="O229" i="11" s="1"/>
  <c r="K235" i="11"/>
  <c r="O235" i="11" s="1"/>
  <c r="K257" i="11"/>
  <c r="K289" i="11"/>
  <c r="K301" i="11"/>
  <c r="O301" i="11" s="1"/>
  <c r="K332" i="11"/>
  <c r="O332" i="11" s="1"/>
  <c r="K338" i="11"/>
  <c r="K347" i="11"/>
  <c r="O347" i="11" s="1"/>
  <c r="K372" i="11"/>
  <c r="O372" i="11" s="1"/>
  <c r="K378" i="11"/>
  <c r="O378" i="11" s="1"/>
  <c r="K381" i="11"/>
  <c r="O381" i="11" s="1"/>
  <c r="K403" i="11"/>
  <c r="O403" i="11" s="1"/>
  <c r="K458" i="11"/>
  <c r="K467" i="11"/>
  <c r="O467" i="11" s="1"/>
  <c r="K481" i="11"/>
  <c r="K527" i="11"/>
  <c r="O527" i="11" s="1"/>
  <c r="K541" i="11"/>
  <c r="O541" i="11" s="1"/>
  <c r="K575" i="11"/>
  <c r="O575" i="11" s="1"/>
  <c r="K625" i="11"/>
  <c r="K647" i="11"/>
  <c r="O647" i="11" s="1"/>
  <c r="K240" i="11"/>
  <c r="K385" i="11"/>
  <c r="K101" i="11"/>
  <c r="O101" i="11" s="1"/>
  <c r="K152" i="11"/>
  <c r="K172" i="11"/>
  <c r="O172" i="11" s="1"/>
  <c r="K231" i="11"/>
  <c r="O231" i="11" s="1"/>
  <c r="K269" i="11"/>
  <c r="O269" i="11" s="1"/>
  <c r="K312" i="11"/>
  <c r="K325" i="11"/>
  <c r="O325" i="11" s="1"/>
  <c r="K331" i="11"/>
  <c r="O331" i="11" s="1"/>
  <c r="K340" i="11"/>
  <c r="O340" i="11" s="1"/>
  <c r="K352" i="11"/>
  <c r="K426" i="11"/>
  <c r="K433" i="11"/>
  <c r="O433" i="11" s="1"/>
  <c r="K455" i="11"/>
  <c r="O455" i="11" s="1"/>
  <c r="K461" i="11"/>
  <c r="O461" i="11" s="1"/>
  <c r="K476" i="11"/>
  <c r="O476" i="11" s="1"/>
  <c r="K494" i="11"/>
  <c r="O494" i="11" s="1"/>
  <c r="K521" i="11"/>
  <c r="K530" i="11"/>
  <c r="O530" i="11" s="1"/>
  <c r="K550" i="11"/>
  <c r="O550" i="11" s="1"/>
  <c r="K583" i="11"/>
  <c r="O583" i="11" s="1"/>
  <c r="K621" i="11"/>
  <c r="O621" i="11" s="1"/>
  <c r="K641" i="11"/>
  <c r="O641" i="11" s="1"/>
  <c r="K650" i="11"/>
  <c r="K681" i="11"/>
  <c r="K106" i="11"/>
  <c r="K227" i="11"/>
  <c r="O227" i="11" s="1"/>
  <c r="K189" i="11"/>
  <c r="O189" i="11" s="1"/>
  <c r="K367" i="11"/>
  <c r="O367" i="11" s="1"/>
  <c r="K396" i="11"/>
  <c r="O396" i="11" s="1"/>
  <c r="K457" i="11"/>
  <c r="K577" i="11"/>
  <c r="K652" i="11"/>
  <c r="O652" i="11" s="1"/>
  <c r="K656" i="11"/>
  <c r="O656" i="11" s="1"/>
  <c r="K36" i="11"/>
  <c r="O36" i="11" s="1"/>
  <c r="K56" i="11"/>
  <c r="K132" i="11"/>
  <c r="O132" i="11" s="1"/>
  <c r="K10" i="11"/>
  <c r="K48" i="11"/>
  <c r="K82" i="11"/>
  <c r="O82" i="11" s="1"/>
  <c r="K104" i="11"/>
  <c r="K111" i="11"/>
  <c r="O111" i="11" s="1"/>
  <c r="K160" i="11"/>
  <c r="K355" i="11"/>
  <c r="O355" i="11" s="1"/>
  <c r="K683" i="11"/>
  <c r="O683" i="11" s="1"/>
  <c r="K168" i="11"/>
  <c r="K193" i="11"/>
  <c r="K23" i="11"/>
  <c r="O23" i="11" s="1"/>
  <c r="K45" i="11"/>
  <c r="O45" i="11" s="1"/>
  <c r="K62" i="11"/>
  <c r="O62" i="11" s="1"/>
  <c r="K65" i="11"/>
  <c r="K100" i="11"/>
  <c r="O100" i="11" s="1"/>
  <c r="K115" i="11"/>
  <c r="O115" i="11" s="1"/>
  <c r="K192" i="11"/>
  <c r="K70" i="11"/>
  <c r="O70" i="11" s="1"/>
  <c r="K182" i="11"/>
  <c r="O182" i="11" s="1"/>
  <c r="K368" i="11"/>
  <c r="K35" i="11"/>
  <c r="O35" i="11" s="1"/>
  <c r="K150" i="11"/>
  <c r="O150" i="11" s="1"/>
  <c r="K161" i="11"/>
  <c r="O161" i="11" s="1"/>
  <c r="K308" i="11"/>
  <c r="O308" i="11" s="1"/>
  <c r="K95" i="11"/>
  <c r="O95" i="11" s="1"/>
  <c r="K99" i="11"/>
  <c r="O99" i="11" s="1"/>
  <c r="K138" i="11"/>
  <c r="K173" i="11"/>
  <c r="O173" i="11" s="1"/>
  <c r="K53" i="11"/>
  <c r="O53" i="11" s="1"/>
  <c r="K40" i="11"/>
  <c r="K87" i="11"/>
  <c r="O87" i="11" s="1"/>
  <c r="K109" i="11"/>
  <c r="O109" i="11" s="1"/>
  <c r="K116" i="11"/>
  <c r="O116" i="11" s="1"/>
  <c r="K125" i="11"/>
  <c r="O125" i="11" s="1"/>
  <c r="K187" i="11"/>
  <c r="O187" i="11" s="1"/>
  <c r="K198" i="11"/>
  <c r="O198" i="11" s="1"/>
  <c r="K250" i="11"/>
  <c r="O250" i="11" s="1"/>
  <c r="K279" i="11"/>
  <c r="O279" i="11" s="1"/>
  <c r="K212" i="11"/>
  <c r="O212" i="11" s="1"/>
  <c r="K243" i="11"/>
  <c r="O243" i="11" s="1"/>
  <c r="K249" i="11"/>
  <c r="O249" i="11" s="1"/>
  <c r="K319" i="11"/>
  <c r="O319" i="11" s="1"/>
  <c r="K9" i="11"/>
  <c r="K14" i="11"/>
  <c r="O14" i="11" s="1"/>
  <c r="K26" i="11"/>
  <c r="O26" i="11" s="1"/>
  <c r="K47" i="11"/>
  <c r="O47" i="11" s="1"/>
  <c r="K51" i="11"/>
  <c r="O51" i="11" s="1"/>
  <c r="K52" i="11"/>
  <c r="O52" i="11" s="1"/>
  <c r="K61" i="11"/>
  <c r="O61" i="11" s="1"/>
  <c r="K73" i="11"/>
  <c r="K78" i="11"/>
  <c r="O78" i="11" s="1"/>
  <c r="K90" i="11"/>
  <c r="O90" i="11" s="1"/>
  <c r="K108" i="11"/>
  <c r="O108" i="11" s="1"/>
  <c r="K120" i="11"/>
  <c r="K124" i="11"/>
  <c r="O124" i="11" s="1"/>
  <c r="K141" i="11"/>
  <c r="O141" i="11" s="1"/>
  <c r="K164" i="11"/>
  <c r="O164" i="11" s="1"/>
  <c r="K176" i="11"/>
  <c r="K191" i="11"/>
  <c r="O191" i="11" s="1"/>
  <c r="K197" i="11"/>
  <c r="O197" i="11" s="1"/>
  <c r="K204" i="11"/>
  <c r="O204" i="11" s="1"/>
  <c r="K208" i="11"/>
  <c r="K228" i="11"/>
  <c r="O228" i="11" s="1"/>
  <c r="K232" i="11"/>
  <c r="K236" i="11"/>
  <c r="O236" i="11" s="1"/>
  <c r="K239" i="11"/>
  <c r="O239" i="11" s="1"/>
  <c r="K260" i="11"/>
  <c r="O260" i="11" s="1"/>
  <c r="K264" i="11"/>
  <c r="K271" i="11"/>
  <c r="O271" i="11" s="1"/>
  <c r="K298" i="11"/>
  <c r="O298" i="11" s="1"/>
  <c r="K302" i="11"/>
  <c r="O302" i="11" s="1"/>
  <c r="K404" i="11"/>
  <c r="O404" i="11" s="1"/>
  <c r="K275" i="11"/>
  <c r="O275" i="11" s="1"/>
  <c r="K348" i="11"/>
  <c r="O348" i="11" s="1"/>
  <c r="K5" i="11"/>
  <c r="O5" i="11" s="1"/>
  <c r="K22" i="11"/>
  <c r="O22" i="11" s="1"/>
  <c r="K34" i="11"/>
  <c r="O34" i="11" s="1"/>
  <c r="K60" i="11"/>
  <c r="O60" i="11" s="1"/>
  <c r="K69" i="11"/>
  <c r="O69" i="11" s="1"/>
  <c r="K86" i="11"/>
  <c r="O86" i="11" s="1"/>
  <c r="K98" i="11"/>
  <c r="K103" i="11"/>
  <c r="O103" i="11" s="1"/>
  <c r="K131" i="11"/>
  <c r="O131" i="11" s="1"/>
  <c r="K145" i="11"/>
  <c r="K159" i="11"/>
  <c r="O159" i="11" s="1"/>
  <c r="K281" i="11"/>
  <c r="O281" i="11" s="1"/>
  <c r="K316" i="11"/>
  <c r="O316" i="11" s="1"/>
  <c r="K3" i="11"/>
  <c r="O3" i="11" s="1"/>
  <c r="K4" i="11"/>
  <c r="O4" i="11" s="1"/>
  <c r="K13" i="11"/>
  <c r="O13" i="11" s="1"/>
  <c r="K25" i="11"/>
  <c r="O25" i="11" s="1"/>
  <c r="K30" i="11"/>
  <c r="O30" i="11" s="1"/>
  <c r="K42" i="11"/>
  <c r="O42" i="11" s="1"/>
  <c r="K67" i="11"/>
  <c r="O67" i="11" s="1"/>
  <c r="K68" i="11"/>
  <c r="O68" i="11" s="1"/>
  <c r="K77" i="11"/>
  <c r="O77" i="11" s="1"/>
  <c r="K89" i="11"/>
  <c r="O89" i="11" s="1"/>
  <c r="K94" i="11"/>
  <c r="O94" i="11" s="1"/>
  <c r="K119" i="11"/>
  <c r="O119" i="11" s="1"/>
  <c r="K137" i="11"/>
  <c r="K149" i="11"/>
  <c r="O149" i="11" s="1"/>
  <c r="K158" i="11"/>
  <c r="O158" i="11" s="1"/>
  <c r="K174" i="11"/>
  <c r="O174" i="11" s="1"/>
  <c r="K185" i="11"/>
  <c r="O185" i="11" s="1"/>
  <c r="K202" i="11"/>
  <c r="K216" i="11"/>
  <c r="K226" i="11"/>
  <c r="K234" i="11"/>
  <c r="K266" i="11"/>
  <c r="K273" i="11"/>
  <c r="O273" i="11" s="1"/>
  <c r="K274" i="11"/>
  <c r="K278" i="11"/>
  <c r="O278" i="11" s="1"/>
  <c r="K321" i="11"/>
  <c r="K364" i="11"/>
  <c r="O364" i="11" s="1"/>
  <c r="K224" i="11"/>
  <c r="K284" i="11"/>
  <c r="O284" i="11" s="1"/>
  <c r="K7" i="11"/>
  <c r="O7" i="11" s="1"/>
  <c r="K11" i="11"/>
  <c r="O11" i="11" s="1"/>
  <c r="K12" i="11"/>
  <c r="O12" i="11" s="1"/>
  <c r="K21" i="11"/>
  <c r="O21" i="11" s="1"/>
  <c r="K33" i="11"/>
  <c r="K38" i="11"/>
  <c r="O38" i="11" s="1"/>
  <c r="K50" i="11"/>
  <c r="K71" i="11"/>
  <c r="O71" i="11" s="1"/>
  <c r="K75" i="11"/>
  <c r="O75" i="11" s="1"/>
  <c r="K76" i="11"/>
  <c r="O76" i="11" s="1"/>
  <c r="K85" i="11"/>
  <c r="O85" i="11" s="1"/>
  <c r="K97" i="11"/>
  <c r="K102" i="11"/>
  <c r="O102" i="11" s="1"/>
  <c r="K118" i="11"/>
  <c r="O118" i="11" s="1"/>
  <c r="K129" i="11"/>
  <c r="K130" i="11"/>
  <c r="K136" i="11"/>
  <c r="K144" i="11"/>
  <c r="K184" i="11"/>
  <c r="K196" i="11"/>
  <c r="O196" i="11" s="1"/>
  <c r="K248" i="11"/>
  <c r="K258" i="11"/>
  <c r="K285" i="11"/>
  <c r="O285" i="11" s="1"/>
  <c r="K286" i="11"/>
  <c r="O286" i="11" s="1"/>
  <c r="K310" i="11"/>
  <c r="O310" i="11" s="1"/>
  <c r="K314" i="11"/>
  <c r="O314" i="11" s="1"/>
  <c r="K318" i="11"/>
  <c r="O318" i="11" s="1"/>
  <c r="K329" i="11"/>
  <c r="K336" i="11"/>
  <c r="K346" i="11"/>
  <c r="O346" i="11" s="1"/>
  <c r="K374" i="11"/>
  <c r="O374" i="11" s="1"/>
  <c r="K386" i="11"/>
  <c r="O386" i="11" s="1"/>
  <c r="K479" i="11"/>
  <c r="O479" i="11" s="1"/>
  <c r="K644" i="11"/>
  <c r="O644" i="11" s="1"/>
  <c r="K287" i="11"/>
  <c r="O287" i="11" s="1"/>
  <c r="K2" i="11"/>
  <c r="K15" i="11"/>
  <c r="O15" i="11" s="1"/>
  <c r="K19" i="11"/>
  <c r="O19" i="11" s="1"/>
  <c r="K20" i="11"/>
  <c r="O20" i="11" s="1"/>
  <c r="K29" i="11"/>
  <c r="O29" i="11" s="1"/>
  <c r="K41" i="11"/>
  <c r="K46" i="11"/>
  <c r="O46" i="11" s="1"/>
  <c r="K58" i="11"/>
  <c r="O58" i="11" s="1"/>
  <c r="K79" i="11"/>
  <c r="O79" i="11" s="1"/>
  <c r="K83" i="11"/>
  <c r="O83" i="11" s="1"/>
  <c r="K84" i="11"/>
  <c r="O84" i="11" s="1"/>
  <c r="K93" i="11"/>
  <c r="O93" i="11" s="1"/>
  <c r="K134" i="11"/>
  <c r="O134" i="11" s="1"/>
  <c r="K135" i="11"/>
  <c r="O135" i="11" s="1"/>
  <c r="K139" i="11"/>
  <c r="O139" i="11" s="1"/>
  <c r="K143" i="11"/>
  <c r="O143" i="11" s="1"/>
  <c r="K162" i="11"/>
  <c r="O162" i="11" s="1"/>
  <c r="K165" i="11"/>
  <c r="O165" i="11" s="1"/>
  <c r="K183" i="11"/>
  <c r="O183" i="11" s="1"/>
  <c r="K199" i="11"/>
  <c r="O199" i="11" s="1"/>
  <c r="K200" i="11"/>
  <c r="K255" i="11"/>
  <c r="O255" i="11" s="1"/>
  <c r="K351" i="11"/>
  <c r="O351" i="11" s="1"/>
  <c r="K356" i="11"/>
  <c r="O356" i="11" s="1"/>
  <c r="K210" i="11"/>
  <c r="O210" i="11" s="1"/>
  <c r="K211" i="11"/>
  <c r="O211" i="11" s="1"/>
  <c r="K214" i="11"/>
  <c r="O214" i="11" s="1"/>
  <c r="K217" i="11"/>
  <c r="O217" i="11" s="1"/>
  <c r="K225" i="11"/>
  <c r="K263" i="11"/>
  <c r="O263" i="11" s="1"/>
  <c r="K267" i="11"/>
  <c r="O267" i="11" s="1"/>
  <c r="K268" i="11"/>
  <c r="O268" i="11" s="1"/>
  <c r="K293" i="11"/>
  <c r="O293" i="11" s="1"/>
  <c r="K294" i="11"/>
  <c r="O294" i="11" s="1"/>
  <c r="K315" i="11"/>
  <c r="O315" i="11" s="1"/>
  <c r="K337" i="11"/>
  <c r="K345" i="11"/>
  <c r="O345" i="11" s="1"/>
  <c r="K418" i="11"/>
  <c r="K438" i="11"/>
  <c r="O438" i="11" s="1"/>
  <c r="K478" i="11"/>
  <c r="O478" i="11" s="1"/>
  <c r="K503" i="11"/>
  <c r="O503" i="11" s="1"/>
  <c r="K554" i="11"/>
  <c r="K598" i="11"/>
  <c r="O598" i="11" s="1"/>
  <c r="K631" i="11"/>
  <c r="O631" i="11" s="1"/>
  <c r="K663" i="11"/>
  <c r="O663" i="11" s="1"/>
  <c r="K400" i="11"/>
  <c r="K474" i="11"/>
  <c r="O474" i="11" s="1"/>
  <c r="K514" i="11"/>
  <c r="K537" i="11"/>
  <c r="K538" i="11"/>
  <c r="K244" i="11"/>
  <c r="O244" i="11" s="1"/>
  <c r="K247" i="11"/>
  <c r="O247" i="11" s="1"/>
  <c r="K252" i="11"/>
  <c r="O252" i="11" s="1"/>
  <c r="K296" i="11"/>
  <c r="K323" i="11"/>
  <c r="O323" i="11" s="1"/>
  <c r="K327" i="11"/>
  <c r="O327" i="11" s="1"/>
  <c r="K350" i="11"/>
  <c r="O350" i="11" s="1"/>
  <c r="K409" i="11"/>
  <c r="O409" i="11" s="1"/>
  <c r="K440" i="11"/>
  <c r="K446" i="11"/>
  <c r="O446" i="11" s="1"/>
  <c r="K511" i="11"/>
  <c r="O511" i="11" s="1"/>
  <c r="K524" i="11"/>
  <c r="O524" i="11" s="1"/>
  <c r="K556" i="11"/>
  <c r="O556" i="11" s="1"/>
  <c r="K574" i="11"/>
  <c r="O574" i="11" s="1"/>
  <c r="K590" i="11"/>
  <c r="O590" i="11" s="1"/>
  <c r="K669" i="11"/>
  <c r="O669" i="11" s="1"/>
  <c r="K678" i="11"/>
  <c r="O678" i="11" s="1"/>
  <c r="K112" i="11"/>
  <c r="K142" i="11"/>
  <c r="O142" i="11" s="1"/>
  <c r="K153" i="11"/>
  <c r="O153" i="11" s="1"/>
  <c r="K167" i="11"/>
  <c r="O167" i="11" s="1"/>
  <c r="K177" i="11"/>
  <c r="K201" i="11"/>
  <c r="K213" i="11"/>
  <c r="O213" i="11" s="1"/>
  <c r="K215" i="11"/>
  <c r="O215" i="11" s="1"/>
  <c r="K223" i="11"/>
  <c r="O223" i="11" s="1"/>
  <c r="K251" i="11"/>
  <c r="O251" i="11" s="1"/>
  <c r="K265" i="11"/>
  <c r="K282" i="11"/>
  <c r="O282" i="11" s="1"/>
  <c r="K292" i="11"/>
  <c r="O292" i="11" s="1"/>
  <c r="K295" i="11"/>
  <c r="O295" i="11" s="1"/>
  <c r="K307" i="11"/>
  <c r="O307" i="11" s="1"/>
  <c r="K311" i="11"/>
  <c r="O311" i="11" s="1"/>
  <c r="K322" i="11"/>
  <c r="K335" i="11"/>
  <c r="O335" i="11" s="1"/>
  <c r="K380" i="11"/>
  <c r="O380" i="11" s="1"/>
  <c r="K391" i="11"/>
  <c r="O391" i="11" s="1"/>
  <c r="K416" i="11"/>
  <c r="O416" i="11" s="1"/>
  <c r="K417" i="11"/>
  <c r="K421" i="11"/>
  <c r="O421" i="11" s="1"/>
  <c r="K425" i="11"/>
  <c r="K428" i="11"/>
  <c r="O428" i="11" s="1"/>
  <c r="K436" i="11"/>
  <c r="O436" i="11" s="1"/>
  <c r="K497" i="11"/>
  <c r="K596" i="11"/>
  <c r="O596" i="11" s="1"/>
  <c r="K608" i="11"/>
  <c r="K611" i="11"/>
  <c r="O611" i="11" s="1"/>
  <c r="K369" i="11"/>
  <c r="K384" i="11"/>
  <c r="K395" i="11"/>
  <c r="O395" i="11" s="1"/>
  <c r="K406" i="11"/>
  <c r="O406" i="11" s="1"/>
  <c r="K410" i="11"/>
  <c r="O410" i="11" s="1"/>
  <c r="K435" i="11"/>
  <c r="O435" i="11" s="1"/>
  <c r="K437" i="11"/>
  <c r="O437" i="11" s="1"/>
  <c r="K442" i="11"/>
  <c r="O442" i="11" s="1"/>
  <c r="K465" i="11"/>
  <c r="K468" i="11"/>
  <c r="O468" i="11" s="1"/>
  <c r="K473" i="11"/>
  <c r="O473" i="11" s="1"/>
  <c r="K485" i="11"/>
  <c r="O485" i="11" s="1"/>
  <c r="K502" i="11"/>
  <c r="O502" i="11" s="1"/>
  <c r="K531" i="11"/>
  <c r="O531" i="11" s="1"/>
  <c r="K548" i="11"/>
  <c r="O548" i="11" s="1"/>
  <c r="K573" i="11"/>
  <c r="O573" i="11" s="1"/>
  <c r="K581" i="11"/>
  <c r="O581" i="11" s="1"/>
  <c r="K582" i="11"/>
  <c r="O582" i="11" s="1"/>
  <c r="K602" i="11"/>
  <c r="K610" i="11"/>
  <c r="K612" i="11"/>
  <c r="O612" i="11" s="1"/>
  <c r="K633" i="11"/>
  <c r="K670" i="11"/>
  <c r="O670" i="11" s="1"/>
  <c r="K677" i="11"/>
  <c r="O677" i="11" s="1"/>
  <c r="K464" i="11"/>
  <c r="K472" i="11"/>
  <c r="K477" i="11"/>
  <c r="O477" i="11" s="1"/>
  <c r="K484" i="11"/>
  <c r="O484" i="11" s="1"/>
  <c r="K500" i="11"/>
  <c r="O500" i="11" s="1"/>
  <c r="K501" i="11"/>
  <c r="O501" i="11" s="1"/>
  <c r="K552" i="11"/>
  <c r="K562" i="11"/>
  <c r="O562" i="11" s="1"/>
  <c r="K571" i="11"/>
  <c r="O571" i="11" s="1"/>
  <c r="K572" i="11"/>
  <c r="O572" i="11" s="1"/>
  <c r="K576" i="11"/>
  <c r="K584" i="11"/>
  <c r="K589" i="11"/>
  <c r="O589" i="11" s="1"/>
  <c r="K606" i="11"/>
  <c r="O606" i="11" s="1"/>
  <c r="K617" i="11"/>
  <c r="K624" i="11"/>
  <c r="K665" i="11"/>
  <c r="K682" i="11"/>
  <c r="K343" i="11"/>
  <c r="O343" i="11" s="1"/>
  <c r="K358" i="11"/>
  <c r="O358" i="11" s="1"/>
  <c r="K377" i="11"/>
  <c r="O377" i="11" s="1"/>
  <c r="K394" i="11"/>
  <c r="O394" i="11" s="1"/>
  <c r="K399" i="11"/>
  <c r="O399" i="11" s="1"/>
  <c r="K412" i="11"/>
  <c r="O412" i="11" s="1"/>
  <c r="K413" i="11"/>
  <c r="O413" i="11" s="1"/>
  <c r="K429" i="11"/>
  <c r="O429" i="11" s="1"/>
  <c r="K434" i="11"/>
  <c r="K462" i="11"/>
  <c r="O462" i="11" s="1"/>
  <c r="K495" i="11"/>
  <c r="O495" i="11" s="1"/>
  <c r="K507" i="11"/>
  <c r="O507" i="11" s="1"/>
  <c r="K513" i="11"/>
  <c r="K517" i="11"/>
  <c r="O517" i="11" s="1"/>
  <c r="K525" i="11"/>
  <c r="O525" i="11" s="1"/>
  <c r="K540" i="11"/>
  <c r="O540" i="11" s="1"/>
  <c r="K570" i="11"/>
  <c r="K580" i="11"/>
  <c r="O580" i="11" s="1"/>
  <c r="K600" i="11"/>
  <c r="K609" i="11"/>
  <c r="K614" i="11"/>
  <c r="O614" i="11" s="1"/>
  <c r="K622" i="11"/>
  <c r="O622" i="11" s="1"/>
  <c r="K673" i="11"/>
  <c r="K676" i="11"/>
  <c r="O676" i="11" s="1"/>
  <c r="K680" i="11"/>
  <c r="K423" i="11"/>
  <c r="O423" i="11" s="1"/>
  <c r="K466" i="11"/>
  <c r="K489" i="11"/>
  <c r="K506" i="11"/>
  <c r="K516" i="11"/>
  <c r="O516" i="11" s="1"/>
  <c r="K555" i="11"/>
  <c r="O555" i="11" s="1"/>
  <c r="K566" i="11"/>
  <c r="O566" i="11" s="1"/>
  <c r="K588" i="11"/>
  <c r="O588" i="11" s="1"/>
  <c r="K628" i="11"/>
  <c r="O628" i="11" s="1"/>
  <c r="K640" i="11"/>
  <c r="K655" i="11"/>
  <c r="O655" i="11" s="1"/>
  <c r="K660" i="11"/>
  <c r="O660" i="11" s="1"/>
  <c r="K672" i="11"/>
  <c r="K684" i="11"/>
  <c r="O684" i="11" s="1"/>
  <c r="K361" i="11"/>
  <c r="K375" i="11"/>
  <c r="O375" i="11" s="1"/>
  <c r="K382" i="11"/>
  <c r="O382" i="11" s="1"/>
  <c r="K439" i="11"/>
  <c r="O439" i="11" s="1"/>
  <c r="K454" i="11"/>
  <c r="O454" i="11" s="1"/>
  <c r="K482" i="11"/>
  <c r="O482" i="11" s="1"/>
  <c r="K487" i="11"/>
  <c r="O487" i="11" s="1"/>
  <c r="K488" i="11"/>
  <c r="K529" i="11"/>
  <c r="K532" i="11"/>
  <c r="O532" i="11" s="1"/>
  <c r="K543" i="11"/>
  <c r="O543" i="11" s="1"/>
  <c r="K565" i="11"/>
  <c r="O565" i="11" s="1"/>
  <c r="K593" i="11"/>
  <c r="K597" i="11"/>
  <c r="O597" i="11" s="1"/>
  <c r="K604" i="11"/>
  <c r="O604" i="11" s="1"/>
  <c r="K618" i="11"/>
  <c r="K632" i="11"/>
  <c r="K634" i="11"/>
  <c r="K638" i="11"/>
  <c r="O638" i="11" s="1"/>
  <c r="K645" i="11"/>
  <c r="O645" i="11" s="1"/>
  <c r="K659" i="11"/>
  <c r="O659" i="11" s="1"/>
  <c r="K679" i="11"/>
  <c r="O679" i="11" s="1"/>
  <c r="K154" i="11"/>
  <c r="O154" i="11" s="1"/>
  <c r="K146" i="11"/>
  <c r="K178" i="11"/>
  <c r="K105" i="11"/>
  <c r="K113" i="11"/>
  <c r="K121" i="11"/>
  <c r="O121" i="11" s="1"/>
  <c r="K170" i="11"/>
  <c r="O170" i="11" s="1"/>
  <c r="K186" i="11"/>
  <c r="O186" i="11" s="1"/>
  <c r="K209" i="11"/>
  <c r="K241" i="11"/>
  <c r="K262" i="11"/>
  <c r="O262" i="11" s="1"/>
  <c r="K230" i="11"/>
  <c r="O230" i="11" s="1"/>
  <c r="K242" i="11"/>
  <c r="K246" i="11"/>
  <c r="O246" i="11" s="1"/>
  <c r="K221" i="11"/>
  <c r="O221" i="11" s="1"/>
  <c r="K238" i="11"/>
  <c r="O238" i="11" s="1"/>
  <c r="K254" i="11"/>
  <c r="O254" i="11" s="1"/>
  <c r="K280" i="11"/>
  <c r="K288" i="11"/>
  <c r="K283" i="11"/>
  <c r="O283" i="11" s="1"/>
  <c r="K291" i="11"/>
  <c r="O291" i="11" s="1"/>
  <c r="K299" i="11"/>
  <c r="O299" i="11" s="1"/>
  <c r="K270" i="11"/>
  <c r="O270" i="11" s="1"/>
  <c r="K272" i="11"/>
  <c r="K304" i="11"/>
  <c r="K276" i="11"/>
  <c r="O276" i="11" s="1"/>
  <c r="K300" i="11"/>
  <c r="O300" i="11" s="1"/>
  <c r="K320" i="11"/>
  <c r="K333" i="11"/>
  <c r="O333" i="11" s="1"/>
  <c r="K341" i="11"/>
  <c r="O341" i="11" s="1"/>
  <c r="K370" i="11"/>
  <c r="K334" i="11"/>
  <c r="O334" i="11" s="1"/>
  <c r="K342" i="11"/>
  <c r="O342" i="11" s="1"/>
  <c r="K365" i="11"/>
  <c r="O365" i="11" s="1"/>
  <c r="K363" i="11"/>
  <c r="O363" i="11" s="1"/>
  <c r="K349" i="11"/>
  <c r="O349" i="11" s="1"/>
  <c r="K357" i="11"/>
  <c r="O357" i="11" s="1"/>
  <c r="K354" i="11"/>
  <c r="K362" i="11"/>
  <c r="K373" i="11"/>
  <c r="O373" i="11" s="1"/>
  <c r="K389" i="11"/>
  <c r="O389" i="11" s="1"/>
  <c r="K390" i="11"/>
  <c r="O390" i="11" s="1"/>
  <c r="K397" i="11"/>
  <c r="O397" i="11" s="1"/>
  <c r="K398" i="11"/>
  <c r="O398" i="11" s="1"/>
  <c r="K422" i="11"/>
  <c r="O422" i="11" s="1"/>
  <c r="K407" i="11"/>
  <c r="O407" i="11" s="1"/>
  <c r="K383" i="11"/>
  <c r="O383" i="11" s="1"/>
  <c r="K430" i="11"/>
  <c r="O430" i="11" s="1"/>
  <c r="K411" i="11"/>
  <c r="O411" i="11" s="1"/>
  <c r="K415" i="11"/>
  <c r="O415" i="11" s="1"/>
  <c r="K414" i="11"/>
  <c r="O414" i="11" s="1"/>
  <c r="K431" i="11"/>
  <c r="O431" i="11" s="1"/>
  <c r="K444" i="11"/>
  <c r="O444" i="11" s="1"/>
  <c r="K445" i="11"/>
  <c r="O445" i="11" s="1"/>
  <c r="K451" i="11"/>
  <c r="O451" i="11" s="1"/>
  <c r="K469" i="11"/>
  <c r="O469" i="11" s="1"/>
  <c r="K490" i="11"/>
  <c r="K508" i="11"/>
  <c r="O508" i="11" s="1"/>
  <c r="K449" i="11"/>
  <c r="K450" i="11"/>
  <c r="K510" i="11"/>
  <c r="O510" i="11" s="1"/>
  <c r="K520" i="11"/>
  <c r="K515" i="11"/>
  <c r="O515" i="11" s="1"/>
  <c r="K523" i="11"/>
  <c r="O523" i="11" s="1"/>
  <c r="K567" i="11"/>
  <c r="O567" i="11" s="1"/>
  <c r="K544" i="11"/>
  <c r="K545" i="11"/>
  <c r="K558" i="11"/>
  <c r="O558" i="11" s="1"/>
  <c r="K563" i="11"/>
  <c r="O563" i="11" s="1"/>
  <c r="K539" i="11"/>
  <c r="O539" i="11" s="1"/>
  <c r="K553" i="11"/>
  <c r="K534" i="11"/>
  <c r="O534" i="11" s="1"/>
  <c r="K535" i="11"/>
  <c r="O535" i="11" s="1"/>
  <c r="K578" i="11"/>
  <c r="K579" i="11"/>
  <c r="O579" i="11" s="1"/>
  <c r="K586" i="11"/>
  <c r="K587" i="11"/>
  <c r="O587" i="11" s="1"/>
  <c r="K591" i="11"/>
  <c r="O591" i="11" s="1"/>
  <c r="K605" i="11"/>
  <c r="O605" i="11" s="1"/>
  <c r="K613" i="11"/>
  <c r="O613" i="11" s="1"/>
  <c r="K629" i="11"/>
  <c r="O629" i="11" s="1"/>
  <c r="K643" i="11"/>
  <c r="O643" i="11" s="1"/>
  <c r="K649" i="11"/>
  <c r="K671" i="11"/>
  <c r="O671" i="11" s="1"/>
  <c r="K637" i="11"/>
  <c r="O637" i="11" s="1"/>
  <c r="K675" i="11"/>
  <c r="O675" i="11" s="1"/>
  <c r="K666" i="11"/>
  <c r="K646" i="11"/>
  <c r="O646" i="11" s="1"/>
  <c r="K653" i="11"/>
  <c r="O653" i="11" s="1"/>
  <c r="K654" i="11"/>
  <c r="O654" i="11" s="1"/>
  <c r="P493" i="11" l="1"/>
  <c r="Q493" i="11" s="1"/>
  <c r="P518" i="11"/>
  <c r="Q518" i="11" s="1"/>
  <c r="S518" i="11" s="1"/>
  <c r="P498" i="11"/>
  <c r="Q498" i="11" s="1"/>
  <c r="F3" i="12"/>
  <c r="P393" i="11"/>
  <c r="Q393" i="11" s="1"/>
  <c r="P24" i="11"/>
  <c r="Q24" i="11" s="1"/>
  <c r="S24" i="11" s="1"/>
  <c r="P88" i="11"/>
  <c r="Q88" i="11" s="1"/>
  <c r="S88" i="11" s="1"/>
  <c r="P432" i="11"/>
  <c r="Q432" i="11" s="1"/>
  <c r="S432" i="11" s="1"/>
  <c r="P585" i="11"/>
  <c r="Q585" i="11" s="1"/>
  <c r="S585" i="11" s="1"/>
  <c r="P330" i="11"/>
  <c r="Q330" i="11" s="1"/>
  <c r="S330" i="11" s="1"/>
  <c r="P317" i="11"/>
  <c r="Q317" i="11" s="1"/>
  <c r="P509" i="11"/>
  <c r="Q509" i="11" s="1"/>
  <c r="P305" i="11"/>
  <c r="Q305" i="11" s="1"/>
  <c r="S305" i="11" s="1"/>
  <c r="P72" i="11"/>
  <c r="Q72" i="11" s="1"/>
  <c r="S72" i="11" s="1"/>
  <c r="P17" i="11"/>
  <c r="Q17" i="11" s="1"/>
  <c r="S17" i="11" s="1"/>
  <c r="P18" i="11"/>
  <c r="Q18" i="11" s="1"/>
  <c r="P326" i="11"/>
  <c r="Q326" i="11" s="1"/>
  <c r="S326" i="11" s="1"/>
  <c r="O466" i="11"/>
  <c r="P466" i="11" s="1"/>
  <c r="Q466" i="11" s="1"/>
  <c r="O521" i="11"/>
  <c r="P521" i="11" s="1"/>
  <c r="Q521" i="11" s="1"/>
  <c r="O376" i="11"/>
  <c r="P376" i="11" s="1"/>
  <c r="Q376" i="11" s="1"/>
  <c r="O225" i="11"/>
  <c r="P225" i="11" s="1"/>
  <c r="Q225" i="11" s="1"/>
  <c r="O200" i="11"/>
  <c r="P200" i="11" s="1"/>
  <c r="Q200" i="11" s="1"/>
  <c r="P386" i="11"/>
  <c r="Q386" i="11" s="1"/>
  <c r="O130" i="11"/>
  <c r="P130" i="11" s="1"/>
  <c r="Q130" i="11" s="1"/>
  <c r="O234" i="11"/>
  <c r="P234" i="11" s="1"/>
  <c r="Q234" i="11" s="1"/>
  <c r="O137" i="11"/>
  <c r="P137" i="11" s="1"/>
  <c r="Q137" i="11" s="1"/>
  <c r="O145" i="11"/>
  <c r="P145" i="11" s="1"/>
  <c r="Q145" i="11" s="1"/>
  <c r="O264" i="11"/>
  <c r="P264" i="11" s="1"/>
  <c r="Q264" i="11" s="1"/>
  <c r="O368" i="11"/>
  <c r="P368" i="11" s="1"/>
  <c r="Q368" i="11" s="1"/>
  <c r="O681" i="11"/>
  <c r="P681" i="11" s="1"/>
  <c r="Q681" i="11" s="1"/>
  <c r="O385" i="11"/>
  <c r="P385" i="11" s="1"/>
  <c r="Q385" i="11" s="1"/>
  <c r="O456" i="11"/>
  <c r="P456" i="11" s="1"/>
  <c r="Q456" i="11" s="1"/>
  <c r="O290" i="11"/>
  <c r="P290" i="11" s="1"/>
  <c r="Q290" i="11" s="1"/>
  <c r="O81" i="11"/>
  <c r="P81" i="11" s="1"/>
  <c r="Q81" i="11" s="1"/>
  <c r="O560" i="11"/>
  <c r="P560" i="11" s="1"/>
  <c r="Q560" i="11" s="1"/>
  <c r="O8" i="11"/>
  <c r="P8" i="11" s="1"/>
  <c r="Q8" i="11" s="1"/>
  <c r="O512" i="11"/>
  <c r="P512" i="11" s="1"/>
  <c r="Q512" i="11" s="1"/>
  <c r="O504" i="11"/>
  <c r="P504" i="11" s="1"/>
  <c r="Q504" i="11" s="1"/>
  <c r="O546" i="11"/>
  <c r="P546" i="11" s="1"/>
  <c r="Q546" i="11" s="1"/>
  <c r="O49" i="11"/>
  <c r="P49" i="11" s="1"/>
  <c r="Q49" i="11" s="1"/>
  <c r="O418" i="11"/>
  <c r="P418" i="11" s="1"/>
  <c r="Q418" i="11" s="1"/>
  <c r="O266" i="11"/>
  <c r="P266" i="11" s="1"/>
  <c r="Q266" i="11" s="1"/>
  <c r="O481" i="11"/>
  <c r="P481" i="11" s="1"/>
  <c r="Q481" i="11" s="1"/>
  <c r="O586" i="11"/>
  <c r="P586" i="11" s="1"/>
  <c r="Q586" i="11" s="1"/>
  <c r="O450" i="11"/>
  <c r="P450" i="11" s="1"/>
  <c r="Q450" i="11" s="1"/>
  <c r="O320" i="11"/>
  <c r="P320" i="11" s="1"/>
  <c r="Q320" i="11" s="1"/>
  <c r="O105" i="11"/>
  <c r="P105" i="11" s="1"/>
  <c r="Q105" i="11" s="1"/>
  <c r="O570" i="11"/>
  <c r="P570" i="11" s="1"/>
  <c r="Q570" i="11" s="1"/>
  <c r="O434" i="11"/>
  <c r="P434" i="11" s="1"/>
  <c r="Q434" i="11" s="1"/>
  <c r="O576" i="11"/>
  <c r="P576" i="11" s="1"/>
  <c r="Q576" i="11" s="1"/>
  <c r="O602" i="11"/>
  <c r="P602" i="11" s="1"/>
  <c r="Q602" i="11" s="1"/>
  <c r="O322" i="11"/>
  <c r="P322" i="11" s="1"/>
  <c r="Q322" i="11" s="1"/>
  <c r="O112" i="11"/>
  <c r="P112" i="11" s="1"/>
  <c r="Q112" i="11" s="1"/>
  <c r="O129" i="11"/>
  <c r="P129" i="11" s="1"/>
  <c r="Q129" i="11" s="1"/>
  <c r="O224" i="11"/>
  <c r="P224" i="11" s="1"/>
  <c r="Q224" i="11" s="1"/>
  <c r="O226" i="11"/>
  <c r="P226" i="11" s="1"/>
  <c r="Q226" i="11" s="1"/>
  <c r="O9" i="11"/>
  <c r="P9" i="11" s="1"/>
  <c r="Q9" i="11" s="1"/>
  <c r="O138" i="11"/>
  <c r="P138" i="11" s="1"/>
  <c r="Q138" i="11" s="1"/>
  <c r="P82" i="11"/>
  <c r="Q82" i="11" s="1"/>
  <c r="O577" i="11"/>
  <c r="P577" i="11" s="1"/>
  <c r="Q577" i="11" s="1"/>
  <c r="O650" i="11"/>
  <c r="P650" i="11" s="1"/>
  <c r="Q650" i="11" s="1"/>
  <c r="O240" i="11"/>
  <c r="P240" i="11" s="1"/>
  <c r="Q240" i="11" s="1"/>
  <c r="O626" i="11"/>
  <c r="P626" i="11" s="1"/>
  <c r="Q626" i="11" s="1"/>
  <c r="O360" i="11"/>
  <c r="P360" i="11" s="1"/>
  <c r="Q360" i="11" s="1"/>
  <c r="O601" i="11"/>
  <c r="P601" i="11" s="1"/>
  <c r="Q601" i="11" s="1"/>
  <c r="O233" i="11"/>
  <c r="P233" i="11" s="1"/>
  <c r="Q233" i="11" s="1"/>
  <c r="O66" i="11"/>
  <c r="P66" i="11" s="1"/>
  <c r="Q66" i="11" s="1"/>
  <c r="O328" i="11"/>
  <c r="P328" i="11" s="1"/>
  <c r="Q328" i="11" s="1"/>
  <c r="O480" i="11"/>
  <c r="P480" i="11" s="1"/>
  <c r="Q480" i="11" s="1"/>
  <c r="O114" i="11"/>
  <c r="P114" i="11" s="1"/>
  <c r="Q114" i="11" s="1"/>
  <c r="O505" i="11"/>
  <c r="P505" i="11" s="1"/>
  <c r="Q505" i="11" s="1"/>
  <c r="O634" i="11"/>
  <c r="P634" i="11" s="1"/>
  <c r="Q634" i="11" s="1"/>
  <c r="O458" i="11"/>
  <c r="P458" i="11" s="1"/>
  <c r="Q458" i="11" s="1"/>
  <c r="O400" i="11"/>
  <c r="P400" i="11" s="1"/>
  <c r="Q400" i="11" s="1"/>
  <c r="O258" i="11"/>
  <c r="P258" i="11" s="1"/>
  <c r="Q258" i="11" s="1"/>
  <c r="O216" i="11"/>
  <c r="P216" i="11" s="1"/>
  <c r="Q216" i="11" s="1"/>
  <c r="O176" i="11"/>
  <c r="P176" i="11" s="1"/>
  <c r="Q176" i="11" s="1"/>
  <c r="O73" i="11"/>
  <c r="P73" i="11" s="1"/>
  <c r="Q73" i="11" s="1"/>
  <c r="O193" i="11"/>
  <c r="P193" i="11" s="1"/>
  <c r="Q193" i="11" s="1"/>
  <c r="O48" i="11"/>
  <c r="P48" i="11" s="1"/>
  <c r="Q48" i="11" s="1"/>
  <c r="O457" i="11"/>
  <c r="P457" i="11" s="1"/>
  <c r="Q457" i="11" s="1"/>
  <c r="P641" i="11"/>
  <c r="Q641" i="11" s="1"/>
  <c r="O312" i="11"/>
  <c r="P312" i="11" s="1"/>
  <c r="Q312" i="11" s="1"/>
  <c r="O289" i="11"/>
  <c r="P289" i="11" s="1"/>
  <c r="Q289" i="11" s="1"/>
  <c r="O522" i="11"/>
  <c r="P522" i="11" s="1"/>
  <c r="Q522" i="11" s="1"/>
  <c r="O568" i="11"/>
  <c r="P568" i="11" s="1"/>
  <c r="Q568" i="11" s="1"/>
  <c r="P658" i="11"/>
  <c r="Q658" i="11" s="1"/>
  <c r="O16" i="11"/>
  <c r="P16" i="11" s="1"/>
  <c r="Q16" i="11" s="1"/>
  <c r="O680" i="11"/>
  <c r="P680" i="11" s="1"/>
  <c r="Q680" i="11" s="1"/>
  <c r="O41" i="11"/>
  <c r="P41" i="11" s="1"/>
  <c r="Q41" i="11" s="1"/>
  <c r="O288" i="11"/>
  <c r="P288" i="11" s="1"/>
  <c r="Q288" i="11" s="1"/>
  <c r="O682" i="11"/>
  <c r="P682" i="11" s="1"/>
  <c r="Q682" i="11" s="1"/>
  <c r="O472" i="11"/>
  <c r="P472" i="11" s="1"/>
  <c r="Q472" i="11" s="1"/>
  <c r="O440" i="11"/>
  <c r="P440" i="11" s="1"/>
  <c r="Q440" i="11" s="1"/>
  <c r="O578" i="11"/>
  <c r="P578" i="11" s="1"/>
  <c r="Q578" i="11" s="1"/>
  <c r="O544" i="11"/>
  <c r="P544" i="11" s="1"/>
  <c r="Q544" i="11" s="1"/>
  <c r="O280" i="11"/>
  <c r="P280" i="11" s="1"/>
  <c r="Q280" i="11" s="1"/>
  <c r="O241" i="11"/>
  <c r="P241" i="11" s="1"/>
  <c r="Q241" i="11" s="1"/>
  <c r="O146" i="11"/>
  <c r="P146" i="11" s="1"/>
  <c r="Q146" i="11" s="1"/>
  <c r="O618" i="11"/>
  <c r="P618" i="11" s="1"/>
  <c r="Q618" i="11" s="1"/>
  <c r="O488" i="11"/>
  <c r="P488" i="11" s="1"/>
  <c r="Q488" i="11" s="1"/>
  <c r="O673" i="11"/>
  <c r="P673" i="11" s="1"/>
  <c r="Q673" i="11" s="1"/>
  <c r="O665" i="11"/>
  <c r="P665" i="11" s="1"/>
  <c r="Q665" i="11" s="1"/>
  <c r="O464" i="11"/>
  <c r="P464" i="11" s="1"/>
  <c r="Q464" i="11" s="1"/>
  <c r="O465" i="11"/>
  <c r="P465" i="11" s="1"/>
  <c r="Q465" i="11" s="1"/>
  <c r="O369" i="11"/>
  <c r="P369" i="11" s="1"/>
  <c r="Q369" i="11" s="1"/>
  <c r="O538" i="11"/>
  <c r="P538" i="11" s="1"/>
  <c r="Q538" i="11" s="1"/>
  <c r="O554" i="11"/>
  <c r="P554" i="11" s="1"/>
  <c r="Q554" i="11" s="1"/>
  <c r="O336" i="11"/>
  <c r="P336" i="11" s="1"/>
  <c r="Q336" i="11" s="1"/>
  <c r="O248" i="11"/>
  <c r="P248" i="11" s="1"/>
  <c r="Q248" i="11" s="1"/>
  <c r="O33" i="11"/>
  <c r="P33" i="11" s="1"/>
  <c r="Q33" i="11" s="1"/>
  <c r="O321" i="11"/>
  <c r="P321" i="11" s="1"/>
  <c r="Q321" i="11" s="1"/>
  <c r="O202" i="11"/>
  <c r="P202" i="11" s="1"/>
  <c r="Q202" i="11" s="1"/>
  <c r="O98" i="11"/>
  <c r="P98" i="11" s="1"/>
  <c r="Q98" i="11" s="1"/>
  <c r="O192" i="11"/>
  <c r="P192" i="11" s="1"/>
  <c r="Q192" i="11" s="1"/>
  <c r="O168" i="11"/>
  <c r="P168" i="11" s="1"/>
  <c r="Q168" i="11" s="1"/>
  <c r="O10" i="11"/>
  <c r="P10" i="11" s="1"/>
  <c r="Q10" i="11" s="1"/>
  <c r="O625" i="11"/>
  <c r="P625" i="11" s="1"/>
  <c r="Q625" i="11" s="1"/>
  <c r="O257" i="11"/>
  <c r="P257" i="11" s="1"/>
  <c r="Q257" i="11" s="1"/>
  <c r="O496" i="11"/>
  <c r="P496" i="11" s="1"/>
  <c r="Q496" i="11" s="1"/>
  <c r="P96" i="11"/>
  <c r="Q96" i="11" s="1"/>
  <c r="O402" i="11"/>
  <c r="P402" i="11" s="1"/>
  <c r="Q402" i="11" s="1"/>
  <c r="O50" i="11"/>
  <c r="P50" i="11" s="1"/>
  <c r="Q50" i="11" s="1"/>
  <c r="O106" i="11"/>
  <c r="P106" i="11" s="1"/>
  <c r="Q106" i="11" s="1"/>
  <c r="O584" i="11"/>
  <c r="P584" i="11" s="1"/>
  <c r="Q584" i="11" s="1"/>
  <c r="O600" i="11"/>
  <c r="P600" i="11" s="1"/>
  <c r="Q600" i="11" s="1"/>
  <c r="O265" i="11"/>
  <c r="P265" i="11" s="1"/>
  <c r="Q265" i="11" s="1"/>
  <c r="P656" i="11"/>
  <c r="Q656" i="11" s="1"/>
  <c r="P306" i="11"/>
  <c r="Q306" i="11" s="1"/>
  <c r="O536" i="11"/>
  <c r="P536" i="11" s="1"/>
  <c r="Q536" i="11" s="1"/>
  <c r="O384" i="11"/>
  <c r="P384" i="11" s="1"/>
  <c r="Q384" i="11" s="1"/>
  <c r="O490" i="11"/>
  <c r="P490" i="11" s="1"/>
  <c r="Q490" i="11" s="1"/>
  <c r="O304" i="11"/>
  <c r="P304" i="11" s="1"/>
  <c r="Q304" i="11" s="1"/>
  <c r="O209" i="11"/>
  <c r="P209" i="11" s="1"/>
  <c r="Q209" i="11" s="1"/>
  <c r="O672" i="11"/>
  <c r="P672" i="11" s="1"/>
  <c r="Q672" i="11" s="1"/>
  <c r="O624" i="11"/>
  <c r="P624" i="11" s="1"/>
  <c r="Q624" i="11" s="1"/>
  <c r="P562" i="11"/>
  <c r="Q562" i="11" s="1"/>
  <c r="O417" i="11"/>
  <c r="P417" i="11" s="1"/>
  <c r="Q417" i="11" s="1"/>
  <c r="O201" i="11"/>
  <c r="P201" i="11" s="1"/>
  <c r="Q201" i="11" s="1"/>
  <c r="O537" i="11"/>
  <c r="P537" i="11" s="1"/>
  <c r="Q537" i="11" s="1"/>
  <c r="P210" i="11"/>
  <c r="Q210" i="11" s="1"/>
  <c r="P162" i="11"/>
  <c r="Q162" i="11" s="1"/>
  <c r="P2" i="11"/>
  <c r="Q2" i="11" s="1"/>
  <c r="O329" i="11"/>
  <c r="P329" i="11" s="1"/>
  <c r="Q329" i="11" s="1"/>
  <c r="O97" i="11"/>
  <c r="P97" i="11" s="1"/>
  <c r="Q97" i="11" s="1"/>
  <c r="O232" i="11"/>
  <c r="P232" i="11" s="1"/>
  <c r="Q232" i="11" s="1"/>
  <c r="P433" i="11"/>
  <c r="Q433" i="11" s="1"/>
  <c r="O401" i="11"/>
  <c r="P401" i="11" s="1"/>
  <c r="Q401" i="11" s="1"/>
  <c r="O674" i="11"/>
  <c r="P674" i="11" s="1"/>
  <c r="Q674" i="11" s="1"/>
  <c r="O528" i="11"/>
  <c r="P528" i="11" s="1"/>
  <c r="Q528" i="11" s="1"/>
  <c r="O256" i="11"/>
  <c r="P256" i="11" s="1"/>
  <c r="Q256" i="11" s="1"/>
  <c r="O64" i="11"/>
  <c r="P64" i="11" s="1"/>
  <c r="Q64" i="11" s="1"/>
  <c r="O424" i="11"/>
  <c r="P424" i="11" s="1"/>
  <c r="Q424" i="11" s="1"/>
  <c r="O648" i="11"/>
  <c r="P648" i="11" s="1"/>
  <c r="Q648" i="11" s="1"/>
  <c r="O657" i="11"/>
  <c r="P657" i="11" s="1"/>
  <c r="Q657" i="11" s="1"/>
  <c r="O242" i="11"/>
  <c r="P242" i="11" s="1"/>
  <c r="Q242" i="11" s="1"/>
  <c r="O610" i="11"/>
  <c r="P610" i="11" s="1"/>
  <c r="Q610" i="11" s="1"/>
  <c r="O113" i="11"/>
  <c r="P113" i="11" s="1"/>
  <c r="Q113" i="11" s="1"/>
  <c r="O520" i="11"/>
  <c r="P520" i="11" s="1"/>
  <c r="Q520" i="11" s="1"/>
  <c r="O296" i="11"/>
  <c r="P296" i="11" s="1"/>
  <c r="Q296" i="11" s="1"/>
  <c r="O136" i="11"/>
  <c r="P136" i="11" s="1"/>
  <c r="Q136" i="11" s="1"/>
  <c r="O594" i="11"/>
  <c r="P594" i="11" s="1"/>
  <c r="Q594" i="11" s="1"/>
  <c r="O448" i="11"/>
  <c r="P448" i="11" s="1"/>
  <c r="Q448" i="11" s="1"/>
  <c r="O649" i="11"/>
  <c r="P649" i="11" s="1"/>
  <c r="Q649" i="11" s="1"/>
  <c r="O449" i="11"/>
  <c r="P449" i="11" s="1"/>
  <c r="Q449" i="11" s="1"/>
  <c r="O272" i="11"/>
  <c r="P272" i="11" s="1"/>
  <c r="Q272" i="11" s="1"/>
  <c r="P482" i="11"/>
  <c r="Q482" i="11" s="1"/>
  <c r="O506" i="11"/>
  <c r="P506" i="11" s="1"/>
  <c r="Q506" i="11" s="1"/>
  <c r="O513" i="11"/>
  <c r="P513" i="11" s="1"/>
  <c r="Q513" i="11" s="1"/>
  <c r="O617" i="11"/>
  <c r="P617" i="11" s="1"/>
  <c r="Q617" i="11" s="1"/>
  <c r="O552" i="11"/>
  <c r="P552" i="11" s="1"/>
  <c r="Q552" i="11" s="1"/>
  <c r="O608" i="11"/>
  <c r="P608" i="11" s="1"/>
  <c r="Q608" i="11" s="1"/>
  <c r="P416" i="11"/>
  <c r="Q416" i="11" s="1"/>
  <c r="O177" i="11"/>
  <c r="P177" i="11" s="1"/>
  <c r="Q177" i="11" s="1"/>
  <c r="O514" i="11"/>
  <c r="P514" i="11" s="1"/>
  <c r="Q514" i="11" s="1"/>
  <c r="O184" i="11"/>
  <c r="P184" i="11" s="1"/>
  <c r="Q184" i="11" s="1"/>
  <c r="O274" i="11"/>
  <c r="P274" i="11" s="1"/>
  <c r="Q274" i="11" s="1"/>
  <c r="P161" i="11"/>
  <c r="Q161" i="11" s="1"/>
  <c r="O56" i="11"/>
  <c r="P56" i="11" s="1"/>
  <c r="Q56" i="11" s="1"/>
  <c r="O426" i="11"/>
  <c r="P426" i="11" s="1"/>
  <c r="Q426" i="11" s="1"/>
  <c r="O353" i="11"/>
  <c r="P353" i="11" s="1"/>
  <c r="Q353" i="11" s="1"/>
  <c r="O664" i="11"/>
  <c r="P664" i="11" s="1"/>
  <c r="Q664" i="11" s="1"/>
  <c r="O616" i="11"/>
  <c r="P616" i="11" s="1"/>
  <c r="Q616" i="11" s="1"/>
  <c r="P569" i="11"/>
  <c r="Q569" i="11" s="1"/>
  <c r="O592" i="11"/>
  <c r="P592" i="11" s="1"/>
  <c r="Q592" i="11" s="1"/>
  <c r="O408" i="11"/>
  <c r="P408" i="11" s="1"/>
  <c r="Q408" i="11" s="1"/>
  <c r="O74" i="11"/>
  <c r="P74" i="11" s="1"/>
  <c r="Q74" i="11" s="1"/>
  <c r="O354" i="11"/>
  <c r="P354" i="11" s="1"/>
  <c r="Q354" i="11" s="1"/>
  <c r="O640" i="11"/>
  <c r="P640" i="11" s="1"/>
  <c r="Q640" i="11" s="1"/>
  <c r="P42" i="11"/>
  <c r="Q42" i="11" s="1"/>
  <c r="P34" i="11"/>
  <c r="Q34" i="11" s="1"/>
  <c r="O338" i="11"/>
  <c r="P338" i="11" s="1"/>
  <c r="Q338" i="11" s="1"/>
  <c r="O545" i="11"/>
  <c r="P545" i="11" s="1"/>
  <c r="Q545" i="11" s="1"/>
  <c r="O178" i="11"/>
  <c r="P178" i="11" s="1"/>
  <c r="Q178" i="11" s="1"/>
  <c r="O632" i="11"/>
  <c r="P632" i="11" s="1"/>
  <c r="Q632" i="11" s="1"/>
  <c r="O529" i="11"/>
  <c r="P529" i="11" s="1"/>
  <c r="Q529" i="11" s="1"/>
  <c r="O361" i="11"/>
  <c r="P361" i="11" s="1"/>
  <c r="Q361" i="11" s="1"/>
  <c r="O425" i="11"/>
  <c r="P425" i="11" s="1"/>
  <c r="Q425" i="11" s="1"/>
  <c r="O666" i="11"/>
  <c r="P666" i="11" s="1"/>
  <c r="Q666" i="11" s="1"/>
  <c r="O553" i="11"/>
  <c r="P553" i="11" s="1"/>
  <c r="Q553" i="11" s="1"/>
  <c r="O362" i="11"/>
  <c r="P362" i="11" s="1"/>
  <c r="Q362" i="11" s="1"/>
  <c r="O370" i="11"/>
  <c r="P370" i="11" s="1"/>
  <c r="Q370" i="11" s="1"/>
  <c r="P170" i="11"/>
  <c r="Q170" i="11" s="1"/>
  <c r="O593" i="11"/>
  <c r="P593" i="11" s="1"/>
  <c r="Q593" i="11" s="1"/>
  <c r="O489" i="11"/>
  <c r="P489" i="11" s="1"/>
  <c r="Q489" i="11" s="1"/>
  <c r="O609" i="11"/>
  <c r="P609" i="11" s="1"/>
  <c r="Q609" i="11" s="1"/>
  <c r="P394" i="11"/>
  <c r="Q394" i="11" s="1"/>
  <c r="O633" i="11"/>
  <c r="P633" i="11" s="1"/>
  <c r="Q633" i="11" s="1"/>
  <c r="O144" i="11"/>
  <c r="P144" i="11" s="1"/>
  <c r="Q144" i="11" s="1"/>
  <c r="P273" i="11"/>
  <c r="Q273" i="11" s="1"/>
  <c r="P298" i="11"/>
  <c r="Q298" i="11" s="1"/>
  <c r="O208" i="11"/>
  <c r="P208" i="11" s="1"/>
  <c r="Q208" i="11" s="1"/>
  <c r="O120" i="11"/>
  <c r="P120" i="11" s="1"/>
  <c r="Q120" i="11" s="1"/>
  <c r="O40" i="11"/>
  <c r="P40" i="11" s="1"/>
  <c r="Q40" i="11" s="1"/>
  <c r="O65" i="11"/>
  <c r="P65" i="11" s="1"/>
  <c r="Q65" i="11" s="1"/>
  <c r="O160" i="11"/>
  <c r="P160" i="11" s="1"/>
  <c r="Q160" i="11" s="1"/>
  <c r="P530" i="11"/>
  <c r="Q530" i="11" s="1"/>
  <c r="O352" i="11"/>
  <c r="P352" i="11" s="1"/>
  <c r="Q352" i="11" s="1"/>
  <c r="O152" i="11"/>
  <c r="P152" i="11" s="1"/>
  <c r="Q152" i="11" s="1"/>
  <c r="O194" i="11"/>
  <c r="P194" i="11" s="1"/>
  <c r="Q194" i="11" s="1"/>
  <c r="O642" i="11"/>
  <c r="P642" i="11" s="1"/>
  <c r="Q642" i="11" s="1"/>
  <c r="O128" i="11"/>
  <c r="P128" i="11" s="1"/>
  <c r="Q128" i="11" s="1"/>
  <c r="O392" i="11"/>
  <c r="P392" i="11" s="1"/>
  <c r="Q392" i="11" s="1"/>
  <c r="O32" i="11"/>
  <c r="P32" i="11" s="1"/>
  <c r="Q32" i="11" s="1"/>
  <c r="O169" i="11"/>
  <c r="P169" i="11" s="1"/>
  <c r="Q169" i="11" s="1"/>
  <c r="O561" i="11"/>
  <c r="P561" i="11" s="1"/>
  <c r="Q561" i="11" s="1"/>
  <c r="O344" i="11"/>
  <c r="P344" i="11" s="1"/>
  <c r="Q344" i="11" s="1"/>
  <c r="O104" i="11"/>
  <c r="P104" i="11" s="1"/>
  <c r="Q104" i="11" s="1"/>
  <c r="O337" i="11"/>
  <c r="P337" i="11" s="1"/>
  <c r="Q337" i="11" s="1"/>
  <c r="O497" i="11"/>
  <c r="P497" i="11" s="1"/>
  <c r="Q497" i="11" s="1"/>
  <c r="P188" i="11"/>
  <c r="Q188" i="11" s="1"/>
  <c r="P636" i="11"/>
  <c r="Q636" i="11" s="1"/>
  <c r="S636" i="11" s="1"/>
  <c r="P148" i="11"/>
  <c r="Q148" i="11" s="1"/>
  <c r="P547" i="11"/>
  <c r="Q547" i="11" s="1"/>
  <c r="S547" i="11" s="1"/>
  <c r="P107" i="11"/>
  <c r="Q107" i="11" s="1"/>
  <c r="S107" i="11" s="1"/>
  <c r="P499" i="11"/>
  <c r="Q499" i="11" s="1"/>
  <c r="S499" i="11" s="1"/>
  <c r="S388" i="11"/>
  <c r="P557" i="11"/>
  <c r="P140" i="11"/>
  <c r="Q140" i="11" s="1"/>
  <c r="S140" i="11" s="1"/>
  <c r="P155" i="11"/>
  <c r="S148" i="11"/>
  <c r="P627" i="11"/>
  <c r="Q627" i="11" s="1"/>
  <c r="S627" i="11" s="1"/>
  <c r="P494" i="11"/>
  <c r="Q494" i="11" s="1"/>
  <c r="P678" i="11"/>
  <c r="Q678" i="11" s="1"/>
  <c r="P122" i="11"/>
  <c r="Q122" i="11" s="1"/>
  <c r="S122" i="11" s="1"/>
  <c r="P51" i="11"/>
  <c r="Q51" i="11" s="1"/>
  <c r="P115" i="11"/>
  <c r="Q115" i="11" s="1"/>
  <c r="P243" i="11"/>
  <c r="Q243" i="11" s="1"/>
  <c r="P371" i="11"/>
  <c r="Q371" i="11" s="1"/>
  <c r="P575" i="11"/>
  <c r="Q575" i="11" s="1"/>
  <c r="P172" i="11"/>
  <c r="Q172" i="11" s="1"/>
  <c r="P492" i="11"/>
  <c r="Q492" i="11" s="1"/>
  <c r="P620" i="11"/>
  <c r="Q620" i="11" s="1"/>
  <c r="P85" i="11"/>
  <c r="Q85" i="11" s="1"/>
  <c r="P341" i="11"/>
  <c r="Q341" i="11" s="1"/>
  <c r="P405" i="11"/>
  <c r="Q405" i="11" s="1"/>
  <c r="P469" i="11"/>
  <c r="Q469" i="11" s="1"/>
  <c r="P479" i="11"/>
  <c r="Q479" i="11" s="1"/>
  <c r="P46" i="11"/>
  <c r="Q46" i="11" s="1"/>
  <c r="P342" i="11"/>
  <c r="Q342" i="11" s="1"/>
  <c r="P622" i="11"/>
  <c r="Q622" i="11" s="1"/>
  <c r="P63" i="11"/>
  <c r="Q63" i="11" s="1"/>
  <c r="P567" i="11"/>
  <c r="Q567" i="11" s="1"/>
  <c r="P166" i="11"/>
  <c r="Q166" i="11" s="1"/>
  <c r="P486" i="11"/>
  <c r="Q486" i="11" s="1"/>
  <c r="P167" i="11"/>
  <c r="Q167" i="11" s="1"/>
  <c r="P3" i="11"/>
  <c r="Q3" i="11" s="1"/>
  <c r="P67" i="11"/>
  <c r="Q67" i="11" s="1"/>
  <c r="P131" i="11"/>
  <c r="Q131" i="11" s="1"/>
  <c r="P195" i="11"/>
  <c r="Q195" i="11" s="1"/>
  <c r="P259" i="11"/>
  <c r="Q259" i="11" s="1"/>
  <c r="P323" i="11"/>
  <c r="Q323" i="11" s="1"/>
  <c r="P643" i="11"/>
  <c r="Q643" i="11" s="1"/>
  <c r="P351" i="11"/>
  <c r="Q351" i="11" s="1"/>
  <c r="P60" i="11"/>
  <c r="Q60" i="11" s="1"/>
  <c r="P124" i="11"/>
  <c r="Q124" i="11" s="1"/>
  <c r="P252" i="11"/>
  <c r="Q252" i="11" s="1"/>
  <c r="P316" i="11"/>
  <c r="Q316" i="11" s="1"/>
  <c r="P380" i="11"/>
  <c r="Q380" i="11" s="1"/>
  <c r="P508" i="11"/>
  <c r="Q508" i="11" s="1"/>
  <c r="P110" i="11"/>
  <c r="Q110" i="11" s="1"/>
  <c r="S110" i="11" s="1"/>
  <c r="P670" i="11"/>
  <c r="Q670" i="11" s="1"/>
  <c r="P101" i="11"/>
  <c r="Q101" i="11" s="1"/>
  <c r="P165" i="11"/>
  <c r="Q165" i="11" s="1"/>
  <c r="P229" i="11"/>
  <c r="Q229" i="11" s="1"/>
  <c r="P293" i="11"/>
  <c r="Q293" i="11" s="1"/>
  <c r="P357" i="11"/>
  <c r="Q357" i="11" s="1"/>
  <c r="P421" i="11"/>
  <c r="Q421" i="11" s="1"/>
  <c r="P485" i="11"/>
  <c r="Q485" i="11" s="1"/>
  <c r="P549" i="11"/>
  <c r="Q549" i="11" s="1"/>
  <c r="P645" i="11"/>
  <c r="Q645" i="11" s="1"/>
  <c r="P182" i="11"/>
  <c r="Q182" i="11" s="1"/>
  <c r="P558" i="11"/>
  <c r="Q558" i="11" s="1"/>
  <c r="P343" i="11"/>
  <c r="Q343" i="11" s="1"/>
  <c r="P679" i="11"/>
  <c r="Q679" i="11" s="1"/>
  <c r="P378" i="11"/>
  <c r="Q378" i="11" s="1"/>
  <c r="P387" i="11"/>
  <c r="Q387" i="11" s="1"/>
  <c r="P451" i="11"/>
  <c r="Q451" i="11" s="1"/>
  <c r="P515" i="11"/>
  <c r="Q515" i="11" s="1"/>
  <c r="P579" i="11"/>
  <c r="Q579" i="11" s="1"/>
  <c r="P647" i="11"/>
  <c r="Q647" i="11" s="1"/>
  <c r="P444" i="11"/>
  <c r="Q444" i="11" s="1"/>
  <c r="P572" i="11"/>
  <c r="Q572" i="11" s="1"/>
  <c r="P406" i="11"/>
  <c r="Q406" i="11" s="1"/>
  <c r="P239" i="11"/>
  <c r="Q239" i="11" s="1"/>
  <c r="P591" i="11"/>
  <c r="Q591" i="11" s="1"/>
  <c r="P37" i="11"/>
  <c r="Q37" i="11" s="1"/>
  <c r="P126" i="11"/>
  <c r="Q126" i="11" s="1"/>
  <c r="P223" i="11"/>
  <c r="Q223" i="11" s="1"/>
  <c r="P543" i="11"/>
  <c r="Q543" i="11" s="1"/>
  <c r="P217" i="11"/>
  <c r="Q217" i="11" s="1"/>
  <c r="P414" i="11"/>
  <c r="Q414" i="11" s="1"/>
  <c r="P663" i="11"/>
  <c r="Q663" i="11" s="1"/>
  <c r="P473" i="11"/>
  <c r="Q473" i="11" s="1"/>
  <c r="P25" i="11"/>
  <c r="Q25" i="11" s="1"/>
  <c r="P118" i="11"/>
  <c r="Q118" i="11" s="1"/>
  <c r="P151" i="11"/>
  <c r="Q151" i="11" s="1"/>
  <c r="P281" i="11"/>
  <c r="Q281" i="11" s="1"/>
  <c r="P58" i="11"/>
  <c r="Q58" i="11" s="1"/>
  <c r="P94" i="11"/>
  <c r="Q94" i="11" s="1"/>
  <c r="P398" i="11"/>
  <c r="Q398" i="11" s="1"/>
  <c r="P71" i="11"/>
  <c r="Q71" i="11" s="1"/>
  <c r="P455" i="11"/>
  <c r="Q455" i="11" s="1"/>
  <c r="P179" i="11"/>
  <c r="Q179" i="11" s="1"/>
  <c r="P307" i="11"/>
  <c r="Q307" i="11" s="1"/>
  <c r="P435" i="11"/>
  <c r="Q435" i="11" s="1"/>
  <c r="P563" i="11"/>
  <c r="Q563" i="11" s="1"/>
  <c r="P255" i="11"/>
  <c r="Q255" i="11" s="1"/>
  <c r="P44" i="11"/>
  <c r="Q44" i="11" s="1"/>
  <c r="P108" i="11"/>
  <c r="Q108" i="11" s="1"/>
  <c r="P236" i="11"/>
  <c r="Q236" i="11" s="1"/>
  <c r="P300" i="11"/>
  <c r="Q300" i="11" s="1"/>
  <c r="P364" i="11"/>
  <c r="Q364" i="11" s="1"/>
  <c r="P428" i="11"/>
  <c r="Q428" i="11" s="1"/>
  <c r="P556" i="11"/>
  <c r="Q556" i="11" s="1"/>
  <c r="P684" i="11"/>
  <c r="Q684" i="11" s="1"/>
  <c r="P54" i="11"/>
  <c r="Q54" i="11" s="1"/>
  <c r="P334" i="11"/>
  <c r="Q334" i="11" s="1"/>
  <c r="P614" i="11"/>
  <c r="Q614" i="11" s="1"/>
  <c r="P143" i="11"/>
  <c r="Q143" i="11" s="1"/>
  <c r="P503" i="11"/>
  <c r="Q503" i="11" s="1"/>
  <c r="P21" i="11"/>
  <c r="Q21" i="11" s="1"/>
  <c r="P149" i="11"/>
  <c r="Q149" i="11" s="1"/>
  <c r="P213" i="11"/>
  <c r="Q213" i="11" s="1"/>
  <c r="P277" i="11"/>
  <c r="Q277" i="11" s="1"/>
  <c r="P533" i="11"/>
  <c r="Q533" i="11" s="1"/>
  <c r="P605" i="11"/>
  <c r="Q605" i="11" s="1"/>
  <c r="P102" i="11"/>
  <c r="Q102" i="11" s="1"/>
  <c r="P462" i="11"/>
  <c r="Q462" i="11" s="1"/>
  <c r="P207" i="11"/>
  <c r="Q207" i="11" s="1"/>
  <c r="P599" i="11"/>
  <c r="Q599" i="11" s="1"/>
  <c r="P314" i="11"/>
  <c r="Q314" i="11" s="1"/>
  <c r="P30" i="11"/>
  <c r="Q30" i="11" s="1"/>
  <c r="P390" i="11"/>
  <c r="Q390" i="11" s="1"/>
  <c r="P127" i="11"/>
  <c r="Q127" i="11" s="1"/>
  <c r="P78" i="11"/>
  <c r="Q78" i="11" s="1"/>
  <c r="P382" i="11"/>
  <c r="Q382" i="11" s="1"/>
  <c r="P662" i="11"/>
  <c r="Q662" i="11" s="1"/>
  <c r="P103" i="11"/>
  <c r="Q103" i="11" s="1"/>
  <c r="P631" i="11"/>
  <c r="Q631" i="11" s="1"/>
  <c r="P70" i="11"/>
  <c r="Q70" i="11" s="1"/>
  <c r="P454" i="11"/>
  <c r="Q454" i="11" s="1"/>
  <c r="P175" i="11"/>
  <c r="Q175" i="11" s="1"/>
  <c r="P527" i="11"/>
  <c r="Q527" i="11" s="1"/>
  <c r="P134" i="11"/>
  <c r="Q134" i="11" s="1"/>
  <c r="P446" i="11"/>
  <c r="Q446" i="11" s="1"/>
  <c r="P119" i="11"/>
  <c r="Q119" i="11" s="1"/>
  <c r="P495" i="11"/>
  <c r="Q495" i="11" s="1"/>
  <c r="P59" i="11"/>
  <c r="Q59" i="11" s="1"/>
  <c r="P123" i="11"/>
  <c r="Q123" i="11" s="1"/>
  <c r="P187" i="11"/>
  <c r="Q187" i="11" s="1"/>
  <c r="P251" i="11"/>
  <c r="Q251" i="11" s="1"/>
  <c r="P315" i="11"/>
  <c r="Q315" i="11" s="1"/>
  <c r="P379" i="11"/>
  <c r="Q379" i="11" s="1"/>
  <c r="P443" i="11"/>
  <c r="Q443" i="11" s="1"/>
  <c r="P507" i="11"/>
  <c r="Q507" i="11" s="1"/>
  <c r="P571" i="11"/>
  <c r="Q571" i="11" s="1"/>
  <c r="P635" i="11"/>
  <c r="P303" i="11"/>
  <c r="Q303" i="11" s="1"/>
  <c r="P615" i="11"/>
  <c r="Q615" i="11" s="1"/>
  <c r="P52" i="11"/>
  <c r="Q52" i="11" s="1"/>
  <c r="P116" i="11"/>
  <c r="Q116" i="11" s="1"/>
  <c r="P180" i="11"/>
  <c r="Q180" i="11" s="1"/>
  <c r="P244" i="11"/>
  <c r="Q244" i="11" s="1"/>
  <c r="P308" i="11"/>
  <c r="Q308" i="11" s="1"/>
  <c r="P372" i="11"/>
  <c r="Q372" i="11" s="1"/>
  <c r="P436" i="11"/>
  <c r="Q436" i="11" s="1"/>
  <c r="P500" i="11"/>
  <c r="Q500" i="11" s="1"/>
  <c r="P564" i="11"/>
  <c r="P628" i="11"/>
  <c r="Q628" i="11" s="1"/>
  <c r="P86" i="11"/>
  <c r="Q86" i="11" s="1"/>
  <c r="P374" i="11"/>
  <c r="Q374" i="11" s="1"/>
  <c r="P638" i="11"/>
  <c r="Q638" i="11" s="1"/>
  <c r="P191" i="11"/>
  <c r="Q191" i="11" s="1"/>
  <c r="P551" i="11"/>
  <c r="Q551" i="11" s="1"/>
  <c r="P29" i="11"/>
  <c r="Q29" i="11" s="1"/>
  <c r="P93" i="11"/>
  <c r="Q93" i="11" s="1"/>
  <c r="P157" i="11"/>
  <c r="Q157" i="11" s="1"/>
  <c r="P221" i="11"/>
  <c r="Q221" i="11" s="1"/>
  <c r="P285" i="11"/>
  <c r="Q285" i="11" s="1"/>
  <c r="P349" i="11"/>
  <c r="Q349" i="11" s="1"/>
  <c r="P413" i="11"/>
  <c r="Q413" i="11" s="1"/>
  <c r="P477" i="11"/>
  <c r="Q477" i="11" s="1"/>
  <c r="P541" i="11"/>
  <c r="Q541" i="11" s="1"/>
  <c r="P613" i="11"/>
  <c r="Q613" i="11" s="1"/>
  <c r="P142" i="11"/>
  <c r="Q142" i="11" s="1"/>
  <c r="P271" i="11"/>
  <c r="Q271" i="11" s="1"/>
  <c r="P639" i="11"/>
  <c r="Q639" i="11" s="1"/>
  <c r="P121" i="11"/>
  <c r="Q121" i="11" s="1"/>
  <c r="P377" i="11"/>
  <c r="Q377" i="11" s="1"/>
  <c r="P218" i="11"/>
  <c r="Q218" i="11" s="1"/>
  <c r="P474" i="11"/>
  <c r="Q474" i="11" s="1"/>
  <c r="P150" i="11"/>
  <c r="Q150" i="11" s="1"/>
  <c r="P438" i="11"/>
  <c r="Q438" i="11" s="1"/>
  <c r="P199" i="11"/>
  <c r="Q199" i="11" s="1"/>
  <c r="P174" i="11"/>
  <c r="Q174" i="11" s="1"/>
  <c r="P550" i="11"/>
  <c r="Q550" i="11" s="1"/>
  <c r="P263" i="11"/>
  <c r="Q263" i="11" s="1"/>
  <c r="P583" i="11"/>
  <c r="Q583" i="11" s="1"/>
  <c r="P206" i="11"/>
  <c r="Q206" i="11" s="1"/>
  <c r="P526" i="11"/>
  <c r="Q526" i="11" s="1"/>
  <c r="P231" i="11"/>
  <c r="Q231" i="11" s="1"/>
  <c r="P11" i="11"/>
  <c r="Q11" i="11" s="1"/>
  <c r="P75" i="11"/>
  <c r="Q75" i="11" s="1"/>
  <c r="P139" i="11"/>
  <c r="Q139" i="11" s="1"/>
  <c r="P203" i="11"/>
  <c r="Q203" i="11" s="1"/>
  <c r="P267" i="11"/>
  <c r="Q267" i="11" s="1"/>
  <c r="P331" i="11"/>
  <c r="Q331" i="11" s="1"/>
  <c r="P395" i="11"/>
  <c r="Q395" i="11" s="1"/>
  <c r="P459" i="11"/>
  <c r="Q459" i="11" s="1"/>
  <c r="P523" i="11"/>
  <c r="Q523" i="11" s="1"/>
  <c r="P587" i="11"/>
  <c r="Q587" i="11" s="1"/>
  <c r="P651" i="11"/>
  <c r="Q651" i="11" s="1"/>
  <c r="P23" i="11"/>
  <c r="Q23" i="11" s="1"/>
  <c r="P399" i="11"/>
  <c r="Q399" i="11" s="1"/>
  <c r="P4" i="11"/>
  <c r="Q4" i="11" s="1"/>
  <c r="P68" i="11"/>
  <c r="Q68" i="11" s="1"/>
  <c r="P132" i="11"/>
  <c r="Q132" i="11" s="1"/>
  <c r="P196" i="11"/>
  <c r="Q196" i="11" s="1"/>
  <c r="P260" i="11"/>
  <c r="Q260" i="11" s="1"/>
  <c r="P324" i="11"/>
  <c r="Q324" i="11" s="1"/>
  <c r="P452" i="11"/>
  <c r="Q452" i="11" s="1"/>
  <c r="P516" i="11"/>
  <c r="Q516" i="11" s="1"/>
  <c r="P580" i="11"/>
  <c r="Q580" i="11" s="1"/>
  <c r="P644" i="11"/>
  <c r="Q644" i="11" s="1"/>
  <c r="P158" i="11"/>
  <c r="Q158" i="11" s="1"/>
  <c r="P430" i="11"/>
  <c r="Q430" i="11" s="1"/>
  <c r="P279" i="11"/>
  <c r="Q279" i="11" s="1"/>
  <c r="P623" i="11"/>
  <c r="Q623" i="11" s="1"/>
  <c r="P45" i="11"/>
  <c r="Q45" i="11" s="1"/>
  <c r="P109" i="11"/>
  <c r="Q109" i="11" s="1"/>
  <c r="P173" i="11"/>
  <c r="Q173" i="11" s="1"/>
  <c r="P237" i="11"/>
  <c r="Q237" i="11" s="1"/>
  <c r="P301" i="11"/>
  <c r="Q301" i="11" s="1"/>
  <c r="P365" i="11"/>
  <c r="Q365" i="11" s="1"/>
  <c r="P429" i="11"/>
  <c r="Q429" i="11" s="1"/>
  <c r="P661" i="11"/>
  <c r="Q661" i="11" s="1"/>
  <c r="P222" i="11"/>
  <c r="P598" i="11"/>
  <c r="Q598" i="11" s="1"/>
  <c r="P391" i="11"/>
  <c r="Q391" i="11" s="1"/>
  <c r="P185" i="11"/>
  <c r="Q185" i="11" s="1"/>
  <c r="P441" i="11"/>
  <c r="Q441" i="11" s="1"/>
  <c r="P26" i="11"/>
  <c r="Q26" i="11" s="1"/>
  <c r="P282" i="11"/>
  <c r="Q282" i="11" s="1"/>
  <c r="P190" i="11"/>
  <c r="Q190" i="11" s="1"/>
  <c r="P478" i="11"/>
  <c r="Q478" i="11" s="1"/>
  <c r="P247" i="11"/>
  <c r="Q247" i="11" s="1"/>
  <c r="P214" i="11"/>
  <c r="Q214" i="11" s="1"/>
  <c r="P590" i="11"/>
  <c r="Q590" i="11" s="1"/>
  <c r="P311" i="11"/>
  <c r="Q311" i="11" s="1"/>
  <c r="P607" i="11"/>
  <c r="Q607" i="11" s="1"/>
  <c r="P246" i="11"/>
  <c r="Q246" i="11" s="1"/>
  <c r="P566" i="11"/>
  <c r="Q566" i="11" s="1"/>
  <c r="P295" i="11"/>
  <c r="Q295" i="11" s="1"/>
  <c r="P19" i="11"/>
  <c r="Q19" i="11" s="1"/>
  <c r="P83" i="11"/>
  <c r="Q83" i="11" s="1"/>
  <c r="P147" i="11"/>
  <c r="Q147" i="11" s="1"/>
  <c r="P211" i="11"/>
  <c r="Q211" i="11" s="1"/>
  <c r="P275" i="11"/>
  <c r="Q275" i="11" s="1"/>
  <c r="P339" i="11"/>
  <c r="Q339" i="11" s="1"/>
  <c r="P403" i="11"/>
  <c r="Q403" i="11" s="1"/>
  <c r="P467" i="11"/>
  <c r="Q467" i="11" s="1"/>
  <c r="P531" i="11"/>
  <c r="Q531" i="11" s="1"/>
  <c r="P595" i="11"/>
  <c r="Q595" i="11" s="1"/>
  <c r="P659" i="11"/>
  <c r="Q659" i="11" s="1"/>
  <c r="P87" i="11"/>
  <c r="Q87" i="11" s="1"/>
  <c r="P439" i="11"/>
  <c r="Q439" i="11" s="1"/>
  <c r="P12" i="11"/>
  <c r="Q12" i="11" s="1"/>
  <c r="P76" i="11"/>
  <c r="Q76" i="11" s="1"/>
  <c r="P204" i="11"/>
  <c r="Q204" i="11" s="1"/>
  <c r="P268" i="11"/>
  <c r="Q268" i="11" s="1"/>
  <c r="P332" i="11"/>
  <c r="Q332" i="11" s="1"/>
  <c r="P396" i="11"/>
  <c r="Q396" i="11" s="1"/>
  <c r="P460" i="11"/>
  <c r="Q460" i="11" s="1"/>
  <c r="P524" i="11"/>
  <c r="Q524" i="11" s="1"/>
  <c r="P588" i="11"/>
  <c r="Q588" i="11" s="1"/>
  <c r="P652" i="11"/>
  <c r="Q652" i="11" s="1"/>
  <c r="P198" i="11"/>
  <c r="Q198" i="11" s="1"/>
  <c r="P470" i="11"/>
  <c r="Q470" i="11" s="1"/>
  <c r="P327" i="11"/>
  <c r="Q327" i="11" s="1"/>
  <c r="P671" i="11"/>
  <c r="Q671" i="11" s="1"/>
  <c r="P53" i="11"/>
  <c r="Q53" i="11" s="1"/>
  <c r="P117" i="11"/>
  <c r="Q117" i="11" s="1"/>
  <c r="P181" i="11"/>
  <c r="Q181" i="11" s="1"/>
  <c r="P245" i="11"/>
  <c r="Q245" i="11" s="1"/>
  <c r="P309" i="11"/>
  <c r="Q309" i="11" s="1"/>
  <c r="P373" i="11"/>
  <c r="Q373" i="11" s="1"/>
  <c r="P437" i="11"/>
  <c r="Q437" i="11" s="1"/>
  <c r="P501" i="11"/>
  <c r="Q501" i="11" s="1"/>
  <c r="P565" i="11"/>
  <c r="Q565" i="11" s="1"/>
  <c r="P677" i="11"/>
  <c r="Q677" i="11" s="1"/>
  <c r="P278" i="11"/>
  <c r="Q278" i="11" s="1"/>
  <c r="P646" i="11"/>
  <c r="Q646" i="11" s="1"/>
  <c r="P431" i="11"/>
  <c r="Q431" i="11" s="1"/>
  <c r="P89" i="11"/>
  <c r="Q89" i="11" s="1"/>
  <c r="P345" i="11"/>
  <c r="Q345" i="11" s="1"/>
  <c r="P186" i="11"/>
  <c r="Q186" i="11" s="1"/>
  <c r="P442" i="11"/>
  <c r="Q442" i="11" s="1"/>
  <c r="P653" i="11"/>
  <c r="Q653" i="11" s="1"/>
  <c r="P230" i="11"/>
  <c r="Q230" i="11" s="1"/>
  <c r="P510" i="11"/>
  <c r="Q510" i="11" s="1"/>
  <c r="P287" i="11"/>
  <c r="Q287" i="11" s="1"/>
  <c r="P629" i="11"/>
  <c r="Q629" i="11" s="1"/>
  <c r="P254" i="11"/>
  <c r="Q254" i="11" s="1"/>
  <c r="P630" i="11"/>
  <c r="Q630" i="11" s="1"/>
  <c r="P367" i="11"/>
  <c r="Q367" i="11" s="1"/>
  <c r="P655" i="11"/>
  <c r="Q655" i="11" s="1"/>
  <c r="P286" i="11"/>
  <c r="Q286" i="11" s="1"/>
  <c r="P606" i="11"/>
  <c r="Q606" i="11" s="1"/>
  <c r="P335" i="11"/>
  <c r="Q335" i="11" s="1"/>
  <c r="P27" i="11"/>
  <c r="Q27" i="11" s="1"/>
  <c r="P91" i="11"/>
  <c r="Q91" i="11" s="1"/>
  <c r="P219" i="11"/>
  <c r="Q219" i="11" s="1"/>
  <c r="P283" i="11"/>
  <c r="Q283" i="11" s="1"/>
  <c r="P347" i="11"/>
  <c r="Q347" i="11" s="1"/>
  <c r="P411" i="11"/>
  <c r="Q411" i="11" s="1"/>
  <c r="P475" i="11"/>
  <c r="Q475" i="11" s="1"/>
  <c r="P539" i="11"/>
  <c r="Q539" i="11" s="1"/>
  <c r="P603" i="11"/>
  <c r="Q603" i="11" s="1"/>
  <c r="P667" i="11"/>
  <c r="Q667" i="11" s="1"/>
  <c r="P135" i="11"/>
  <c r="Q135" i="11" s="1"/>
  <c r="P487" i="11"/>
  <c r="Q487" i="11" s="1"/>
  <c r="P20" i="11"/>
  <c r="Q20" i="11" s="1"/>
  <c r="P84" i="11"/>
  <c r="Q84" i="11" s="1"/>
  <c r="P212" i="11"/>
  <c r="Q212" i="11" s="1"/>
  <c r="P276" i="11"/>
  <c r="Q276" i="11" s="1"/>
  <c r="P340" i="11"/>
  <c r="Q340" i="11" s="1"/>
  <c r="P404" i="11"/>
  <c r="Q404" i="11" s="1"/>
  <c r="P468" i="11"/>
  <c r="Q468" i="11" s="1"/>
  <c r="P532" i="11"/>
  <c r="Q532" i="11" s="1"/>
  <c r="P596" i="11"/>
  <c r="Q596" i="11" s="1"/>
  <c r="P660" i="11"/>
  <c r="Q660" i="11" s="1"/>
  <c r="P589" i="11"/>
  <c r="Q589" i="11" s="1"/>
  <c r="P238" i="11"/>
  <c r="Q238" i="11" s="1"/>
  <c r="P502" i="11"/>
  <c r="Q502" i="11" s="1"/>
  <c r="P7" i="11"/>
  <c r="Q7" i="11" s="1"/>
  <c r="P375" i="11"/>
  <c r="Q375" i="11" s="1"/>
  <c r="P61" i="11"/>
  <c r="Q61" i="11" s="1"/>
  <c r="P125" i="11"/>
  <c r="Q125" i="11" s="1"/>
  <c r="P189" i="11"/>
  <c r="Q189" i="11" s="1"/>
  <c r="P253" i="11"/>
  <c r="Q253" i="11" s="1"/>
  <c r="P381" i="11"/>
  <c r="Q381" i="11" s="1"/>
  <c r="P445" i="11"/>
  <c r="Q445" i="11" s="1"/>
  <c r="P573" i="11"/>
  <c r="Q573" i="11" s="1"/>
  <c r="P318" i="11"/>
  <c r="Q318" i="11" s="1"/>
  <c r="P47" i="11"/>
  <c r="Q47" i="11" s="1"/>
  <c r="P471" i="11"/>
  <c r="Q471" i="11" s="1"/>
  <c r="P249" i="11"/>
  <c r="Q249" i="11" s="1"/>
  <c r="P90" i="11"/>
  <c r="Q90" i="11" s="1"/>
  <c r="P346" i="11"/>
  <c r="Q346" i="11" s="1"/>
  <c r="P270" i="11"/>
  <c r="Q270" i="11" s="1"/>
  <c r="P542" i="11"/>
  <c r="Q542" i="11" s="1"/>
  <c r="P319" i="11"/>
  <c r="Q319" i="11" s="1"/>
  <c r="P310" i="11"/>
  <c r="Q310" i="11" s="1"/>
  <c r="P39" i="11"/>
  <c r="Q39" i="11" s="1"/>
  <c r="P407" i="11"/>
  <c r="Q407" i="11" s="1"/>
  <c r="P637" i="11"/>
  <c r="Q637" i="11" s="1"/>
  <c r="P654" i="11"/>
  <c r="Q654" i="11" s="1"/>
  <c r="P383" i="11"/>
  <c r="Q383" i="11" s="1"/>
  <c r="P35" i="11"/>
  <c r="Q35" i="11" s="1"/>
  <c r="P99" i="11"/>
  <c r="Q99" i="11" s="1"/>
  <c r="P163" i="11"/>
  <c r="Q163" i="11" s="1"/>
  <c r="P227" i="11"/>
  <c r="Q227" i="11" s="1"/>
  <c r="P291" i="11"/>
  <c r="Q291" i="11" s="1"/>
  <c r="P355" i="11"/>
  <c r="Q355" i="11" s="1"/>
  <c r="P419" i="11"/>
  <c r="Q419" i="11" s="1"/>
  <c r="P483" i="11"/>
  <c r="Q483" i="11" s="1"/>
  <c r="P611" i="11"/>
  <c r="Q611" i="11" s="1"/>
  <c r="P675" i="11"/>
  <c r="Q675" i="11" s="1"/>
  <c r="P621" i="11"/>
  <c r="Q621" i="11" s="1"/>
  <c r="P183" i="11"/>
  <c r="Q183" i="11" s="1"/>
  <c r="P519" i="11"/>
  <c r="Q519" i="11" s="1"/>
  <c r="P28" i="11"/>
  <c r="Q28" i="11" s="1"/>
  <c r="P92" i="11"/>
  <c r="Q92" i="11" s="1"/>
  <c r="P156" i="11"/>
  <c r="Q156" i="11" s="1"/>
  <c r="P220" i="11"/>
  <c r="Q220" i="11" s="1"/>
  <c r="P284" i="11"/>
  <c r="Q284" i="11" s="1"/>
  <c r="P348" i="11"/>
  <c r="Q348" i="11" s="1"/>
  <c r="P412" i="11"/>
  <c r="Q412" i="11" s="1"/>
  <c r="P476" i="11"/>
  <c r="Q476" i="11" s="1"/>
  <c r="P540" i="11"/>
  <c r="Q540" i="11" s="1"/>
  <c r="P604" i="11"/>
  <c r="Q604" i="11" s="1"/>
  <c r="P668" i="11"/>
  <c r="Q668" i="11" s="1"/>
  <c r="P669" i="11"/>
  <c r="Q669" i="11" s="1"/>
  <c r="P262" i="11"/>
  <c r="Q262" i="11" s="1"/>
  <c r="P534" i="11"/>
  <c r="Q534" i="11" s="1"/>
  <c r="P55" i="11"/>
  <c r="Q55" i="11" s="1"/>
  <c r="P415" i="11"/>
  <c r="Q415" i="11" s="1"/>
  <c r="P5" i="11"/>
  <c r="Q5" i="11" s="1"/>
  <c r="P69" i="11"/>
  <c r="Q69" i="11" s="1"/>
  <c r="P133" i="11"/>
  <c r="Q133" i="11" s="1"/>
  <c r="P197" i="11"/>
  <c r="Q197" i="11" s="1"/>
  <c r="P261" i="11"/>
  <c r="Q261" i="11" s="1"/>
  <c r="P325" i="11"/>
  <c r="Q325" i="11" s="1"/>
  <c r="P389" i="11"/>
  <c r="Q389" i="11" s="1"/>
  <c r="P453" i="11"/>
  <c r="Q453" i="11" s="1"/>
  <c r="P517" i="11"/>
  <c r="Q517" i="11" s="1"/>
  <c r="P581" i="11"/>
  <c r="Q581" i="11" s="1"/>
  <c r="P6" i="11"/>
  <c r="Q6" i="11" s="1"/>
  <c r="P366" i="11"/>
  <c r="Q366" i="11" s="1"/>
  <c r="P111" i="11"/>
  <c r="Q111" i="11" s="1"/>
  <c r="P511" i="11"/>
  <c r="Q511" i="11" s="1"/>
  <c r="P153" i="11"/>
  <c r="Q153" i="11" s="1"/>
  <c r="P409" i="11"/>
  <c r="Q409" i="11" s="1"/>
  <c r="P250" i="11"/>
  <c r="Q250" i="11" s="1"/>
  <c r="P14" i="11"/>
  <c r="Q14" i="11" s="1"/>
  <c r="P302" i="11"/>
  <c r="Q302" i="11" s="1"/>
  <c r="P574" i="11"/>
  <c r="Q574" i="11" s="1"/>
  <c r="P31" i="11"/>
  <c r="Q31" i="11" s="1"/>
  <c r="P359" i="11"/>
  <c r="P350" i="11"/>
  <c r="Q350" i="11" s="1"/>
  <c r="P79" i="11"/>
  <c r="Q79" i="11" s="1"/>
  <c r="P447" i="11"/>
  <c r="Q447" i="11" s="1"/>
  <c r="P38" i="11"/>
  <c r="Q38" i="11" s="1"/>
  <c r="P358" i="11"/>
  <c r="Q358" i="11" s="1"/>
  <c r="P15" i="11"/>
  <c r="Q15" i="11" s="1"/>
  <c r="P423" i="11"/>
  <c r="Q423" i="11" s="1"/>
  <c r="P43" i="11"/>
  <c r="Q43" i="11" s="1"/>
  <c r="P171" i="11"/>
  <c r="Q171" i="11" s="1"/>
  <c r="P235" i="11"/>
  <c r="Q235" i="11" s="1"/>
  <c r="P299" i="11"/>
  <c r="Q299" i="11" s="1"/>
  <c r="P363" i="11"/>
  <c r="P427" i="11"/>
  <c r="Q427" i="11" s="1"/>
  <c r="P491" i="11"/>
  <c r="Q491" i="11" s="1"/>
  <c r="P555" i="11"/>
  <c r="Q555" i="11" s="1"/>
  <c r="P619" i="11"/>
  <c r="Q619" i="11" s="1"/>
  <c r="P683" i="11"/>
  <c r="Q683" i="11" s="1"/>
  <c r="P215" i="11"/>
  <c r="Q215" i="11" s="1"/>
  <c r="P535" i="11"/>
  <c r="Q535" i="11" s="1"/>
  <c r="P36" i="11"/>
  <c r="Q36" i="11" s="1"/>
  <c r="P100" i="11"/>
  <c r="Q100" i="11" s="1"/>
  <c r="P164" i="11"/>
  <c r="Q164" i="11" s="1"/>
  <c r="P228" i="11"/>
  <c r="Q228" i="11" s="1"/>
  <c r="P292" i="11"/>
  <c r="Q292" i="11" s="1"/>
  <c r="P356" i="11"/>
  <c r="Q356" i="11" s="1"/>
  <c r="P420" i="11"/>
  <c r="Q420" i="11" s="1"/>
  <c r="P484" i="11"/>
  <c r="Q484" i="11" s="1"/>
  <c r="P548" i="11"/>
  <c r="Q548" i="11" s="1"/>
  <c r="P612" i="11"/>
  <c r="Q612" i="11" s="1"/>
  <c r="P676" i="11"/>
  <c r="Q676" i="11" s="1"/>
  <c r="P22" i="11"/>
  <c r="Q22" i="11" s="1"/>
  <c r="P294" i="11"/>
  <c r="Q294" i="11" s="1"/>
  <c r="P582" i="11"/>
  <c r="Q582" i="11" s="1"/>
  <c r="P95" i="11"/>
  <c r="Q95" i="11" s="1"/>
  <c r="P463" i="11"/>
  <c r="Q463" i="11" s="1"/>
  <c r="P13" i="11"/>
  <c r="Q13" i="11" s="1"/>
  <c r="P77" i="11"/>
  <c r="Q77" i="11" s="1"/>
  <c r="P141" i="11"/>
  <c r="Q141" i="11" s="1"/>
  <c r="P205" i="11"/>
  <c r="Q205" i="11" s="1"/>
  <c r="P269" i="11"/>
  <c r="Q269" i="11" s="1"/>
  <c r="P333" i="11"/>
  <c r="Q333" i="11" s="1"/>
  <c r="P397" i="11"/>
  <c r="Q397" i="11" s="1"/>
  <c r="P461" i="11"/>
  <c r="Q461" i="11" s="1"/>
  <c r="P525" i="11"/>
  <c r="Q525" i="11" s="1"/>
  <c r="P597" i="11"/>
  <c r="Q597" i="11" s="1"/>
  <c r="P62" i="11"/>
  <c r="Q62" i="11" s="1"/>
  <c r="P422" i="11"/>
  <c r="Q422" i="11" s="1"/>
  <c r="P159" i="11"/>
  <c r="Q159" i="11" s="1"/>
  <c r="P559" i="11"/>
  <c r="Q559" i="11" s="1"/>
  <c r="P57" i="11"/>
  <c r="P313" i="11"/>
  <c r="Q313" i="11" s="1"/>
  <c r="P154" i="11"/>
  <c r="Q154" i="11" s="1"/>
  <c r="P410" i="11"/>
  <c r="Q410" i="11" s="1"/>
  <c r="S188" i="11"/>
  <c r="S493" i="11"/>
  <c r="S317" i="11"/>
  <c r="S509" i="11"/>
  <c r="R262" i="11"/>
  <c r="R312" i="11"/>
  <c r="R649" i="11"/>
  <c r="R545" i="11"/>
  <c r="R414" i="11"/>
  <c r="R363" i="11"/>
  <c r="R288" i="11"/>
  <c r="R632" i="11"/>
  <c r="R361" i="11"/>
  <c r="R676" i="11"/>
  <c r="R429" i="11"/>
  <c r="R682" i="11"/>
  <c r="R472" i="11"/>
  <c r="R468" i="11"/>
  <c r="R425" i="11"/>
  <c r="R215" i="11"/>
  <c r="R440" i="11"/>
  <c r="R598" i="11"/>
  <c r="R214" i="11"/>
  <c r="R84" i="11"/>
  <c r="R346" i="11"/>
  <c r="R118" i="11"/>
  <c r="R364" i="11"/>
  <c r="R94" i="11"/>
  <c r="R103" i="11"/>
  <c r="R348" i="11"/>
  <c r="R176" i="11"/>
  <c r="R319" i="11"/>
  <c r="R99" i="11"/>
  <c r="R193" i="11"/>
  <c r="R457" i="11"/>
  <c r="R461" i="11"/>
  <c r="R403" i="11"/>
  <c r="R127" i="11"/>
  <c r="R261" i="11"/>
  <c r="R443" i="11"/>
  <c r="R44" i="11"/>
  <c r="R303" i="11"/>
  <c r="R151" i="11"/>
  <c r="R179" i="11"/>
  <c r="R16" i="11"/>
  <c r="R59" i="11"/>
  <c r="R491" i="11"/>
  <c r="R654" i="11"/>
  <c r="R102" i="11"/>
  <c r="R579" i="11"/>
  <c r="R449" i="11"/>
  <c r="R397" i="11"/>
  <c r="R300" i="11"/>
  <c r="R178" i="11"/>
  <c r="R529" i="11"/>
  <c r="R566" i="11"/>
  <c r="R540" i="11"/>
  <c r="R572" i="11"/>
  <c r="R582" i="11"/>
  <c r="R384" i="11"/>
  <c r="R311" i="11"/>
  <c r="R678" i="11"/>
  <c r="R244" i="11"/>
  <c r="R315" i="11"/>
  <c r="R183" i="11"/>
  <c r="R19" i="11"/>
  <c r="R258" i="11"/>
  <c r="R38" i="11"/>
  <c r="R216" i="11"/>
  <c r="R13" i="11"/>
  <c r="R239" i="11"/>
  <c r="R73" i="11"/>
  <c r="R125" i="11"/>
  <c r="R70" i="11"/>
  <c r="R48" i="11"/>
  <c r="R641" i="11"/>
  <c r="R647" i="11"/>
  <c r="R289" i="11"/>
  <c r="R522" i="11"/>
  <c r="R568" i="11"/>
  <c r="R218" i="11"/>
  <c r="R526" i="11"/>
  <c r="R658" i="11"/>
  <c r="R471" i="11"/>
  <c r="R405" i="11"/>
  <c r="R181" i="11"/>
  <c r="R643" i="11"/>
  <c r="R544" i="11"/>
  <c r="R415" i="11"/>
  <c r="R280" i="11"/>
  <c r="R618" i="11"/>
  <c r="R684" i="11"/>
  <c r="R413" i="11"/>
  <c r="R464" i="11"/>
  <c r="R369" i="11"/>
  <c r="R213" i="11"/>
  <c r="R409" i="11"/>
  <c r="R211" i="11"/>
  <c r="R15" i="11"/>
  <c r="R33" i="11"/>
  <c r="R89" i="11"/>
  <c r="R164" i="11"/>
  <c r="R116" i="11"/>
  <c r="R168" i="11"/>
  <c r="R455" i="11"/>
  <c r="R625" i="11"/>
  <c r="R420" i="11"/>
  <c r="R387" i="11"/>
  <c r="R43" i="11"/>
  <c r="R615" i="11"/>
  <c r="R96" i="11"/>
  <c r="R470" i="11"/>
  <c r="R653" i="11"/>
  <c r="R629" i="11"/>
  <c r="R535" i="11"/>
  <c r="R567" i="11"/>
  <c r="R490" i="11"/>
  <c r="R411" i="11"/>
  <c r="R389" i="11"/>
  <c r="R342" i="11"/>
  <c r="R304" i="11"/>
  <c r="R254" i="11"/>
  <c r="R209" i="11"/>
  <c r="R154" i="11"/>
  <c r="R604" i="11"/>
  <c r="R487" i="11"/>
  <c r="R672" i="11"/>
  <c r="R516" i="11"/>
  <c r="R622" i="11"/>
  <c r="R517" i="11"/>
  <c r="R412" i="11"/>
  <c r="R624" i="11"/>
  <c r="R562" i="11"/>
  <c r="R677" i="11"/>
  <c r="R573" i="11"/>
  <c r="R442" i="11"/>
  <c r="R611" i="11"/>
  <c r="R417" i="11"/>
  <c r="R295" i="11"/>
  <c r="R201" i="11"/>
  <c r="R590" i="11"/>
  <c r="R350" i="11"/>
  <c r="R537" i="11"/>
  <c r="R503" i="11"/>
  <c r="R293" i="11"/>
  <c r="R210" i="11"/>
  <c r="R162" i="11"/>
  <c r="R79" i="11"/>
  <c r="R2" i="11"/>
  <c r="R329" i="11"/>
  <c r="R196" i="11"/>
  <c r="R97" i="11"/>
  <c r="R21" i="11"/>
  <c r="R278" i="11"/>
  <c r="R185" i="11"/>
  <c r="R77" i="11"/>
  <c r="R3" i="11"/>
  <c r="R86" i="11"/>
  <c r="R404" i="11"/>
  <c r="R232" i="11"/>
  <c r="R141" i="11"/>
  <c r="R52" i="11"/>
  <c r="R243" i="11"/>
  <c r="R109" i="11"/>
  <c r="R308" i="11"/>
  <c r="R115" i="11"/>
  <c r="R683" i="11"/>
  <c r="R132" i="11"/>
  <c r="R367" i="11"/>
  <c r="R583" i="11"/>
  <c r="R433" i="11"/>
  <c r="R231" i="11"/>
  <c r="R575" i="11"/>
  <c r="R378" i="11"/>
  <c r="R235" i="11"/>
  <c r="R55" i="11"/>
  <c r="R401" i="11"/>
  <c r="R674" i="11"/>
  <c r="R528" i="11"/>
  <c r="R366" i="11"/>
  <c r="R171" i="11"/>
  <c r="R486" i="11"/>
  <c r="R460" i="11"/>
  <c r="R256" i="11"/>
  <c r="R64" i="11"/>
  <c r="R463" i="11"/>
  <c r="R662" i="11"/>
  <c r="R424" i="11"/>
  <c r="R619" i="11"/>
  <c r="R259" i="11"/>
  <c r="R648" i="11"/>
  <c r="R657" i="11"/>
  <c r="R452" i="11"/>
  <c r="R365" i="11"/>
  <c r="R555" i="11"/>
  <c r="R465" i="11"/>
  <c r="R538" i="11"/>
  <c r="R336" i="11"/>
  <c r="R4" i="11"/>
  <c r="R61" i="11"/>
  <c r="R621" i="11"/>
  <c r="R74" i="11"/>
  <c r="R496" i="11"/>
  <c r="R402" i="11"/>
  <c r="R679" i="11"/>
  <c r="R670" i="11"/>
  <c r="R177" i="11"/>
  <c r="R268" i="11"/>
  <c r="R356" i="11"/>
  <c r="R58" i="11"/>
  <c r="R318" i="11"/>
  <c r="R184" i="11"/>
  <c r="R85" i="11"/>
  <c r="R12" i="11"/>
  <c r="R274" i="11"/>
  <c r="R174" i="11"/>
  <c r="R68" i="11"/>
  <c r="R316" i="11"/>
  <c r="R69" i="11"/>
  <c r="R302" i="11"/>
  <c r="R228" i="11"/>
  <c r="R124" i="11"/>
  <c r="R51" i="11"/>
  <c r="R212" i="11"/>
  <c r="R87" i="11"/>
  <c r="R161" i="11"/>
  <c r="R100" i="11"/>
  <c r="R355" i="11"/>
  <c r="R56" i="11"/>
  <c r="R189" i="11"/>
  <c r="R550" i="11"/>
  <c r="R426" i="11"/>
  <c r="R172" i="11"/>
  <c r="R541" i="11"/>
  <c r="R372" i="11"/>
  <c r="R229" i="11"/>
  <c r="R39" i="11"/>
  <c r="R353" i="11"/>
  <c r="R664" i="11"/>
  <c r="R519" i="11"/>
  <c r="R324" i="11"/>
  <c r="R166" i="11"/>
  <c r="R483" i="11"/>
  <c r="R441" i="11"/>
  <c r="R253" i="11"/>
  <c r="R63" i="11"/>
  <c r="R447" i="11"/>
  <c r="R616" i="11"/>
  <c r="R195" i="11"/>
  <c r="R569" i="11"/>
  <c r="R245" i="11"/>
  <c r="R592" i="11"/>
  <c r="R620" i="11"/>
  <c r="R408" i="11"/>
  <c r="R241" i="11"/>
  <c r="R571" i="11"/>
  <c r="R554" i="11"/>
  <c r="R202" i="11"/>
  <c r="R95" i="11"/>
  <c r="R381" i="11"/>
  <c r="R277" i="11"/>
  <c r="R28" i="11"/>
  <c r="R534" i="11"/>
  <c r="R334" i="11"/>
  <c r="R482" i="11"/>
  <c r="R617" i="11"/>
  <c r="R514" i="11"/>
  <c r="R451" i="11"/>
  <c r="R609" i="11"/>
  <c r="R167" i="11"/>
  <c r="R314" i="11"/>
  <c r="R298" i="11"/>
  <c r="R65" i="11"/>
  <c r="R352" i="11"/>
  <c r="R667" i="11"/>
  <c r="R313" i="11"/>
  <c r="R237" i="11"/>
  <c r="R169" i="11"/>
  <c r="R561" i="11"/>
  <c r="R578" i="11"/>
  <c r="R508" i="11"/>
  <c r="R276" i="11"/>
  <c r="R146" i="11"/>
  <c r="R488" i="11"/>
  <c r="R673" i="11"/>
  <c r="R665" i="11"/>
  <c r="R581" i="11"/>
  <c r="R421" i="11"/>
  <c r="R669" i="11"/>
  <c r="R294" i="11"/>
  <c r="R165" i="11"/>
  <c r="R248" i="11"/>
  <c r="R321" i="11"/>
  <c r="R98" i="11"/>
  <c r="R236" i="11"/>
  <c r="R249" i="11"/>
  <c r="R192" i="11"/>
  <c r="R396" i="11"/>
  <c r="R269" i="11"/>
  <c r="R257" i="11"/>
  <c r="R559" i="11"/>
  <c r="R206" i="11"/>
  <c r="R92" i="11"/>
  <c r="R427" i="11"/>
  <c r="R309" i="11"/>
  <c r="R469" i="11"/>
  <c r="R238" i="11"/>
  <c r="R660" i="11"/>
  <c r="R513" i="11"/>
  <c r="R437" i="11"/>
  <c r="R478" i="11"/>
  <c r="R362" i="11"/>
  <c r="R655" i="11"/>
  <c r="R531" i="11"/>
  <c r="R323" i="11"/>
  <c r="R139" i="11"/>
  <c r="R76" i="11"/>
  <c r="R281" i="11"/>
  <c r="R47" i="11"/>
  <c r="R150" i="11"/>
  <c r="R36" i="11"/>
  <c r="R530" i="11"/>
  <c r="R152" i="11"/>
  <c r="R220" i="11"/>
  <c r="R194" i="11"/>
  <c r="R642" i="11"/>
  <c r="R475" i="11"/>
  <c r="R128" i="11"/>
  <c r="R595" i="11"/>
  <c r="R392" i="11"/>
  <c r="R32" i="11"/>
  <c r="R379" i="11"/>
  <c r="R599" i="11"/>
  <c r="R551" i="11"/>
  <c r="R205" i="11"/>
  <c r="R603" i="11"/>
  <c r="R675" i="11"/>
  <c r="R591" i="11"/>
  <c r="R539" i="11"/>
  <c r="R520" i="11"/>
  <c r="R445" i="11"/>
  <c r="R407" i="11"/>
  <c r="R354" i="11"/>
  <c r="R341" i="11"/>
  <c r="R299" i="11"/>
  <c r="R246" i="11"/>
  <c r="R121" i="11"/>
  <c r="R645" i="11"/>
  <c r="R565" i="11"/>
  <c r="R439" i="11"/>
  <c r="R640" i="11"/>
  <c r="R466" i="11"/>
  <c r="R600" i="11"/>
  <c r="R495" i="11"/>
  <c r="R377" i="11"/>
  <c r="R589" i="11"/>
  <c r="R500" i="11"/>
  <c r="R612" i="11"/>
  <c r="R502" i="11"/>
  <c r="R410" i="11"/>
  <c r="R497" i="11"/>
  <c r="R380" i="11"/>
  <c r="R265" i="11"/>
  <c r="R153" i="11"/>
  <c r="R524" i="11"/>
  <c r="R296" i="11"/>
  <c r="R400" i="11"/>
  <c r="R418" i="11"/>
  <c r="R263" i="11"/>
  <c r="R255" i="11"/>
  <c r="R135" i="11"/>
  <c r="R41" i="11"/>
  <c r="R479" i="11"/>
  <c r="R310" i="11"/>
  <c r="R136" i="11"/>
  <c r="R75" i="11"/>
  <c r="R7" i="11"/>
  <c r="R266" i="11"/>
  <c r="R149" i="11"/>
  <c r="R42" i="11"/>
  <c r="R159" i="11"/>
  <c r="R34" i="11"/>
  <c r="R271" i="11"/>
  <c r="R204" i="11"/>
  <c r="R108" i="11"/>
  <c r="R26" i="11"/>
  <c r="R250" i="11"/>
  <c r="R53" i="11"/>
  <c r="R35" i="11"/>
  <c r="R62" i="11"/>
  <c r="R111" i="11"/>
  <c r="R656" i="11"/>
  <c r="R106" i="11"/>
  <c r="R521" i="11"/>
  <c r="R340" i="11"/>
  <c r="R101" i="11"/>
  <c r="R481" i="11"/>
  <c r="R338" i="11"/>
  <c r="R163" i="11"/>
  <c r="R651" i="11"/>
  <c r="R147" i="11"/>
  <c r="R623" i="11"/>
  <c r="R459" i="11"/>
  <c r="R306" i="11"/>
  <c r="R91" i="11"/>
  <c r="R594" i="11"/>
  <c r="R376" i="11"/>
  <c r="R207" i="11"/>
  <c r="R31" i="11"/>
  <c r="R371" i="11"/>
  <c r="R533" i="11"/>
  <c r="R126" i="11"/>
  <c r="R536" i="11"/>
  <c r="R175" i="11"/>
  <c r="R448" i="11"/>
  <c r="R549" i="11"/>
  <c r="R190" i="11"/>
  <c r="R646" i="11"/>
  <c r="R523" i="11"/>
  <c r="R373" i="11"/>
  <c r="R186" i="11"/>
  <c r="R614" i="11"/>
  <c r="R552" i="11"/>
  <c r="R608" i="11"/>
  <c r="R292" i="11"/>
  <c r="R327" i="11"/>
  <c r="R143" i="11"/>
  <c r="R666" i="11"/>
  <c r="R553" i="11"/>
  <c r="R383" i="11"/>
  <c r="R270" i="11"/>
  <c r="R170" i="11"/>
  <c r="R593" i="11"/>
  <c r="R489" i="11"/>
  <c r="R394" i="11"/>
  <c r="R501" i="11"/>
  <c r="R435" i="11"/>
  <c r="R391" i="11"/>
  <c r="R556" i="11"/>
  <c r="R438" i="11"/>
  <c r="R351" i="11"/>
  <c r="R644" i="11"/>
  <c r="R11" i="11"/>
  <c r="R158" i="11"/>
  <c r="R60" i="11"/>
  <c r="R120" i="11"/>
  <c r="R40" i="11"/>
  <c r="R160" i="11"/>
  <c r="R347" i="11"/>
  <c r="R637" i="11"/>
  <c r="R587" i="11"/>
  <c r="R563" i="11"/>
  <c r="R510" i="11"/>
  <c r="R444" i="11"/>
  <c r="R422" i="11"/>
  <c r="R357" i="11"/>
  <c r="R333" i="11"/>
  <c r="R291" i="11"/>
  <c r="R242" i="11"/>
  <c r="R113" i="11"/>
  <c r="R638" i="11"/>
  <c r="R543" i="11"/>
  <c r="R382" i="11"/>
  <c r="R628" i="11"/>
  <c r="R423" i="11"/>
  <c r="R580" i="11"/>
  <c r="R462" i="11"/>
  <c r="R358" i="11"/>
  <c r="R584" i="11"/>
  <c r="R484" i="11"/>
  <c r="R610" i="11"/>
  <c r="R485" i="11"/>
  <c r="R406" i="11"/>
  <c r="R436" i="11"/>
  <c r="R335" i="11"/>
  <c r="R251" i="11"/>
  <c r="R142" i="11"/>
  <c r="R511" i="11"/>
  <c r="R252" i="11"/>
  <c r="R663" i="11"/>
  <c r="R345" i="11"/>
  <c r="R225" i="11"/>
  <c r="R200" i="11"/>
  <c r="R134" i="11"/>
  <c r="R29" i="11"/>
  <c r="R386" i="11"/>
  <c r="R286" i="11"/>
  <c r="R130" i="11"/>
  <c r="R71" i="11"/>
  <c r="R284" i="11"/>
  <c r="R234" i="11"/>
  <c r="R137" i="11"/>
  <c r="R30" i="11"/>
  <c r="R145" i="11"/>
  <c r="R22" i="11"/>
  <c r="R264" i="11"/>
  <c r="R197" i="11"/>
  <c r="R90" i="11"/>
  <c r="R14" i="11"/>
  <c r="R198" i="11"/>
  <c r="R173" i="11"/>
  <c r="R368" i="11"/>
  <c r="R45" i="11"/>
  <c r="R104" i="11"/>
  <c r="R652" i="11"/>
  <c r="R681" i="11"/>
  <c r="R494" i="11"/>
  <c r="R331" i="11"/>
  <c r="R385" i="11"/>
  <c r="R467" i="11"/>
  <c r="R332" i="11"/>
  <c r="R156" i="11"/>
  <c r="R639" i="11"/>
  <c r="R37" i="11"/>
  <c r="R607" i="11"/>
  <c r="R456" i="11"/>
  <c r="R290" i="11"/>
  <c r="R81" i="11"/>
  <c r="R560" i="11"/>
  <c r="R339" i="11"/>
  <c r="R203" i="11"/>
  <c r="R8" i="11"/>
  <c r="R180" i="11"/>
  <c r="R512" i="11"/>
  <c r="R123" i="11"/>
  <c r="R504" i="11"/>
  <c r="R117" i="11"/>
  <c r="R419" i="11"/>
  <c r="R546" i="11"/>
  <c r="R49" i="11"/>
  <c r="R390" i="11"/>
  <c r="R525" i="11"/>
  <c r="R307" i="11"/>
  <c r="R83" i="11"/>
  <c r="R275" i="11"/>
  <c r="R10" i="11"/>
  <c r="R54" i="11"/>
  <c r="R668" i="11"/>
  <c r="R613" i="11"/>
  <c r="R430" i="11"/>
  <c r="R272" i="11"/>
  <c r="R597" i="11"/>
  <c r="R506" i="11"/>
  <c r="R399" i="11"/>
  <c r="R548" i="11"/>
  <c r="R416" i="11"/>
  <c r="R574" i="11"/>
  <c r="R287" i="11"/>
  <c r="R605" i="11"/>
  <c r="R515" i="11"/>
  <c r="R370" i="11"/>
  <c r="R221" i="11"/>
  <c r="R659" i="11"/>
  <c r="R454" i="11"/>
  <c r="R507" i="11"/>
  <c r="R606" i="11"/>
  <c r="R633" i="11"/>
  <c r="R596" i="11"/>
  <c r="R282" i="11"/>
  <c r="R474" i="11"/>
  <c r="R267" i="11"/>
  <c r="R46" i="11"/>
  <c r="R144" i="11"/>
  <c r="R273" i="11"/>
  <c r="R67" i="11"/>
  <c r="R208" i="11"/>
  <c r="R279" i="11"/>
  <c r="R227" i="11"/>
  <c r="R527" i="11"/>
  <c r="R344" i="11"/>
  <c r="R671" i="11"/>
  <c r="R586" i="11"/>
  <c r="R558" i="11"/>
  <c r="R450" i="11"/>
  <c r="R431" i="11"/>
  <c r="R398" i="11"/>
  <c r="R349" i="11"/>
  <c r="R320" i="11"/>
  <c r="R283" i="11"/>
  <c r="R230" i="11"/>
  <c r="R105" i="11"/>
  <c r="R634" i="11"/>
  <c r="R532" i="11"/>
  <c r="R375" i="11"/>
  <c r="R588" i="11"/>
  <c r="R680" i="11"/>
  <c r="R570" i="11"/>
  <c r="R434" i="11"/>
  <c r="R343" i="11"/>
  <c r="R576" i="11"/>
  <c r="R477" i="11"/>
  <c r="R602" i="11"/>
  <c r="R473" i="11"/>
  <c r="R395" i="11"/>
  <c r="R428" i="11"/>
  <c r="R322" i="11"/>
  <c r="R223" i="11"/>
  <c r="R112" i="11"/>
  <c r="R446" i="11"/>
  <c r="R247" i="11"/>
  <c r="R631" i="11"/>
  <c r="R337" i="11"/>
  <c r="R217" i="11"/>
  <c r="R199" i="11"/>
  <c r="R93" i="11"/>
  <c r="R20" i="11"/>
  <c r="R374" i="11"/>
  <c r="R285" i="11"/>
  <c r="R129" i="11"/>
  <c r="R50" i="11"/>
  <c r="R224" i="11"/>
  <c r="R226" i="11"/>
  <c r="R119" i="11"/>
  <c r="R25" i="11"/>
  <c r="R131" i="11"/>
  <c r="R5" i="11"/>
  <c r="R260" i="11"/>
  <c r="R191" i="11"/>
  <c r="R78" i="11"/>
  <c r="R9" i="11"/>
  <c r="R187" i="11"/>
  <c r="R138" i="11"/>
  <c r="R182" i="11"/>
  <c r="R23" i="11"/>
  <c r="R82" i="11"/>
  <c r="R577" i="11"/>
  <c r="R650" i="11"/>
  <c r="R476" i="11"/>
  <c r="R325" i="11"/>
  <c r="R240" i="11"/>
  <c r="R458" i="11"/>
  <c r="R301" i="11"/>
  <c r="R133" i="11"/>
  <c r="R626" i="11"/>
  <c r="R360" i="11"/>
  <c r="R601" i="11"/>
  <c r="R453" i="11"/>
  <c r="R233" i="11"/>
  <c r="R66" i="11"/>
  <c r="R542" i="11"/>
  <c r="R328" i="11"/>
  <c r="R157" i="11"/>
  <c r="R630" i="11"/>
  <c r="R661" i="11"/>
  <c r="R480" i="11"/>
  <c r="R27" i="11"/>
  <c r="R492" i="11"/>
  <c r="R114" i="11"/>
  <c r="R219" i="11"/>
  <c r="R505" i="11"/>
  <c r="R6" i="11"/>
  <c r="S80" i="11"/>
  <c r="S297" i="11"/>
  <c r="S393" i="11"/>
  <c r="S498" i="11"/>
  <c r="S18" i="11"/>
  <c r="M271" i="11"/>
  <c r="M531" i="11"/>
  <c r="M422" i="11"/>
  <c r="M414" i="11"/>
  <c r="M262" i="11"/>
  <c r="M566" i="11"/>
  <c r="M572" i="11"/>
  <c r="M425" i="11"/>
  <c r="M214" i="11"/>
  <c r="M38" i="11"/>
  <c r="M103" i="11"/>
  <c r="M319" i="11"/>
  <c r="M48" i="11"/>
  <c r="M312" i="11"/>
  <c r="M289" i="11"/>
  <c r="M522" i="11"/>
  <c r="M218" i="11"/>
  <c r="M526" i="11"/>
  <c r="M303" i="11"/>
  <c r="M658" i="11"/>
  <c r="M179" i="11"/>
  <c r="M471" i="11"/>
  <c r="M405" i="11"/>
  <c r="M59" i="11"/>
  <c r="M491" i="11"/>
  <c r="M215" i="11"/>
  <c r="M654" i="11"/>
  <c r="M643" i="11"/>
  <c r="M578" i="11"/>
  <c r="M544" i="11"/>
  <c r="M508" i="11"/>
  <c r="M415" i="11"/>
  <c r="M390" i="11"/>
  <c r="M365" i="11"/>
  <c r="M449" i="11"/>
  <c r="M676" i="11"/>
  <c r="M346" i="11"/>
  <c r="M649" i="11"/>
  <c r="M682" i="11"/>
  <c r="M244" i="11"/>
  <c r="M84" i="11"/>
  <c r="M364" i="11"/>
  <c r="M239" i="11"/>
  <c r="M70" i="11"/>
  <c r="M461" i="11"/>
  <c r="M568" i="11"/>
  <c r="M545" i="11"/>
  <c r="M363" i="11"/>
  <c r="M300" i="11"/>
  <c r="M632" i="11"/>
  <c r="M361" i="11"/>
  <c r="M429" i="11"/>
  <c r="M582" i="11"/>
  <c r="M384" i="11"/>
  <c r="M678" i="11"/>
  <c r="M440" i="11"/>
  <c r="M315" i="11"/>
  <c r="M19" i="11"/>
  <c r="M118" i="11"/>
  <c r="M94" i="11"/>
  <c r="M348" i="11"/>
  <c r="M73" i="11"/>
  <c r="M125" i="11"/>
  <c r="M193" i="11"/>
  <c r="M641" i="11"/>
  <c r="M403" i="11"/>
  <c r="M127" i="11"/>
  <c r="M443" i="11"/>
  <c r="M44" i="11"/>
  <c r="M151" i="11"/>
  <c r="M16" i="11"/>
  <c r="M579" i="11"/>
  <c r="M397" i="11"/>
  <c r="M288" i="11"/>
  <c r="M178" i="11"/>
  <c r="M529" i="11"/>
  <c r="M540" i="11"/>
  <c r="M472" i="11"/>
  <c r="M468" i="11"/>
  <c r="M311" i="11"/>
  <c r="M598" i="11"/>
  <c r="M183" i="11"/>
  <c r="M258" i="11"/>
  <c r="M216" i="11"/>
  <c r="M13" i="11"/>
  <c r="M176" i="11"/>
  <c r="M99" i="11"/>
  <c r="M457" i="11"/>
  <c r="M647" i="11"/>
  <c r="M261" i="11"/>
  <c r="M181" i="11"/>
  <c r="M146" i="11"/>
  <c r="M684" i="11"/>
  <c r="M413" i="11"/>
  <c r="M571" i="11"/>
  <c r="M581" i="11"/>
  <c r="M369" i="11"/>
  <c r="M307" i="11"/>
  <c r="M669" i="11"/>
  <c r="M538" i="11"/>
  <c r="M294" i="11"/>
  <c r="M165" i="11"/>
  <c r="M15" i="11"/>
  <c r="M248" i="11"/>
  <c r="M33" i="11"/>
  <c r="M202" i="11"/>
  <c r="M4" i="11"/>
  <c r="M275" i="11"/>
  <c r="M164" i="11"/>
  <c r="M249" i="11"/>
  <c r="M95" i="11"/>
  <c r="M168" i="11"/>
  <c r="M396" i="11"/>
  <c r="M455" i="11"/>
  <c r="M625" i="11"/>
  <c r="M257" i="11"/>
  <c r="M420" i="11"/>
  <c r="M559" i="11"/>
  <c r="M206" i="11"/>
  <c r="M496" i="11"/>
  <c r="M92" i="11"/>
  <c r="M668" i="11"/>
  <c r="M96" i="11"/>
  <c r="M309" i="11"/>
  <c r="M470" i="11"/>
  <c r="M653" i="11"/>
  <c r="M629" i="11"/>
  <c r="M535" i="11"/>
  <c r="M567" i="11"/>
  <c r="M490" i="11"/>
  <c r="M411" i="11"/>
  <c r="M389" i="11"/>
  <c r="M342" i="11"/>
  <c r="M304" i="11"/>
  <c r="M254" i="11"/>
  <c r="M209" i="11"/>
  <c r="M154" i="11"/>
  <c r="M604" i="11"/>
  <c r="M487" i="11"/>
  <c r="M672" i="11"/>
  <c r="M516" i="11"/>
  <c r="M622" i="11"/>
  <c r="M517" i="11"/>
  <c r="M412" i="11"/>
  <c r="M624" i="11"/>
  <c r="M562" i="11"/>
  <c r="M677" i="11"/>
  <c r="M573" i="11"/>
  <c r="M442" i="11"/>
  <c r="M611" i="11"/>
  <c r="M417" i="11"/>
  <c r="M295" i="11"/>
  <c r="M201" i="11"/>
  <c r="M590" i="11"/>
  <c r="M350" i="11"/>
  <c r="M537" i="11"/>
  <c r="M503" i="11"/>
  <c r="M293" i="11"/>
  <c r="M210" i="11"/>
  <c r="M162" i="11"/>
  <c r="M79" i="11"/>
  <c r="M2" i="11"/>
  <c r="M329" i="11"/>
  <c r="M196" i="11"/>
  <c r="M97" i="11"/>
  <c r="M21" i="11"/>
  <c r="M278" i="11"/>
  <c r="M185" i="11"/>
  <c r="M77" i="11"/>
  <c r="M3" i="11"/>
  <c r="M86" i="11"/>
  <c r="M404" i="11"/>
  <c r="M232" i="11"/>
  <c r="M141" i="11"/>
  <c r="M52" i="11"/>
  <c r="M243" i="11"/>
  <c r="M109" i="11"/>
  <c r="M308" i="11"/>
  <c r="M115" i="11"/>
  <c r="M683" i="11"/>
  <c r="M132" i="11"/>
  <c r="M367" i="11"/>
  <c r="M583" i="11"/>
  <c r="M433" i="11"/>
  <c r="M231" i="11"/>
  <c r="M575" i="11"/>
  <c r="M378" i="11"/>
  <c r="M235" i="11"/>
  <c r="M55" i="11"/>
  <c r="M401" i="11"/>
  <c r="M674" i="11"/>
  <c r="M528" i="11"/>
  <c r="M366" i="11"/>
  <c r="M171" i="11"/>
  <c r="M486" i="11"/>
  <c r="M460" i="11"/>
  <c r="M256" i="11"/>
  <c r="M64" i="11"/>
  <c r="M662" i="11"/>
  <c r="M424" i="11"/>
  <c r="M619" i="11"/>
  <c r="M259" i="11"/>
  <c r="M648" i="11"/>
  <c r="M657" i="11"/>
  <c r="M452" i="11"/>
  <c r="M296" i="11"/>
  <c r="M466" i="11"/>
  <c r="M280" i="11"/>
  <c r="M488" i="11"/>
  <c r="M673" i="11"/>
  <c r="M665" i="11"/>
  <c r="M464" i="11"/>
  <c r="M465" i="11"/>
  <c r="M421" i="11"/>
  <c r="M213" i="11"/>
  <c r="M409" i="11"/>
  <c r="M554" i="11"/>
  <c r="M211" i="11"/>
  <c r="M83" i="11"/>
  <c r="M336" i="11"/>
  <c r="M102" i="11"/>
  <c r="M321" i="11"/>
  <c r="M89" i="11"/>
  <c r="M98" i="11"/>
  <c r="M236" i="11"/>
  <c r="M61" i="11"/>
  <c r="M116" i="11"/>
  <c r="M192" i="11"/>
  <c r="M10" i="11"/>
  <c r="M621" i="11"/>
  <c r="M269" i="11"/>
  <c r="M381" i="11"/>
  <c r="M74" i="11"/>
  <c r="M54" i="11"/>
  <c r="M387" i="11"/>
  <c r="M43" i="11"/>
  <c r="M277" i="11"/>
  <c r="M615" i="11"/>
  <c r="M427" i="11"/>
  <c r="M402" i="11"/>
  <c r="M28" i="11"/>
  <c r="M273" i="11"/>
  <c r="M646" i="11"/>
  <c r="M613" i="11"/>
  <c r="M534" i="11"/>
  <c r="M523" i="11"/>
  <c r="M469" i="11"/>
  <c r="M373" i="11"/>
  <c r="M334" i="11"/>
  <c r="M272" i="11"/>
  <c r="M238" i="11"/>
  <c r="M186" i="11"/>
  <c r="M679" i="11"/>
  <c r="M597" i="11"/>
  <c r="M482" i="11"/>
  <c r="M660" i="11"/>
  <c r="M506" i="11"/>
  <c r="M614" i="11"/>
  <c r="M513" i="11"/>
  <c r="M399" i="11"/>
  <c r="M617" i="11"/>
  <c r="M670" i="11"/>
  <c r="M548" i="11"/>
  <c r="M437" i="11"/>
  <c r="M416" i="11"/>
  <c r="M292" i="11"/>
  <c r="M177" i="11"/>
  <c r="M574" i="11"/>
  <c r="M327" i="11"/>
  <c r="M514" i="11"/>
  <c r="M478" i="11"/>
  <c r="M268" i="11"/>
  <c r="M356" i="11"/>
  <c r="M143" i="11"/>
  <c r="M58" i="11"/>
  <c r="M287" i="11"/>
  <c r="M318" i="11"/>
  <c r="M184" i="11"/>
  <c r="M85" i="11"/>
  <c r="M12" i="11"/>
  <c r="M274" i="11"/>
  <c r="M174" i="11"/>
  <c r="M68" i="11"/>
  <c r="M316" i="11"/>
  <c r="M69" i="11"/>
  <c r="M302" i="11"/>
  <c r="M228" i="11"/>
  <c r="M124" i="11"/>
  <c r="M51" i="11"/>
  <c r="M212" i="11"/>
  <c r="M87" i="11"/>
  <c r="M161" i="11"/>
  <c r="M100" i="11"/>
  <c r="M355" i="11"/>
  <c r="M56" i="11"/>
  <c r="M550" i="11"/>
  <c r="M426" i="11"/>
  <c r="M172" i="11"/>
  <c r="M541" i="11"/>
  <c r="M229" i="11"/>
  <c r="M39" i="11"/>
  <c r="M353" i="11"/>
  <c r="M664" i="11"/>
  <c r="M519" i="11"/>
  <c r="M324" i="11"/>
  <c r="M166" i="11"/>
  <c r="M483" i="11"/>
  <c r="M441" i="11"/>
  <c r="M253" i="11"/>
  <c r="M63" i="11"/>
  <c r="M447" i="11"/>
  <c r="M616" i="11"/>
  <c r="M195" i="11"/>
  <c r="M569" i="11"/>
  <c r="M245" i="11"/>
  <c r="M592" i="11"/>
  <c r="M620" i="11"/>
  <c r="M408" i="11"/>
  <c r="M463" i="11"/>
  <c r="M344" i="11"/>
  <c r="M22" i="11"/>
  <c r="M241" i="11"/>
  <c r="M525" i="11"/>
  <c r="M666" i="11"/>
  <c r="M553" i="11"/>
  <c r="M451" i="11"/>
  <c r="M362" i="11"/>
  <c r="M270" i="11"/>
  <c r="M454" i="11"/>
  <c r="M489" i="11"/>
  <c r="M507" i="11"/>
  <c r="M606" i="11"/>
  <c r="M596" i="11"/>
  <c r="M282" i="11"/>
  <c r="M556" i="11"/>
  <c r="M474" i="11"/>
  <c r="M267" i="11"/>
  <c r="M139" i="11"/>
  <c r="M644" i="11"/>
  <c r="M314" i="11"/>
  <c r="M76" i="11"/>
  <c r="M11" i="11"/>
  <c r="M158" i="11"/>
  <c r="M281" i="11"/>
  <c r="M298" i="11"/>
  <c r="M120" i="11"/>
  <c r="M279" i="11"/>
  <c r="M150" i="11"/>
  <c r="M530" i="11"/>
  <c r="M152" i="11"/>
  <c r="M347" i="11"/>
  <c r="M220" i="11"/>
  <c r="M194" i="11"/>
  <c r="M475" i="11"/>
  <c r="M128" i="11"/>
  <c r="M392" i="11"/>
  <c r="M32" i="11"/>
  <c r="M599" i="11"/>
  <c r="M551" i="11"/>
  <c r="M561" i="11"/>
  <c r="M36" i="11"/>
  <c r="M675" i="11"/>
  <c r="M591" i="11"/>
  <c r="M539" i="11"/>
  <c r="M520" i="11"/>
  <c r="M445" i="11"/>
  <c r="M407" i="11"/>
  <c r="M354" i="11"/>
  <c r="M341" i="11"/>
  <c r="M299" i="11"/>
  <c r="M246" i="11"/>
  <c r="M121" i="11"/>
  <c r="M645" i="11"/>
  <c r="M565" i="11"/>
  <c r="M439" i="11"/>
  <c r="M640" i="11"/>
  <c r="M600" i="11"/>
  <c r="M495" i="11"/>
  <c r="M377" i="11"/>
  <c r="M589" i="11"/>
  <c r="M500" i="11"/>
  <c r="M612" i="11"/>
  <c r="M502" i="11"/>
  <c r="M410" i="11"/>
  <c r="M497" i="11"/>
  <c r="M380" i="11"/>
  <c r="M265" i="11"/>
  <c r="M153" i="11"/>
  <c r="M524" i="11"/>
  <c r="M400" i="11"/>
  <c r="M418" i="11"/>
  <c r="M263" i="11"/>
  <c r="M255" i="11"/>
  <c r="M135" i="11"/>
  <c r="M41" i="11"/>
  <c r="M479" i="11"/>
  <c r="M310" i="11"/>
  <c r="M136" i="11"/>
  <c r="M75" i="11"/>
  <c r="M7" i="11"/>
  <c r="M266" i="11"/>
  <c r="M149" i="11"/>
  <c r="M42" i="11"/>
  <c r="M159" i="11"/>
  <c r="M34" i="11"/>
  <c r="M204" i="11"/>
  <c r="M108" i="11"/>
  <c r="M26" i="11"/>
  <c r="M250" i="11"/>
  <c r="M53" i="11"/>
  <c r="M35" i="11"/>
  <c r="M62" i="11"/>
  <c r="M111" i="11"/>
  <c r="M656" i="11"/>
  <c r="M106" i="11"/>
  <c r="M521" i="11"/>
  <c r="M340" i="11"/>
  <c r="M101" i="11"/>
  <c r="M481" i="11"/>
  <c r="M338" i="11"/>
  <c r="M163" i="11"/>
  <c r="M651" i="11"/>
  <c r="M147" i="11"/>
  <c r="M623" i="11"/>
  <c r="M459" i="11"/>
  <c r="M306" i="11"/>
  <c r="M91" i="11"/>
  <c r="M594" i="11"/>
  <c r="M376" i="11"/>
  <c r="M207" i="11"/>
  <c r="M31" i="11"/>
  <c r="M371" i="11"/>
  <c r="M533" i="11"/>
  <c r="M126" i="11"/>
  <c r="M536" i="11"/>
  <c r="M175" i="11"/>
  <c r="M448" i="11"/>
  <c r="M549" i="11"/>
  <c r="M190" i="11"/>
  <c r="M372" i="11"/>
  <c r="M552" i="11"/>
  <c r="M667" i="11"/>
  <c r="M430" i="11"/>
  <c r="M276" i="11"/>
  <c r="M618" i="11"/>
  <c r="M555" i="11"/>
  <c r="M605" i="11"/>
  <c r="M515" i="11"/>
  <c r="M383" i="11"/>
  <c r="M370" i="11"/>
  <c r="M221" i="11"/>
  <c r="M170" i="11"/>
  <c r="M593" i="11"/>
  <c r="M655" i="11"/>
  <c r="M609" i="11"/>
  <c r="M394" i="11"/>
  <c r="M501" i="11"/>
  <c r="M633" i="11"/>
  <c r="M435" i="11"/>
  <c r="M391" i="11"/>
  <c r="M167" i="11"/>
  <c r="M323" i="11"/>
  <c r="M438" i="11"/>
  <c r="M351" i="11"/>
  <c r="M46" i="11"/>
  <c r="M144" i="11"/>
  <c r="M67" i="11"/>
  <c r="M60" i="11"/>
  <c r="M208" i="11"/>
  <c r="M47" i="11"/>
  <c r="M40" i="11"/>
  <c r="M65" i="11"/>
  <c r="M160" i="11"/>
  <c r="M227" i="11"/>
  <c r="M352" i="11"/>
  <c r="M527" i="11"/>
  <c r="M642" i="11"/>
  <c r="M313" i="11"/>
  <c r="M595" i="11"/>
  <c r="M237" i="11"/>
  <c r="M379" i="11"/>
  <c r="M169" i="11"/>
  <c r="M205" i="11"/>
  <c r="M603" i="11"/>
  <c r="M659" i="11"/>
  <c r="M637" i="11"/>
  <c r="M587" i="11"/>
  <c r="M563" i="11"/>
  <c r="M510" i="11"/>
  <c r="M444" i="11"/>
  <c r="M357" i="11"/>
  <c r="M333" i="11"/>
  <c r="M291" i="11"/>
  <c r="M242" i="11"/>
  <c r="M113" i="11"/>
  <c r="M638" i="11"/>
  <c r="M543" i="11"/>
  <c r="M382" i="11"/>
  <c r="M628" i="11"/>
  <c r="M423" i="11"/>
  <c r="M580" i="11"/>
  <c r="M462" i="11"/>
  <c r="M358" i="11"/>
  <c r="M584" i="11"/>
  <c r="M484" i="11"/>
  <c r="M610" i="11"/>
  <c r="M485" i="11"/>
  <c r="M406" i="11"/>
  <c r="M436" i="11"/>
  <c r="M335" i="11"/>
  <c r="M251" i="11"/>
  <c r="M142" i="11"/>
  <c r="M511" i="11"/>
  <c r="M252" i="11"/>
  <c r="M663" i="11"/>
  <c r="M345" i="11"/>
  <c r="M225" i="11"/>
  <c r="M200" i="11"/>
  <c r="M134" i="11"/>
  <c r="M29" i="11"/>
  <c r="M386" i="11"/>
  <c r="M286" i="11"/>
  <c r="M130" i="11"/>
  <c r="M71" i="11"/>
  <c r="M284" i="11"/>
  <c r="M234" i="11"/>
  <c r="M137" i="11"/>
  <c r="M30" i="11"/>
  <c r="M145" i="11"/>
  <c r="M264" i="11"/>
  <c r="M197" i="11"/>
  <c r="M90" i="11"/>
  <c r="M14" i="11"/>
  <c r="M198" i="11"/>
  <c r="M173" i="11"/>
  <c r="M368" i="11"/>
  <c r="M45" i="11"/>
  <c r="M104" i="11"/>
  <c r="M652" i="11"/>
  <c r="M681" i="11"/>
  <c r="M494" i="11"/>
  <c r="M331" i="11"/>
  <c r="M385" i="11"/>
  <c r="M467" i="11"/>
  <c r="M332" i="11"/>
  <c r="M156" i="11"/>
  <c r="M639" i="11"/>
  <c r="M37" i="11"/>
  <c r="M607" i="11"/>
  <c r="M456" i="11"/>
  <c r="M290" i="11"/>
  <c r="M81" i="11"/>
  <c r="M560" i="11"/>
  <c r="M339" i="11"/>
  <c r="M203" i="11"/>
  <c r="M8" i="11"/>
  <c r="M180" i="11"/>
  <c r="M512" i="11"/>
  <c r="M123" i="11"/>
  <c r="M504" i="11"/>
  <c r="M117" i="11"/>
  <c r="M419" i="11"/>
  <c r="M546" i="11"/>
  <c r="M49" i="11"/>
  <c r="M608" i="11"/>
  <c r="M189" i="11"/>
  <c r="M671" i="11"/>
  <c r="M586" i="11"/>
  <c r="M558" i="11"/>
  <c r="M450" i="11"/>
  <c r="M431" i="11"/>
  <c r="M398" i="11"/>
  <c r="M349" i="11"/>
  <c r="M320" i="11"/>
  <c r="M283" i="11"/>
  <c r="M230" i="11"/>
  <c r="M105" i="11"/>
  <c r="M634" i="11"/>
  <c r="M532" i="11"/>
  <c r="M375" i="11"/>
  <c r="M588" i="11"/>
  <c r="M680" i="11"/>
  <c r="M570" i="11"/>
  <c r="M434" i="11"/>
  <c r="M343" i="11"/>
  <c r="M576" i="11"/>
  <c r="M477" i="11"/>
  <c r="M602" i="11"/>
  <c r="M473" i="11"/>
  <c r="M395" i="11"/>
  <c r="M428" i="11"/>
  <c r="M322" i="11"/>
  <c r="M223" i="11"/>
  <c r="M112" i="11"/>
  <c r="M446" i="11"/>
  <c r="M247" i="11"/>
  <c r="M631" i="11"/>
  <c r="M337" i="11"/>
  <c r="M217" i="11"/>
  <c r="M199" i="11"/>
  <c r="M93" i="11"/>
  <c r="M20" i="11"/>
  <c r="M374" i="11"/>
  <c r="M285" i="11"/>
  <c r="M129" i="11"/>
  <c r="M50" i="11"/>
  <c r="M224" i="11"/>
  <c r="M226" i="11"/>
  <c r="M119" i="11"/>
  <c r="M25" i="11"/>
  <c r="M131" i="11"/>
  <c r="M5" i="11"/>
  <c r="M260" i="11"/>
  <c r="M191" i="11"/>
  <c r="M78" i="11"/>
  <c r="M9" i="11"/>
  <c r="M187" i="11"/>
  <c r="M138" i="11"/>
  <c r="M182" i="11"/>
  <c r="M23" i="11"/>
  <c r="M82" i="11"/>
  <c r="M577" i="11"/>
  <c r="M650" i="11"/>
  <c r="M476" i="11"/>
  <c r="M325" i="11"/>
  <c r="M240" i="11"/>
  <c r="M458" i="11"/>
  <c r="M301" i="11"/>
  <c r="M133" i="11"/>
  <c r="M626" i="11"/>
  <c r="M360" i="11"/>
  <c r="M601" i="11"/>
  <c r="M453" i="11"/>
  <c r="M233" i="11"/>
  <c r="M66" i="11"/>
  <c r="M542" i="11"/>
  <c r="M328" i="11"/>
  <c r="M157" i="11"/>
  <c r="M630" i="11"/>
  <c r="M661" i="11"/>
  <c r="M480" i="11"/>
  <c r="M27" i="11"/>
  <c r="M492" i="11"/>
  <c r="M114" i="11"/>
  <c r="M219" i="11"/>
  <c r="M505" i="11"/>
  <c r="M6" i="11"/>
  <c r="H2" i="9"/>
  <c r="J6" i="2"/>
  <c r="J22" i="2"/>
  <c r="J29" i="2"/>
  <c r="J38" i="2"/>
  <c r="J54" i="2"/>
  <c r="J61" i="2"/>
  <c r="J70" i="2"/>
  <c r="J86" i="2"/>
  <c r="J93" i="2"/>
  <c r="J102" i="2"/>
  <c r="J118" i="2"/>
  <c r="J125" i="2"/>
  <c r="J134" i="2"/>
  <c r="J150" i="2"/>
  <c r="J157" i="2"/>
  <c r="J166" i="2"/>
  <c r="J182" i="2"/>
  <c r="J189" i="2"/>
  <c r="J198" i="2"/>
  <c r="J214" i="2"/>
  <c r="J221" i="2"/>
  <c r="J230" i="2"/>
  <c r="J246" i="2"/>
  <c r="J253" i="2"/>
  <c r="J262" i="2"/>
  <c r="J278" i="2"/>
  <c r="J285" i="2"/>
  <c r="J294" i="2"/>
  <c r="J310" i="2"/>
  <c r="J317" i="2"/>
  <c r="J326" i="2"/>
  <c r="J342" i="2"/>
  <c r="J349" i="2"/>
  <c r="J358" i="2"/>
  <c r="J374" i="2"/>
  <c r="J381" i="2"/>
  <c r="J390" i="2"/>
  <c r="J406" i="2"/>
  <c r="J413" i="2"/>
  <c r="J422" i="2"/>
  <c r="J438" i="2"/>
  <c r="J445" i="2"/>
  <c r="J454" i="2"/>
  <c r="J470" i="2"/>
  <c r="J477" i="2"/>
  <c r="J486" i="2"/>
  <c r="J501" i="2"/>
  <c r="J502" i="2"/>
  <c r="J509" i="2"/>
  <c r="J517" i="2"/>
  <c r="J518" i="2"/>
  <c r="J525" i="2"/>
  <c r="J533" i="2"/>
  <c r="J534" i="2"/>
  <c r="J541" i="2"/>
  <c r="J549" i="2"/>
  <c r="J550" i="2"/>
  <c r="J557" i="2"/>
  <c r="J565" i="2"/>
  <c r="J566" i="2"/>
  <c r="J573" i="2"/>
  <c r="J580" i="2"/>
  <c r="J581" i="2"/>
  <c r="J595" i="2"/>
  <c r="J598" i="2"/>
  <c r="J605" i="2"/>
  <c r="J606" i="2"/>
  <c r="J612" i="2"/>
  <c r="J620" i="2"/>
  <c r="J630" i="2"/>
  <c r="J631" i="2"/>
  <c r="J637" i="2"/>
  <c r="J644" i="2"/>
  <c r="J645" i="2"/>
  <c r="J659" i="2"/>
  <c r="J662" i="2"/>
  <c r="J669" i="2"/>
  <c r="J670" i="2"/>
  <c r="J676" i="2"/>
  <c r="J684" i="2"/>
  <c r="J692" i="2"/>
  <c r="J700" i="2"/>
  <c r="J708" i="2"/>
  <c r="J716" i="2"/>
  <c r="J724" i="2"/>
  <c r="J732" i="2"/>
  <c r="J740" i="2"/>
  <c r="J748" i="2"/>
  <c r="J756" i="2"/>
  <c r="J764" i="2"/>
  <c r="J772" i="2"/>
  <c r="J780" i="2"/>
  <c r="J788" i="2"/>
  <c r="J796" i="2"/>
  <c r="J804" i="2"/>
  <c r="J812" i="2"/>
  <c r="J820" i="2"/>
  <c r="J828" i="2"/>
  <c r="J836" i="2"/>
  <c r="J844" i="2"/>
  <c r="J852" i="2"/>
  <c r="J860" i="2"/>
  <c r="J868" i="2"/>
  <c r="J876" i="2"/>
  <c r="J884" i="2"/>
  <c r="J892" i="2"/>
  <c r="J900" i="2"/>
  <c r="J908" i="2"/>
  <c r="J916" i="2"/>
  <c r="I4" i="2"/>
  <c r="J4" i="2" s="1"/>
  <c r="I5" i="2"/>
  <c r="J5" i="2" s="1"/>
  <c r="I6" i="2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I502" i="2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I518" i="2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I534" i="2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I550" i="2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I566" i="2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I581" i="2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I596" i="2"/>
  <c r="J596" i="2" s="1"/>
  <c r="I597" i="2"/>
  <c r="J597" i="2" s="1"/>
  <c r="I598" i="2"/>
  <c r="I599" i="2"/>
  <c r="J599" i="2" s="1"/>
  <c r="I600" i="2"/>
  <c r="J600" i="2" s="1"/>
  <c r="I601" i="2"/>
  <c r="J601" i="2" s="1"/>
  <c r="I602" i="2"/>
  <c r="J602" i="2" s="1"/>
  <c r="I603" i="2"/>
  <c r="J603" i="2" s="1"/>
  <c r="I604" i="2"/>
  <c r="J604" i="2" s="1"/>
  <c r="I605" i="2"/>
  <c r="I606" i="2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I631" i="2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I645" i="2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I660" i="2"/>
  <c r="J660" i="2" s="1"/>
  <c r="I661" i="2"/>
  <c r="J661" i="2" s="1"/>
  <c r="I662" i="2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I670" i="2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16" i="2"/>
  <c r="I3" i="2"/>
  <c r="J3" i="2" s="1"/>
  <c r="D3" i="9"/>
  <c r="H3" i="9" s="1"/>
  <c r="I3" i="9" s="1"/>
  <c r="D4" i="9"/>
  <c r="H4" i="9" s="1"/>
  <c r="I4" i="9" s="1"/>
  <c r="D5" i="9"/>
  <c r="H5" i="9" s="1"/>
  <c r="I5" i="9" s="1"/>
  <c r="D6" i="9"/>
  <c r="H6" i="9" s="1"/>
  <c r="I6" i="9" s="1"/>
  <c r="D7" i="9"/>
  <c r="H7" i="9" s="1"/>
  <c r="I7" i="9" s="1"/>
  <c r="D8" i="9"/>
  <c r="H8" i="9" s="1"/>
  <c r="I8" i="9" s="1"/>
  <c r="D9" i="9"/>
  <c r="H9" i="9" s="1"/>
  <c r="I9" i="9" s="1"/>
  <c r="D10" i="9"/>
  <c r="H10" i="9" s="1"/>
  <c r="I10" i="9" s="1"/>
  <c r="D11" i="9"/>
  <c r="H11" i="9" s="1"/>
  <c r="I11" i="9" s="1"/>
  <c r="D12" i="9"/>
  <c r="H12" i="9" s="1"/>
  <c r="I12" i="9" s="1"/>
  <c r="D13" i="9"/>
  <c r="H13" i="9" s="1"/>
  <c r="I13" i="9" s="1"/>
  <c r="D14" i="9"/>
  <c r="H14" i="9" s="1"/>
  <c r="I14" i="9" s="1"/>
  <c r="D15" i="9"/>
  <c r="H15" i="9" s="1"/>
  <c r="I15" i="9" s="1"/>
  <c r="D16" i="9"/>
  <c r="H16" i="9" s="1"/>
  <c r="I16" i="9" s="1"/>
  <c r="D17" i="9"/>
  <c r="H17" i="9" s="1"/>
  <c r="I17" i="9" s="1"/>
  <c r="D18" i="9"/>
  <c r="H18" i="9" s="1"/>
  <c r="I18" i="9" s="1"/>
  <c r="D19" i="9"/>
  <c r="H19" i="9" s="1"/>
  <c r="I19" i="9" s="1"/>
  <c r="D20" i="9"/>
  <c r="H20" i="9" s="1"/>
  <c r="I20" i="9" s="1"/>
  <c r="D21" i="9"/>
  <c r="H21" i="9" s="1"/>
  <c r="I21" i="9" s="1"/>
  <c r="D22" i="9"/>
  <c r="H22" i="9" s="1"/>
  <c r="I22" i="9" s="1"/>
  <c r="D23" i="9"/>
  <c r="H23" i="9" s="1"/>
  <c r="I23" i="9" s="1"/>
  <c r="D24" i="9"/>
  <c r="H24" i="9" s="1"/>
  <c r="I24" i="9" s="1"/>
  <c r="D25" i="9"/>
  <c r="H25" i="9" s="1"/>
  <c r="I25" i="9" s="1"/>
  <c r="D26" i="9"/>
  <c r="H26" i="9" s="1"/>
  <c r="I26" i="9" s="1"/>
  <c r="D27" i="9"/>
  <c r="H27" i="9" s="1"/>
  <c r="I27" i="9" s="1"/>
  <c r="D28" i="9"/>
  <c r="H28" i="9" s="1"/>
  <c r="I28" i="9" s="1"/>
  <c r="D29" i="9"/>
  <c r="H29" i="9" s="1"/>
  <c r="I29" i="9" s="1"/>
  <c r="D30" i="9"/>
  <c r="H30" i="9" s="1"/>
  <c r="I30" i="9" s="1"/>
  <c r="D31" i="9"/>
  <c r="H31" i="9" s="1"/>
  <c r="I31" i="9" s="1"/>
  <c r="D32" i="9"/>
  <c r="H32" i="9" s="1"/>
  <c r="I32" i="9" s="1"/>
  <c r="D33" i="9"/>
  <c r="H33" i="9" s="1"/>
  <c r="I33" i="9" s="1"/>
  <c r="D34" i="9"/>
  <c r="H34" i="9" s="1"/>
  <c r="I34" i="9" s="1"/>
  <c r="D35" i="9"/>
  <c r="H35" i="9" s="1"/>
  <c r="I35" i="9" s="1"/>
  <c r="D36" i="9"/>
  <c r="H36" i="9" s="1"/>
  <c r="I36" i="9" s="1"/>
  <c r="D37" i="9"/>
  <c r="H37" i="9" s="1"/>
  <c r="I37" i="9" s="1"/>
  <c r="D38" i="9"/>
  <c r="H38" i="9" s="1"/>
  <c r="I38" i="9" s="1"/>
  <c r="D39" i="9"/>
  <c r="H39" i="9" s="1"/>
  <c r="I39" i="9" s="1"/>
  <c r="D40" i="9"/>
  <c r="H40" i="9" s="1"/>
  <c r="I40" i="9" s="1"/>
  <c r="D41" i="9"/>
  <c r="H41" i="9" s="1"/>
  <c r="I41" i="9" s="1"/>
  <c r="D42" i="9"/>
  <c r="H42" i="9" s="1"/>
  <c r="I42" i="9" s="1"/>
  <c r="D43" i="9"/>
  <c r="H43" i="9" s="1"/>
  <c r="I43" i="9" s="1"/>
  <c r="D44" i="9"/>
  <c r="H44" i="9" s="1"/>
  <c r="I44" i="9" s="1"/>
  <c r="D45" i="9"/>
  <c r="H45" i="9" s="1"/>
  <c r="I45" i="9" s="1"/>
  <c r="D46" i="9"/>
  <c r="H46" i="9" s="1"/>
  <c r="I46" i="9" s="1"/>
  <c r="D47" i="9"/>
  <c r="H47" i="9" s="1"/>
  <c r="I47" i="9" s="1"/>
  <c r="D48" i="9"/>
  <c r="H48" i="9" s="1"/>
  <c r="I48" i="9" s="1"/>
  <c r="D49" i="9"/>
  <c r="H49" i="9" s="1"/>
  <c r="I49" i="9" s="1"/>
  <c r="D50" i="9"/>
  <c r="H50" i="9" s="1"/>
  <c r="I50" i="9" s="1"/>
  <c r="D51" i="9"/>
  <c r="H51" i="9" s="1"/>
  <c r="I51" i="9" s="1"/>
  <c r="D52" i="9"/>
  <c r="H52" i="9" s="1"/>
  <c r="I52" i="9" s="1"/>
  <c r="D53" i="9"/>
  <c r="H53" i="9" s="1"/>
  <c r="I53" i="9" s="1"/>
  <c r="D54" i="9"/>
  <c r="H54" i="9" s="1"/>
  <c r="I54" i="9" s="1"/>
  <c r="D55" i="9"/>
  <c r="H55" i="9" s="1"/>
  <c r="I55" i="9" s="1"/>
  <c r="D56" i="9"/>
  <c r="H56" i="9" s="1"/>
  <c r="I56" i="9" s="1"/>
  <c r="D57" i="9"/>
  <c r="H57" i="9" s="1"/>
  <c r="I57" i="9" s="1"/>
  <c r="D58" i="9"/>
  <c r="H58" i="9" s="1"/>
  <c r="I58" i="9" s="1"/>
  <c r="D59" i="9"/>
  <c r="H59" i="9" s="1"/>
  <c r="I59" i="9" s="1"/>
  <c r="D60" i="9"/>
  <c r="H60" i="9" s="1"/>
  <c r="I60" i="9" s="1"/>
  <c r="D61" i="9"/>
  <c r="H61" i="9" s="1"/>
  <c r="I61" i="9" s="1"/>
  <c r="D62" i="9"/>
  <c r="H62" i="9" s="1"/>
  <c r="I62" i="9" s="1"/>
  <c r="D63" i="9"/>
  <c r="H63" i="9" s="1"/>
  <c r="I63" i="9" s="1"/>
  <c r="D64" i="9"/>
  <c r="H64" i="9" s="1"/>
  <c r="I64" i="9" s="1"/>
  <c r="D65" i="9"/>
  <c r="H65" i="9" s="1"/>
  <c r="I65" i="9" s="1"/>
  <c r="D66" i="9"/>
  <c r="H66" i="9" s="1"/>
  <c r="I66" i="9" s="1"/>
  <c r="D67" i="9"/>
  <c r="H67" i="9" s="1"/>
  <c r="I67" i="9" s="1"/>
  <c r="D68" i="9"/>
  <c r="H68" i="9" s="1"/>
  <c r="I68" i="9" s="1"/>
  <c r="D69" i="9"/>
  <c r="H69" i="9" s="1"/>
  <c r="I69" i="9" s="1"/>
  <c r="D70" i="9"/>
  <c r="H70" i="9" s="1"/>
  <c r="I70" i="9" s="1"/>
  <c r="D71" i="9"/>
  <c r="H71" i="9" s="1"/>
  <c r="I71" i="9" s="1"/>
  <c r="D72" i="9"/>
  <c r="H72" i="9" s="1"/>
  <c r="I72" i="9" s="1"/>
  <c r="D73" i="9"/>
  <c r="H73" i="9" s="1"/>
  <c r="I73" i="9" s="1"/>
  <c r="D74" i="9"/>
  <c r="H74" i="9" s="1"/>
  <c r="I74" i="9" s="1"/>
  <c r="D75" i="9"/>
  <c r="H75" i="9" s="1"/>
  <c r="I75" i="9" s="1"/>
  <c r="D76" i="9"/>
  <c r="H76" i="9" s="1"/>
  <c r="I76" i="9" s="1"/>
  <c r="D77" i="9"/>
  <c r="H77" i="9" s="1"/>
  <c r="I77" i="9" s="1"/>
  <c r="D78" i="9"/>
  <c r="H78" i="9" s="1"/>
  <c r="I78" i="9" s="1"/>
  <c r="D79" i="9"/>
  <c r="H79" i="9" s="1"/>
  <c r="I79" i="9" s="1"/>
  <c r="D80" i="9"/>
  <c r="H80" i="9" s="1"/>
  <c r="I80" i="9" s="1"/>
  <c r="D81" i="9"/>
  <c r="H81" i="9" s="1"/>
  <c r="I81" i="9" s="1"/>
  <c r="D82" i="9"/>
  <c r="H82" i="9" s="1"/>
  <c r="I82" i="9" s="1"/>
  <c r="D83" i="9"/>
  <c r="H83" i="9" s="1"/>
  <c r="I83" i="9" s="1"/>
  <c r="D84" i="9"/>
  <c r="H84" i="9" s="1"/>
  <c r="I84" i="9" s="1"/>
  <c r="D85" i="9"/>
  <c r="H85" i="9" s="1"/>
  <c r="I85" i="9" s="1"/>
  <c r="D86" i="9"/>
  <c r="H86" i="9" s="1"/>
  <c r="I86" i="9" s="1"/>
  <c r="D87" i="9"/>
  <c r="H87" i="9" s="1"/>
  <c r="I87" i="9" s="1"/>
  <c r="D88" i="9"/>
  <c r="H88" i="9" s="1"/>
  <c r="I88" i="9" s="1"/>
  <c r="D89" i="9"/>
  <c r="H89" i="9" s="1"/>
  <c r="I89" i="9" s="1"/>
  <c r="D90" i="9"/>
  <c r="H90" i="9" s="1"/>
  <c r="I90" i="9" s="1"/>
  <c r="D91" i="9"/>
  <c r="H91" i="9" s="1"/>
  <c r="I91" i="9" s="1"/>
  <c r="D92" i="9"/>
  <c r="H92" i="9" s="1"/>
  <c r="I92" i="9" s="1"/>
  <c r="D93" i="9"/>
  <c r="H93" i="9" s="1"/>
  <c r="I93" i="9" s="1"/>
  <c r="D94" i="9"/>
  <c r="H94" i="9" s="1"/>
  <c r="I94" i="9" s="1"/>
  <c r="D95" i="9"/>
  <c r="H95" i="9" s="1"/>
  <c r="I95" i="9" s="1"/>
  <c r="D96" i="9"/>
  <c r="H96" i="9" s="1"/>
  <c r="I96" i="9" s="1"/>
  <c r="D97" i="9"/>
  <c r="H97" i="9" s="1"/>
  <c r="I97" i="9" s="1"/>
  <c r="D98" i="9"/>
  <c r="H98" i="9" s="1"/>
  <c r="I98" i="9" s="1"/>
  <c r="D99" i="9"/>
  <c r="H99" i="9" s="1"/>
  <c r="I99" i="9" s="1"/>
  <c r="D100" i="9"/>
  <c r="H100" i="9" s="1"/>
  <c r="I100" i="9" s="1"/>
  <c r="D101" i="9"/>
  <c r="H101" i="9" s="1"/>
  <c r="I101" i="9" s="1"/>
  <c r="D102" i="9"/>
  <c r="H102" i="9" s="1"/>
  <c r="I102" i="9" s="1"/>
  <c r="D103" i="9"/>
  <c r="H103" i="9" s="1"/>
  <c r="I103" i="9" s="1"/>
  <c r="D104" i="9"/>
  <c r="H104" i="9" s="1"/>
  <c r="I104" i="9" s="1"/>
  <c r="D105" i="9"/>
  <c r="H105" i="9" s="1"/>
  <c r="I105" i="9" s="1"/>
  <c r="D106" i="9"/>
  <c r="H106" i="9" s="1"/>
  <c r="I106" i="9" s="1"/>
  <c r="D107" i="9"/>
  <c r="H107" i="9" s="1"/>
  <c r="I107" i="9" s="1"/>
  <c r="D108" i="9"/>
  <c r="H108" i="9" s="1"/>
  <c r="I108" i="9" s="1"/>
  <c r="D109" i="9"/>
  <c r="H109" i="9" s="1"/>
  <c r="I109" i="9" s="1"/>
  <c r="D110" i="9"/>
  <c r="H110" i="9" s="1"/>
  <c r="I110" i="9" s="1"/>
  <c r="D111" i="9"/>
  <c r="H111" i="9" s="1"/>
  <c r="I111" i="9" s="1"/>
  <c r="D112" i="9"/>
  <c r="H112" i="9" s="1"/>
  <c r="I112" i="9" s="1"/>
  <c r="D113" i="9"/>
  <c r="H113" i="9" s="1"/>
  <c r="I113" i="9" s="1"/>
  <c r="D114" i="9"/>
  <c r="H114" i="9" s="1"/>
  <c r="I114" i="9" s="1"/>
  <c r="D115" i="9"/>
  <c r="H115" i="9" s="1"/>
  <c r="I115" i="9" s="1"/>
  <c r="D116" i="9"/>
  <c r="H116" i="9" s="1"/>
  <c r="I116" i="9" s="1"/>
  <c r="D117" i="9"/>
  <c r="H117" i="9" s="1"/>
  <c r="I117" i="9" s="1"/>
  <c r="D118" i="9"/>
  <c r="H118" i="9" s="1"/>
  <c r="I118" i="9" s="1"/>
  <c r="D119" i="9"/>
  <c r="H119" i="9" s="1"/>
  <c r="I119" i="9" s="1"/>
  <c r="D120" i="9"/>
  <c r="H120" i="9" s="1"/>
  <c r="I120" i="9" s="1"/>
  <c r="D121" i="9"/>
  <c r="H121" i="9" s="1"/>
  <c r="I121" i="9" s="1"/>
  <c r="D122" i="9"/>
  <c r="H122" i="9" s="1"/>
  <c r="I122" i="9" s="1"/>
  <c r="D123" i="9"/>
  <c r="H123" i="9" s="1"/>
  <c r="I123" i="9" s="1"/>
  <c r="D124" i="9"/>
  <c r="H124" i="9" s="1"/>
  <c r="I124" i="9" s="1"/>
  <c r="D125" i="9"/>
  <c r="H125" i="9" s="1"/>
  <c r="I125" i="9" s="1"/>
  <c r="D126" i="9"/>
  <c r="H126" i="9" s="1"/>
  <c r="I126" i="9" s="1"/>
  <c r="D127" i="9"/>
  <c r="H127" i="9" s="1"/>
  <c r="I127" i="9" s="1"/>
  <c r="D128" i="9"/>
  <c r="H128" i="9" s="1"/>
  <c r="I128" i="9" s="1"/>
  <c r="D129" i="9"/>
  <c r="H129" i="9" s="1"/>
  <c r="I129" i="9" s="1"/>
  <c r="D130" i="9"/>
  <c r="H130" i="9" s="1"/>
  <c r="I130" i="9" s="1"/>
  <c r="D131" i="9"/>
  <c r="H131" i="9" s="1"/>
  <c r="I131" i="9" s="1"/>
  <c r="D132" i="9"/>
  <c r="H132" i="9" s="1"/>
  <c r="I132" i="9" s="1"/>
  <c r="D133" i="9"/>
  <c r="H133" i="9" s="1"/>
  <c r="I133" i="9" s="1"/>
  <c r="D134" i="9"/>
  <c r="H134" i="9" s="1"/>
  <c r="I134" i="9" s="1"/>
  <c r="D135" i="9"/>
  <c r="H135" i="9" s="1"/>
  <c r="I135" i="9" s="1"/>
  <c r="D136" i="9"/>
  <c r="H136" i="9" s="1"/>
  <c r="I136" i="9" s="1"/>
  <c r="D137" i="9"/>
  <c r="H137" i="9" s="1"/>
  <c r="I137" i="9" s="1"/>
  <c r="D138" i="9"/>
  <c r="H138" i="9" s="1"/>
  <c r="I138" i="9" s="1"/>
  <c r="D139" i="9"/>
  <c r="H139" i="9" s="1"/>
  <c r="I139" i="9" s="1"/>
  <c r="D140" i="9"/>
  <c r="H140" i="9" s="1"/>
  <c r="I140" i="9" s="1"/>
  <c r="D141" i="9"/>
  <c r="H141" i="9" s="1"/>
  <c r="I141" i="9" s="1"/>
  <c r="D142" i="9"/>
  <c r="H142" i="9" s="1"/>
  <c r="I142" i="9" s="1"/>
  <c r="D143" i="9"/>
  <c r="H143" i="9" s="1"/>
  <c r="I143" i="9" s="1"/>
  <c r="D144" i="9"/>
  <c r="H144" i="9" s="1"/>
  <c r="I144" i="9" s="1"/>
  <c r="D145" i="9"/>
  <c r="H145" i="9" s="1"/>
  <c r="I145" i="9" s="1"/>
  <c r="D146" i="9"/>
  <c r="H146" i="9" s="1"/>
  <c r="I146" i="9" s="1"/>
  <c r="D147" i="9"/>
  <c r="H147" i="9" s="1"/>
  <c r="I147" i="9" s="1"/>
  <c r="D148" i="9"/>
  <c r="H148" i="9" s="1"/>
  <c r="I148" i="9" s="1"/>
  <c r="D149" i="9"/>
  <c r="H149" i="9" s="1"/>
  <c r="I149" i="9" s="1"/>
  <c r="D150" i="9"/>
  <c r="H150" i="9" s="1"/>
  <c r="I150" i="9" s="1"/>
  <c r="D151" i="9"/>
  <c r="H151" i="9" s="1"/>
  <c r="I151" i="9" s="1"/>
  <c r="D152" i="9"/>
  <c r="H152" i="9" s="1"/>
  <c r="I152" i="9" s="1"/>
  <c r="D153" i="9"/>
  <c r="H153" i="9" s="1"/>
  <c r="I153" i="9" s="1"/>
  <c r="D154" i="9"/>
  <c r="H154" i="9" s="1"/>
  <c r="I154" i="9" s="1"/>
  <c r="D155" i="9"/>
  <c r="H155" i="9" s="1"/>
  <c r="I155" i="9" s="1"/>
  <c r="D156" i="9"/>
  <c r="H156" i="9" s="1"/>
  <c r="I156" i="9" s="1"/>
  <c r="D157" i="9"/>
  <c r="H157" i="9" s="1"/>
  <c r="I157" i="9" s="1"/>
  <c r="D158" i="9"/>
  <c r="H158" i="9" s="1"/>
  <c r="I158" i="9" s="1"/>
  <c r="D159" i="9"/>
  <c r="H159" i="9" s="1"/>
  <c r="I159" i="9" s="1"/>
  <c r="D160" i="9"/>
  <c r="H160" i="9" s="1"/>
  <c r="I160" i="9" s="1"/>
  <c r="D161" i="9"/>
  <c r="H161" i="9" s="1"/>
  <c r="I161" i="9" s="1"/>
  <c r="D162" i="9"/>
  <c r="H162" i="9" s="1"/>
  <c r="I162" i="9" s="1"/>
  <c r="D163" i="9"/>
  <c r="H163" i="9" s="1"/>
  <c r="I163" i="9" s="1"/>
  <c r="D164" i="9"/>
  <c r="H164" i="9" s="1"/>
  <c r="I164" i="9" s="1"/>
  <c r="D165" i="9"/>
  <c r="H165" i="9" s="1"/>
  <c r="I165" i="9" s="1"/>
  <c r="D166" i="9"/>
  <c r="H166" i="9" s="1"/>
  <c r="I166" i="9" s="1"/>
  <c r="D167" i="9"/>
  <c r="H167" i="9" s="1"/>
  <c r="I167" i="9" s="1"/>
  <c r="D168" i="9"/>
  <c r="H168" i="9" s="1"/>
  <c r="I168" i="9" s="1"/>
  <c r="D169" i="9"/>
  <c r="H169" i="9" s="1"/>
  <c r="I169" i="9" s="1"/>
  <c r="D170" i="9"/>
  <c r="H170" i="9" s="1"/>
  <c r="I170" i="9" s="1"/>
  <c r="D171" i="9"/>
  <c r="H171" i="9" s="1"/>
  <c r="I171" i="9" s="1"/>
  <c r="D172" i="9"/>
  <c r="H172" i="9" s="1"/>
  <c r="I172" i="9" s="1"/>
  <c r="D173" i="9"/>
  <c r="H173" i="9" s="1"/>
  <c r="I173" i="9" s="1"/>
  <c r="D174" i="9"/>
  <c r="H174" i="9" s="1"/>
  <c r="I174" i="9" s="1"/>
  <c r="D175" i="9"/>
  <c r="H175" i="9" s="1"/>
  <c r="I175" i="9" s="1"/>
  <c r="D176" i="9"/>
  <c r="H176" i="9" s="1"/>
  <c r="I176" i="9" s="1"/>
  <c r="D177" i="9"/>
  <c r="H177" i="9" s="1"/>
  <c r="I177" i="9" s="1"/>
  <c r="D178" i="9"/>
  <c r="H178" i="9" s="1"/>
  <c r="I178" i="9" s="1"/>
  <c r="D179" i="9"/>
  <c r="H179" i="9" s="1"/>
  <c r="I179" i="9" s="1"/>
  <c r="D180" i="9"/>
  <c r="H180" i="9" s="1"/>
  <c r="I180" i="9" s="1"/>
  <c r="D181" i="9"/>
  <c r="H181" i="9" s="1"/>
  <c r="I181" i="9" s="1"/>
  <c r="D182" i="9"/>
  <c r="H182" i="9" s="1"/>
  <c r="I182" i="9" s="1"/>
  <c r="D183" i="9"/>
  <c r="H183" i="9" s="1"/>
  <c r="I183" i="9" s="1"/>
  <c r="D184" i="9"/>
  <c r="H184" i="9" s="1"/>
  <c r="I184" i="9" s="1"/>
  <c r="D185" i="9"/>
  <c r="H185" i="9" s="1"/>
  <c r="I185" i="9" s="1"/>
  <c r="D186" i="9"/>
  <c r="H186" i="9" s="1"/>
  <c r="I186" i="9" s="1"/>
  <c r="D187" i="9"/>
  <c r="H187" i="9" s="1"/>
  <c r="I187" i="9" s="1"/>
  <c r="D188" i="9"/>
  <c r="H188" i="9" s="1"/>
  <c r="I188" i="9" s="1"/>
  <c r="D189" i="9"/>
  <c r="H189" i="9" s="1"/>
  <c r="I189" i="9" s="1"/>
  <c r="D190" i="9"/>
  <c r="H190" i="9" s="1"/>
  <c r="I190" i="9" s="1"/>
  <c r="D191" i="9"/>
  <c r="H191" i="9" s="1"/>
  <c r="I191" i="9" s="1"/>
  <c r="D192" i="9"/>
  <c r="H192" i="9" s="1"/>
  <c r="I192" i="9" s="1"/>
  <c r="D193" i="9"/>
  <c r="H193" i="9" s="1"/>
  <c r="I193" i="9" s="1"/>
  <c r="D194" i="9"/>
  <c r="H194" i="9" s="1"/>
  <c r="I194" i="9" s="1"/>
  <c r="D195" i="9"/>
  <c r="H195" i="9" s="1"/>
  <c r="I195" i="9" s="1"/>
  <c r="D196" i="9"/>
  <c r="H196" i="9" s="1"/>
  <c r="I196" i="9" s="1"/>
  <c r="D197" i="9"/>
  <c r="H197" i="9" s="1"/>
  <c r="I197" i="9" s="1"/>
  <c r="D198" i="9"/>
  <c r="H198" i="9" s="1"/>
  <c r="I198" i="9" s="1"/>
  <c r="D199" i="9"/>
  <c r="H199" i="9" s="1"/>
  <c r="I199" i="9" s="1"/>
  <c r="D200" i="9"/>
  <c r="H200" i="9" s="1"/>
  <c r="I200" i="9" s="1"/>
  <c r="D201" i="9"/>
  <c r="H201" i="9" s="1"/>
  <c r="I201" i="9" s="1"/>
  <c r="D202" i="9"/>
  <c r="H202" i="9" s="1"/>
  <c r="I202" i="9" s="1"/>
  <c r="D203" i="9"/>
  <c r="H203" i="9" s="1"/>
  <c r="I203" i="9" s="1"/>
  <c r="D204" i="9"/>
  <c r="H204" i="9" s="1"/>
  <c r="I204" i="9" s="1"/>
  <c r="D205" i="9"/>
  <c r="H205" i="9" s="1"/>
  <c r="I205" i="9" s="1"/>
  <c r="D206" i="9"/>
  <c r="H206" i="9" s="1"/>
  <c r="I206" i="9" s="1"/>
  <c r="D207" i="9"/>
  <c r="H207" i="9" s="1"/>
  <c r="I207" i="9" s="1"/>
  <c r="D208" i="9"/>
  <c r="H208" i="9" s="1"/>
  <c r="I208" i="9" s="1"/>
  <c r="D209" i="9"/>
  <c r="H209" i="9" s="1"/>
  <c r="I209" i="9" s="1"/>
  <c r="D210" i="9"/>
  <c r="H210" i="9" s="1"/>
  <c r="I210" i="9" s="1"/>
  <c r="D211" i="9"/>
  <c r="H211" i="9" s="1"/>
  <c r="I211" i="9" s="1"/>
  <c r="D212" i="9"/>
  <c r="H212" i="9" s="1"/>
  <c r="I212" i="9" s="1"/>
  <c r="D213" i="9"/>
  <c r="H213" i="9" s="1"/>
  <c r="I213" i="9" s="1"/>
  <c r="D214" i="9"/>
  <c r="H214" i="9" s="1"/>
  <c r="I214" i="9" s="1"/>
  <c r="D215" i="9"/>
  <c r="H215" i="9" s="1"/>
  <c r="I215" i="9" s="1"/>
  <c r="D216" i="9"/>
  <c r="H216" i="9" s="1"/>
  <c r="I216" i="9" s="1"/>
  <c r="D217" i="9"/>
  <c r="H217" i="9" s="1"/>
  <c r="I217" i="9" s="1"/>
  <c r="D218" i="9"/>
  <c r="H218" i="9" s="1"/>
  <c r="I218" i="9" s="1"/>
  <c r="D219" i="9"/>
  <c r="H219" i="9" s="1"/>
  <c r="I219" i="9" s="1"/>
  <c r="D220" i="9"/>
  <c r="H220" i="9" s="1"/>
  <c r="I220" i="9" s="1"/>
  <c r="D221" i="9"/>
  <c r="H221" i="9" s="1"/>
  <c r="I221" i="9" s="1"/>
  <c r="D222" i="9"/>
  <c r="H222" i="9" s="1"/>
  <c r="I222" i="9" s="1"/>
  <c r="D223" i="9"/>
  <c r="H223" i="9" s="1"/>
  <c r="I223" i="9" s="1"/>
  <c r="D224" i="9"/>
  <c r="H224" i="9" s="1"/>
  <c r="I224" i="9" s="1"/>
  <c r="D225" i="9"/>
  <c r="H225" i="9" s="1"/>
  <c r="I225" i="9" s="1"/>
  <c r="D226" i="9"/>
  <c r="H226" i="9" s="1"/>
  <c r="I226" i="9" s="1"/>
  <c r="D227" i="9"/>
  <c r="H227" i="9" s="1"/>
  <c r="I227" i="9" s="1"/>
  <c r="D228" i="9"/>
  <c r="H228" i="9" s="1"/>
  <c r="I228" i="9" s="1"/>
  <c r="D229" i="9"/>
  <c r="H229" i="9" s="1"/>
  <c r="I229" i="9" s="1"/>
  <c r="D230" i="9"/>
  <c r="H230" i="9" s="1"/>
  <c r="I230" i="9" s="1"/>
  <c r="D231" i="9"/>
  <c r="H231" i="9" s="1"/>
  <c r="I231" i="9" s="1"/>
  <c r="D232" i="9"/>
  <c r="H232" i="9" s="1"/>
  <c r="I232" i="9" s="1"/>
  <c r="G232" i="9"/>
  <c r="G231" i="9"/>
  <c r="G230" i="9"/>
  <c r="G229" i="9"/>
  <c r="Q229" i="9" s="1"/>
  <c r="G228" i="9"/>
  <c r="G227" i="9"/>
  <c r="Q227" i="9" s="1"/>
  <c r="G226" i="9"/>
  <c r="Q226" i="9" s="1"/>
  <c r="G225" i="9"/>
  <c r="Q225" i="9" s="1"/>
  <c r="G224" i="9"/>
  <c r="Q224" i="9" s="1"/>
  <c r="G223" i="9"/>
  <c r="G222" i="9"/>
  <c r="G221" i="9"/>
  <c r="Q221" i="9" s="1"/>
  <c r="G220" i="9"/>
  <c r="G219" i="9"/>
  <c r="Q219" i="9" s="1"/>
  <c r="G218" i="9"/>
  <c r="Q218" i="9" s="1"/>
  <c r="G217" i="9"/>
  <c r="Q217" i="9" s="1"/>
  <c r="G216" i="9"/>
  <c r="Q216" i="9" s="1"/>
  <c r="G215" i="9"/>
  <c r="G214" i="9"/>
  <c r="G213" i="9"/>
  <c r="Q213" i="9" s="1"/>
  <c r="G212" i="9"/>
  <c r="G211" i="9"/>
  <c r="Q211" i="9" s="1"/>
  <c r="G210" i="9"/>
  <c r="Q210" i="9" s="1"/>
  <c r="G209" i="9"/>
  <c r="Q209" i="9" s="1"/>
  <c r="G208" i="9"/>
  <c r="Q208" i="9" s="1"/>
  <c r="G207" i="9"/>
  <c r="G206" i="9"/>
  <c r="G205" i="9"/>
  <c r="Q205" i="9" s="1"/>
  <c r="G204" i="9"/>
  <c r="Q204" i="9" s="1"/>
  <c r="G203" i="9"/>
  <c r="Q203" i="9" s="1"/>
  <c r="G202" i="9"/>
  <c r="Q202" i="9" s="1"/>
  <c r="G201" i="9"/>
  <c r="Q201" i="9" s="1"/>
  <c r="G200" i="9"/>
  <c r="Q200" i="9" s="1"/>
  <c r="G199" i="9"/>
  <c r="G198" i="9"/>
  <c r="G197" i="9"/>
  <c r="Q197" i="9" s="1"/>
  <c r="G196" i="9"/>
  <c r="Q196" i="9" s="1"/>
  <c r="G195" i="9"/>
  <c r="Q195" i="9" s="1"/>
  <c r="G194" i="9"/>
  <c r="Q194" i="9" s="1"/>
  <c r="G193" i="9"/>
  <c r="Q193" i="9" s="1"/>
  <c r="G192" i="9"/>
  <c r="Q192" i="9" s="1"/>
  <c r="G191" i="9"/>
  <c r="Q191" i="9" s="1"/>
  <c r="G190" i="9"/>
  <c r="G189" i="9"/>
  <c r="Q189" i="9" s="1"/>
  <c r="G188" i="9"/>
  <c r="Q188" i="9" s="1"/>
  <c r="G187" i="9"/>
  <c r="Q187" i="9" s="1"/>
  <c r="G186" i="9"/>
  <c r="Q186" i="9" s="1"/>
  <c r="G185" i="9"/>
  <c r="Q185" i="9" s="1"/>
  <c r="G184" i="9"/>
  <c r="Q184" i="9" s="1"/>
  <c r="G183" i="9"/>
  <c r="Q183" i="9" s="1"/>
  <c r="G182" i="9"/>
  <c r="G181" i="9"/>
  <c r="Q181" i="9" s="1"/>
  <c r="G180" i="9"/>
  <c r="Q180" i="9" s="1"/>
  <c r="G179" i="9"/>
  <c r="Q179" i="9" s="1"/>
  <c r="G178" i="9"/>
  <c r="Q178" i="9" s="1"/>
  <c r="G177" i="9"/>
  <c r="Q177" i="9" s="1"/>
  <c r="G176" i="9"/>
  <c r="Q176" i="9" s="1"/>
  <c r="G175" i="9"/>
  <c r="Q175" i="9" s="1"/>
  <c r="G174" i="9"/>
  <c r="G173" i="9"/>
  <c r="G172" i="9"/>
  <c r="Q172" i="9" s="1"/>
  <c r="G171" i="9"/>
  <c r="Q171" i="9" s="1"/>
  <c r="G170" i="9"/>
  <c r="Q170" i="9" s="1"/>
  <c r="G169" i="9"/>
  <c r="Q169" i="9" s="1"/>
  <c r="G168" i="9"/>
  <c r="Q168" i="9" s="1"/>
  <c r="G167" i="9"/>
  <c r="Q167" i="9" s="1"/>
  <c r="G166" i="9"/>
  <c r="G165" i="9"/>
  <c r="Q165" i="9" s="1"/>
  <c r="G164" i="9"/>
  <c r="Q164" i="9" s="1"/>
  <c r="G163" i="9"/>
  <c r="Q163" i="9" s="1"/>
  <c r="G162" i="9"/>
  <c r="Q162" i="9" s="1"/>
  <c r="G161" i="9"/>
  <c r="Q161" i="9" s="1"/>
  <c r="G160" i="9"/>
  <c r="Q160" i="9" s="1"/>
  <c r="G159" i="9"/>
  <c r="Q159" i="9" s="1"/>
  <c r="G158" i="9"/>
  <c r="G157" i="9"/>
  <c r="Q157" i="9" s="1"/>
  <c r="G156" i="9"/>
  <c r="Q156" i="9" s="1"/>
  <c r="G155" i="9"/>
  <c r="Q155" i="9" s="1"/>
  <c r="G154" i="9"/>
  <c r="Q154" i="9" s="1"/>
  <c r="G153" i="9"/>
  <c r="Q153" i="9" s="1"/>
  <c r="G152" i="9"/>
  <c r="Q152" i="9" s="1"/>
  <c r="G151" i="9"/>
  <c r="Q151" i="9" s="1"/>
  <c r="G150" i="9"/>
  <c r="G149" i="9"/>
  <c r="Q149" i="9" s="1"/>
  <c r="G148" i="9"/>
  <c r="Q148" i="9" s="1"/>
  <c r="G147" i="9"/>
  <c r="Q147" i="9" s="1"/>
  <c r="G146" i="9"/>
  <c r="Q146" i="9" s="1"/>
  <c r="G145" i="9"/>
  <c r="Q145" i="9" s="1"/>
  <c r="G144" i="9"/>
  <c r="Q144" i="9" s="1"/>
  <c r="G143" i="9"/>
  <c r="Q143" i="9" s="1"/>
  <c r="G142" i="9"/>
  <c r="G141" i="9"/>
  <c r="Q141" i="9" s="1"/>
  <c r="G140" i="9"/>
  <c r="Q140" i="9" s="1"/>
  <c r="G139" i="9"/>
  <c r="Q139" i="9" s="1"/>
  <c r="G138" i="9"/>
  <c r="Q138" i="9" s="1"/>
  <c r="G137" i="9"/>
  <c r="Q137" i="9" s="1"/>
  <c r="G136" i="9"/>
  <c r="Q136" i="9" s="1"/>
  <c r="G135" i="9"/>
  <c r="Q135" i="9" s="1"/>
  <c r="G134" i="9"/>
  <c r="G133" i="9"/>
  <c r="Q133" i="9" s="1"/>
  <c r="G132" i="9"/>
  <c r="Q132" i="9" s="1"/>
  <c r="G131" i="9"/>
  <c r="Q131" i="9" s="1"/>
  <c r="G130" i="9"/>
  <c r="Q130" i="9" s="1"/>
  <c r="G129" i="9"/>
  <c r="Q129" i="9" s="1"/>
  <c r="G128" i="9"/>
  <c r="Q128" i="9" s="1"/>
  <c r="G127" i="9"/>
  <c r="Q127" i="9" s="1"/>
  <c r="G126" i="9"/>
  <c r="G125" i="9"/>
  <c r="Q125" i="9" s="1"/>
  <c r="G124" i="9"/>
  <c r="Q124" i="9" s="1"/>
  <c r="G123" i="9"/>
  <c r="Q123" i="9" s="1"/>
  <c r="G122" i="9"/>
  <c r="Q122" i="9" s="1"/>
  <c r="G121" i="9"/>
  <c r="Q121" i="9" s="1"/>
  <c r="G120" i="9"/>
  <c r="Q120" i="9" s="1"/>
  <c r="G119" i="9"/>
  <c r="Q119" i="9" s="1"/>
  <c r="G118" i="9"/>
  <c r="G117" i="9"/>
  <c r="Q117" i="9" s="1"/>
  <c r="G116" i="9"/>
  <c r="Q116" i="9" s="1"/>
  <c r="G115" i="9"/>
  <c r="Q115" i="9" s="1"/>
  <c r="G114" i="9"/>
  <c r="Q114" i="9" s="1"/>
  <c r="G113" i="9"/>
  <c r="Q113" i="9" s="1"/>
  <c r="G112" i="9"/>
  <c r="Q112" i="9" s="1"/>
  <c r="G111" i="9"/>
  <c r="Q111" i="9" s="1"/>
  <c r="G110" i="9"/>
  <c r="G109" i="9"/>
  <c r="Q109" i="9" s="1"/>
  <c r="G108" i="9"/>
  <c r="Q108" i="9" s="1"/>
  <c r="G107" i="9"/>
  <c r="Q107" i="9" s="1"/>
  <c r="G106" i="9"/>
  <c r="Q106" i="9" s="1"/>
  <c r="G105" i="9"/>
  <c r="Q105" i="9" s="1"/>
  <c r="G104" i="9"/>
  <c r="Q104" i="9" s="1"/>
  <c r="G103" i="9"/>
  <c r="Q103" i="9" s="1"/>
  <c r="G102" i="9"/>
  <c r="G101" i="9"/>
  <c r="Q101" i="9" s="1"/>
  <c r="G100" i="9"/>
  <c r="Q100" i="9" s="1"/>
  <c r="G99" i="9"/>
  <c r="Q99" i="9" s="1"/>
  <c r="G98" i="9"/>
  <c r="Q98" i="9" s="1"/>
  <c r="G97" i="9"/>
  <c r="Q97" i="9" s="1"/>
  <c r="G96" i="9"/>
  <c r="Q96" i="9" s="1"/>
  <c r="G95" i="9"/>
  <c r="Q95" i="9" s="1"/>
  <c r="G94" i="9"/>
  <c r="G93" i="9"/>
  <c r="Q93" i="9" s="1"/>
  <c r="G92" i="9"/>
  <c r="Q92" i="9" s="1"/>
  <c r="G91" i="9"/>
  <c r="Q91" i="9" s="1"/>
  <c r="G90" i="9"/>
  <c r="Q90" i="9" s="1"/>
  <c r="G89" i="9"/>
  <c r="Q89" i="9" s="1"/>
  <c r="G88" i="9"/>
  <c r="Q88" i="9" s="1"/>
  <c r="G87" i="9"/>
  <c r="Q87" i="9" s="1"/>
  <c r="G86" i="9"/>
  <c r="G85" i="9"/>
  <c r="Q85" i="9" s="1"/>
  <c r="G84" i="9"/>
  <c r="Q84" i="9" s="1"/>
  <c r="G83" i="9"/>
  <c r="Q83" i="9" s="1"/>
  <c r="G82" i="9"/>
  <c r="Q82" i="9" s="1"/>
  <c r="G81" i="9"/>
  <c r="Q81" i="9" s="1"/>
  <c r="G80" i="9"/>
  <c r="Q80" i="9" s="1"/>
  <c r="G79" i="9"/>
  <c r="Q79" i="9" s="1"/>
  <c r="G78" i="9"/>
  <c r="G77" i="9"/>
  <c r="Q77" i="9" s="1"/>
  <c r="G76" i="9"/>
  <c r="Q76" i="9" s="1"/>
  <c r="G75" i="9"/>
  <c r="Q75" i="9" s="1"/>
  <c r="G74" i="9"/>
  <c r="Q74" i="9" s="1"/>
  <c r="G73" i="9"/>
  <c r="Q73" i="9" s="1"/>
  <c r="G72" i="9"/>
  <c r="Q72" i="9" s="1"/>
  <c r="G71" i="9"/>
  <c r="Q71" i="9" s="1"/>
  <c r="G70" i="9"/>
  <c r="G69" i="9"/>
  <c r="G68" i="9"/>
  <c r="Q68" i="9" s="1"/>
  <c r="G67" i="9"/>
  <c r="Q67" i="9" s="1"/>
  <c r="G66" i="9"/>
  <c r="Q66" i="9" s="1"/>
  <c r="G65" i="9"/>
  <c r="Q65" i="9" s="1"/>
  <c r="G64" i="9"/>
  <c r="Q64" i="9" s="1"/>
  <c r="G63" i="9"/>
  <c r="Q63" i="9" s="1"/>
  <c r="G62" i="9"/>
  <c r="G61" i="9"/>
  <c r="Q61" i="9" s="1"/>
  <c r="G60" i="9"/>
  <c r="Q60" i="9" s="1"/>
  <c r="G59" i="9"/>
  <c r="Q59" i="9" s="1"/>
  <c r="G58" i="9"/>
  <c r="Q58" i="9" s="1"/>
  <c r="G57" i="9"/>
  <c r="Q57" i="9" s="1"/>
  <c r="G56" i="9"/>
  <c r="Q56" i="9" s="1"/>
  <c r="G55" i="9"/>
  <c r="Q55" i="9" s="1"/>
  <c r="G54" i="9"/>
  <c r="G53" i="9"/>
  <c r="Q53" i="9" s="1"/>
  <c r="G52" i="9"/>
  <c r="Q52" i="9" s="1"/>
  <c r="G51" i="9"/>
  <c r="Q51" i="9" s="1"/>
  <c r="G50" i="9"/>
  <c r="Q50" i="9" s="1"/>
  <c r="G49" i="9"/>
  <c r="Q49" i="9" s="1"/>
  <c r="G48" i="9"/>
  <c r="Q48" i="9" s="1"/>
  <c r="G47" i="9"/>
  <c r="Q47" i="9" s="1"/>
  <c r="G46" i="9"/>
  <c r="G45" i="9"/>
  <c r="Q45" i="9" s="1"/>
  <c r="G44" i="9"/>
  <c r="Q44" i="9" s="1"/>
  <c r="G43" i="9"/>
  <c r="Q43" i="9" s="1"/>
  <c r="G42" i="9"/>
  <c r="Q42" i="9" s="1"/>
  <c r="G41" i="9"/>
  <c r="Q41" i="9" s="1"/>
  <c r="G40" i="9"/>
  <c r="Q40" i="9" s="1"/>
  <c r="G39" i="9"/>
  <c r="Q39" i="9" s="1"/>
  <c r="G38" i="9"/>
  <c r="G37" i="9"/>
  <c r="Q37" i="9" s="1"/>
  <c r="G36" i="9"/>
  <c r="Q36" i="9" s="1"/>
  <c r="G35" i="9"/>
  <c r="Q35" i="9" s="1"/>
  <c r="G34" i="9"/>
  <c r="Q34" i="9" s="1"/>
  <c r="G33" i="9"/>
  <c r="Q33" i="9" s="1"/>
  <c r="G32" i="9"/>
  <c r="Q32" i="9" s="1"/>
  <c r="G31" i="9"/>
  <c r="Q31" i="9" s="1"/>
  <c r="G30" i="9"/>
  <c r="G29" i="9"/>
  <c r="Q29" i="9" s="1"/>
  <c r="G28" i="9"/>
  <c r="Q28" i="9" s="1"/>
  <c r="G27" i="9"/>
  <c r="Q27" i="9" s="1"/>
  <c r="G26" i="9"/>
  <c r="Q26" i="9" s="1"/>
  <c r="G25" i="9"/>
  <c r="Q25" i="9" s="1"/>
  <c r="G24" i="9"/>
  <c r="Q24" i="9" s="1"/>
  <c r="G23" i="9"/>
  <c r="Q23" i="9" s="1"/>
  <c r="G22" i="9"/>
  <c r="G21" i="9"/>
  <c r="Q21" i="9" s="1"/>
  <c r="G20" i="9"/>
  <c r="Q20" i="9" s="1"/>
  <c r="G19" i="9"/>
  <c r="Q19" i="9" s="1"/>
  <c r="G18" i="9"/>
  <c r="Q18" i="9" s="1"/>
  <c r="G17" i="9"/>
  <c r="Q17" i="9" s="1"/>
  <c r="G16" i="9"/>
  <c r="Q16" i="9" s="1"/>
  <c r="G15" i="9"/>
  <c r="Q15" i="9" s="1"/>
  <c r="G14" i="9"/>
  <c r="G13" i="9"/>
  <c r="Q13" i="9" s="1"/>
  <c r="G12" i="9"/>
  <c r="Q12" i="9" s="1"/>
  <c r="G11" i="9"/>
  <c r="Q11" i="9" s="1"/>
  <c r="G10" i="9"/>
  <c r="Q10" i="9" s="1"/>
  <c r="G9" i="9"/>
  <c r="Q9" i="9" s="1"/>
  <c r="G8" i="9"/>
  <c r="Q8" i="9" s="1"/>
  <c r="G7" i="9"/>
  <c r="Q7" i="9" s="1"/>
  <c r="G6" i="9"/>
  <c r="G5" i="9"/>
  <c r="Q5" i="9" s="1"/>
  <c r="G4" i="9"/>
  <c r="Q4" i="9" s="1"/>
  <c r="G3" i="9"/>
  <c r="Q3" i="9" s="1"/>
  <c r="G2" i="9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M173" i="9" l="1"/>
  <c r="J173" i="9"/>
  <c r="L173" i="9" s="1"/>
  <c r="K173" i="9"/>
  <c r="M69" i="9"/>
  <c r="J69" i="9"/>
  <c r="K69" i="9"/>
  <c r="M198" i="9"/>
  <c r="K198" i="9"/>
  <c r="J198" i="9"/>
  <c r="M150" i="9"/>
  <c r="J150" i="9"/>
  <c r="L150" i="9" s="1"/>
  <c r="K150" i="9"/>
  <c r="M94" i="9"/>
  <c r="K94" i="9"/>
  <c r="J94" i="9"/>
  <c r="M14" i="9"/>
  <c r="K14" i="9"/>
  <c r="J14" i="9"/>
  <c r="L14" i="9" s="1"/>
  <c r="Q212" i="9"/>
  <c r="Q220" i="9"/>
  <c r="Q228" i="9"/>
  <c r="M229" i="9"/>
  <c r="J229" i="9"/>
  <c r="K229" i="9"/>
  <c r="M221" i="9"/>
  <c r="J221" i="9"/>
  <c r="K221" i="9"/>
  <c r="M213" i="9"/>
  <c r="J213" i="9"/>
  <c r="L213" i="9" s="1"/>
  <c r="N213" i="9" s="1"/>
  <c r="K213" i="9"/>
  <c r="M205" i="9"/>
  <c r="J205" i="9"/>
  <c r="L205" i="9" s="1"/>
  <c r="N205" i="9" s="1"/>
  <c r="K205" i="9"/>
  <c r="M197" i="9"/>
  <c r="J197" i="9"/>
  <c r="L197" i="9" s="1"/>
  <c r="N197" i="9" s="1"/>
  <c r="K197" i="9"/>
  <c r="M189" i="9"/>
  <c r="J189" i="9"/>
  <c r="L189" i="9" s="1"/>
  <c r="K189" i="9"/>
  <c r="M181" i="9"/>
  <c r="J181" i="9"/>
  <c r="K181" i="9"/>
  <c r="M165" i="9"/>
  <c r="J165" i="9"/>
  <c r="K165" i="9"/>
  <c r="M157" i="9"/>
  <c r="J157" i="9"/>
  <c r="K157" i="9"/>
  <c r="M149" i="9"/>
  <c r="J149" i="9"/>
  <c r="K149" i="9"/>
  <c r="M141" i="9"/>
  <c r="J141" i="9"/>
  <c r="L141" i="9" s="1"/>
  <c r="K141" i="9"/>
  <c r="M133" i="9"/>
  <c r="J133" i="9"/>
  <c r="L133" i="9" s="1"/>
  <c r="K133" i="9"/>
  <c r="M125" i="9"/>
  <c r="J125" i="9"/>
  <c r="L125" i="9" s="1"/>
  <c r="K125" i="9"/>
  <c r="M117" i="9"/>
  <c r="J117" i="9"/>
  <c r="L117" i="9" s="1"/>
  <c r="K117" i="9"/>
  <c r="M109" i="9"/>
  <c r="J109" i="9"/>
  <c r="K109" i="9"/>
  <c r="M101" i="9"/>
  <c r="J101" i="9"/>
  <c r="K101" i="9"/>
  <c r="M93" i="9"/>
  <c r="J93" i="9"/>
  <c r="K93" i="9"/>
  <c r="M85" i="9"/>
  <c r="J85" i="9"/>
  <c r="K85" i="9"/>
  <c r="M77" i="9"/>
  <c r="J77" i="9"/>
  <c r="L77" i="9" s="1"/>
  <c r="K77" i="9"/>
  <c r="M61" i="9"/>
  <c r="J61" i="9"/>
  <c r="L61" i="9" s="1"/>
  <c r="K61" i="9"/>
  <c r="M53" i="9"/>
  <c r="J53" i="9"/>
  <c r="L53" i="9" s="1"/>
  <c r="K53" i="9"/>
  <c r="M45" i="9"/>
  <c r="J45" i="9"/>
  <c r="L45" i="9" s="1"/>
  <c r="K45" i="9"/>
  <c r="M37" i="9"/>
  <c r="J37" i="9"/>
  <c r="K37" i="9"/>
  <c r="M29" i="9"/>
  <c r="J29" i="9"/>
  <c r="K29" i="9"/>
  <c r="M21" i="9"/>
  <c r="J21" i="9"/>
  <c r="K21" i="9"/>
  <c r="M13" i="9"/>
  <c r="J13" i="9"/>
  <c r="K13" i="9"/>
  <c r="M5" i="9"/>
  <c r="J5" i="9"/>
  <c r="L5" i="9" s="1"/>
  <c r="K5" i="9"/>
  <c r="M230" i="9"/>
  <c r="K230" i="9"/>
  <c r="J230" i="9"/>
  <c r="M174" i="9"/>
  <c r="J174" i="9"/>
  <c r="L174" i="9" s="1"/>
  <c r="K174" i="9"/>
  <c r="M110" i="9"/>
  <c r="J110" i="9"/>
  <c r="L110" i="9" s="1"/>
  <c r="K110" i="9"/>
  <c r="M62" i="9"/>
  <c r="K62" i="9"/>
  <c r="J62" i="9"/>
  <c r="L62" i="9" s="1"/>
  <c r="M22" i="9"/>
  <c r="J22" i="9"/>
  <c r="K22" i="9"/>
  <c r="Q69" i="9"/>
  <c r="Q173" i="9"/>
  <c r="M228" i="9"/>
  <c r="J228" i="9"/>
  <c r="K228" i="9"/>
  <c r="M220" i="9"/>
  <c r="K220" i="9"/>
  <c r="J220" i="9"/>
  <c r="L220" i="9" s="1"/>
  <c r="M212" i="9"/>
  <c r="J212" i="9"/>
  <c r="K212" i="9"/>
  <c r="M204" i="9"/>
  <c r="J204" i="9"/>
  <c r="L204" i="9" s="1"/>
  <c r="K204" i="9"/>
  <c r="M196" i="9"/>
  <c r="J196" i="9"/>
  <c r="K196" i="9"/>
  <c r="M188" i="9"/>
  <c r="K188" i="9"/>
  <c r="J188" i="9"/>
  <c r="M180" i="9"/>
  <c r="J180" i="9"/>
  <c r="L180" i="9" s="1"/>
  <c r="K180" i="9"/>
  <c r="M172" i="9"/>
  <c r="J172" i="9"/>
  <c r="L172" i="9" s="1"/>
  <c r="K172" i="9"/>
  <c r="M164" i="9"/>
  <c r="J164" i="9"/>
  <c r="K164" i="9"/>
  <c r="M156" i="9"/>
  <c r="K156" i="9"/>
  <c r="J156" i="9"/>
  <c r="L156" i="9" s="1"/>
  <c r="M148" i="9"/>
  <c r="J148" i="9"/>
  <c r="K148" i="9"/>
  <c r="M140" i="9"/>
  <c r="J140" i="9"/>
  <c r="L140" i="9" s="1"/>
  <c r="K140" i="9"/>
  <c r="M132" i="9"/>
  <c r="J132" i="9"/>
  <c r="L132" i="9" s="1"/>
  <c r="K132" i="9"/>
  <c r="M124" i="9"/>
  <c r="K124" i="9"/>
  <c r="J124" i="9"/>
  <c r="M116" i="9"/>
  <c r="J116" i="9"/>
  <c r="L116" i="9" s="1"/>
  <c r="K116" i="9"/>
  <c r="M108" i="9"/>
  <c r="J108" i="9"/>
  <c r="L108" i="9" s="1"/>
  <c r="K108" i="9"/>
  <c r="M100" i="9"/>
  <c r="J100" i="9"/>
  <c r="K100" i="9"/>
  <c r="M92" i="9"/>
  <c r="K92" i="9"/>
  <c r="J92" i="9"/>
  <c r="L92" i="9" s="1"/>
  <c r="M84" i="9"/>
  <c r="J84" i="9"/>
  <c r="K84" i="9"/>
  <c r="M76" i="9"/>
  <c r="J76" i="9"/>
  <c r="L76" i="9" s="1"/>
  <c r="K76" i="9"/>
  <c r="M68" i="9"/>
  <c r="J68" i="9"/>
  <c r="L68" i="9" s="1"/>
  <c r="K68" i="9"/>
  <c r="M60" i="9"/>
  <c r="K60" i="9"/>
  <c r="J60" i="9"/>
  <c r="M52" i="9"/>
  <c r="J52" i="9"/>
  <c r="L52" i="9" s="1"/>
  <c r="K52" i="9"/>
  <c r="M44" i="9"/>
  <c r="J44" i="9"/>
  <c r="L44" i="9" s="1"/>
  <c r="K44" i="9"/>
  <c r="M36" i="9"/>
  <c r="J36" i="9"/>
  <c r="K36" i="9"/>
  <c r="M28" i="9"/>
  <c r="K28" i="9"/>
  <c r="J28" i="9"/>
  <c r="L28" i="9" s="1"/>
  <c r="M20" i="9"/>
  <c r="J20" i="9"/>
  <c r="K20" i="9"/>
  <c r="M12" i="9"/>
  <c r="J12" i="9"/>
  <c r="L12" i="9" s="1"/>
  <c r="K12" i="9"/>
  <c r="M4" i="9"/>
  <c r="K4" i="9"/>
  <c r="J4" i="9"/>
  <c r="M206" i="9"/>
  <c r="J206" i="9"/>
  <c r="L206" i="9" s="1"/>
  <c r="N206" i="9" s="1"/>
  <c r="K206" i="9"/>
  <c r="M102" i="9"/>
  <c r="K102" i="9"/>
  <c r="J102" i="9"/>
  <c r="Q6" i="9"/>
  <c r="Q62" i="9"/>
  <c r="Q134" i="9"/>
  <c r="Q190" i="9"/>
  <c r="Q198" i="9"/>
  <c r="Q206" i="9"/>
  <c r="Q214" i="9"/>
  <c r="Q222" i="9"/>
  <c r="Q230" i="9"/>
  <c r="K227" i="9"/>
  <c r="M227" i="9"/>
  <c r="J227" i="9"/>
  <c r="L227" i="9" s="1"/>
  <c r="N227" i="9" s="1"/>
  <c r="K219" i="9"/>
  <c r="M219" i="9"/>
  <c r="J219" i="9"/>
  <c r="L219" i="9" s="1"/>
  <c r="N219" i="9" s="1"/>
  <c r="K211" i="9"/>
  <c r="M211" i="9"/>
  <c r="J211" i="9"/>
  <c r="L211" i="9" s="1"/>
  <c r="K203" i="9"/>
  <c r="M203" i="9"/>
  <c r="J203" i="9"/>
  <c r="L203" i="9" s="1"/>
  <c r="K195" i="9"/>
  <c r="M195" i="9"/>
  <c r="J195" i="9"/>
  <c r="K187" i="9"/>
  <c r="M187" i="9"/>
  <c r="J187" i="9"/>
  <c r="K179" i="9"/>
  <c r="M179" i="9"/>
  <c r="J179" i="9"/>
  <c r="M171" i="9"/>
  <c r="K171" i="9"/>
  <c r="J171" i="9"/>
  <c r="L171" i="9" s="1"/>
  <c r="M163" i="9"/>
  <c r="K163" i="9"/>
  <c r="J163" i="9"/>
  <c r="L163" i="9" s="1"/>
  <c r="M155" i="9"/>
  <c r="K155" i="9"/>
  <c r="J155" i="9"/>
  <c r="L155" i="9" s="1"/>
  <c r="K147" i="9"/>
  <c r="M147" i="9"/>
  <c r="J147" i="9"/>
  <c r="L147" i="9" s="1"/>
  <c r="K139" i="9"/>
  <c r="M139" i="9"/>
  <c r="J139" i="9"/>
  <c r="L139" i="9" s="1"/>
  <c r="M131" i="9"/>
  <c r="K131" i="9"/>
  <c r="J131" i="9"/>
  <c r="M123" i="9"/>
  <c r="K123" i="9"/>
  <c r="J123" i="9"/>
  <c r="K115" i="9"/>
  <c r="M115" i="9"/>
  <c r="J115" i="9"/>
  <c r="K107" i="9"/>
  <c r="M107" i="9"/>
  <c r="J107" i="9"/>
  <c r="M99" i="9"/>
  <c r="K99" i="9"/>
  <c r="J99" i="9"/>
  <c r="L99" i="9" s="1"/>
  <c r="M91" i="9"/>
  <c r="K91" i="9"/>
  <c r="J91" i="9"/>
  <c r="L91" i="9" s="1"/>
  <c r="K83" i="9"/>
  <c r="M83" i="9"/>
  <c r="J83" i="9"/>
  <c r="L83" i="9" s="1"/>
  <c r="K75" i="9"/>
  <c r="M75" i="9"/>
  <c r="J75" i="9"/>
  <c r="L75" i="9" s="1"/>
  <c r="M67" i="9"/>
  <c r="K67" i="9"/>
  <c r="J67" i="9"/>
  <c r="M59" i="9"/>
  <c r="K59" i="9"/>
  <c r="J59" i="9"/>
  <c r="K51" i="9"/>
  <c r="M51" i="9"/>
  <c r="J51" i="9"/>
  <c r="K43" i="9"/>
  <c r="M43" i="9"/>
  <c r="J43" i="9"/>
  <c r="M35" i="9"/>
  <c r="K35" i="9"/>
  <c r="J35" i="9"/>
  <c r="L35" i="9" s="1"/>
  <c r="M27" i="9"/>
  <c r="K27" i="9"/>
  <c r="J27" i="9"/>
  <c r="L27" i="9" s="1"/>
  <c r="K19" i="9"/>
  <c r="M19" i="9"/>
  <c r="J19" i="9"/>
  <c r="L19" i="9" s="1"/>
  <c r="K11" i="9"/>
  <c r="M11" i="9"/>
  <c r="J11" i="9"/>
  <c r="L11" i="9" s="1"/>
  <c r="M3" i="9"/>
  <c r="K3" i="9"/>
  <c r="J3" i="9"/>
  <c r="M190" i="9"/>
  <c r="K190" i="9"/>
  <c r="J190" i="9"/>
  <c r="M142" i="9"/>
  <c r="J142" i="9"/>
  <c r="K142" i="9"/>
  <c r="M86" i="9"/>
  <c r="J86" i="9"/>
  <c r="K86" i="9"/>
  <c r="M6" i="9"/>
  <c r="K6" i="9"/>
  <c r="J6" i="9"/>
  <c r="L6" i="9" s="1"/>
  <c r="Q30" i="9"/>
  <c r="Q54" i="9"/>
  <c r="Q86" i="9"/>
  <c r="Q110" i="9"/>
  <c r="Q142" i="9"/>
  <c r="Q166" i="9"/>
  <c r="Q199" i="9"/>
  <c r="Q207" i="9"/>
  <c r="Q215" i="9"/>
  <c r="Q223" i="9"/>
  <c r="Q231" i="9"/>
  <c r="M226" i="9"/>
  <c r="J226" i="9"/>
  <c r="L226" i="9" s="1"/>
  <c r="N226" i="9" s="1"/>
  <c r="K226" i="9"/>
  <c r="M218" i="9"/>
  <c r="K218" i="9"/>
  <c r="J218" i="9"/>
  <c r="M210" i="9"/>
  <c r="K210" i="9"/>
  <c r="J210" i="9"/>
  <c r="M202" i="9"/>
  <c r="J202" i="9"/>
  <c r="L202" i="9" s="1"/>
  <c r="K202" i="9"/>
  <c r="M194" i="9"/>
  <c r="J194" i="9"/>
  <c r="K194" i="9"/>
  <c r="M186" i="9"/>
  <c r="K186" i="9"/>
  <c r="J186" i="9"/>
  <c r="L186" i="9" s="1"/>
  <c r="M178" i="9"/>
  <c r="K178" i="9"/>
  <c r="J178" i="9"/>
  <c r="L178" i="9" s="1"/>
  <c r="M170" i="9"/>
  <c r="J170" i="9"/>
  <c r="L170" i="9" s="1"/>
  <c r="K170" i="9"/>
  <c r="M162" i="9"/>
  <c r="J162" i="9"/>
  <c r="L162" i="9" s="1"/>
  <c r="K162" i="9"/>
  <c r="M154" i="9"/>
  <c r="K154" i="9"/>
  <c r="J154" i="9"/>
  <c r="M146" i="9"/>
  <c r="K146" i="9"/>
  <c r="J146" i="9"/>
  <c r="M138" i="9"/>
  <c r="J138" i="9"/>
  <c r="L138" i="9" s="1"/>
  <c r="K138" i="9"/>
  <c r="M130" i="9"/>
  <c r="J130" i="9"/>
  <c r="L130" i="9" s="1"/>
  <c r="K130" i="9"/>
  <c r="M122" i="9"/>
  <c r="K122" i="9"/>
  <c r="J122" i="9"/>
  <c r="L122" i="9" s="1"/>
  <c r="M114" i="9"/>
  <c r="K114" i="9"/>
  <c r="J114" i="9"/>
  <c r="L114" i="9" s="1"/>
  <c r="M106" i="9"/>
  <c r="J106" i="9"/>
  <c r="L106" i="9" s="1"/>
  <c r="K106" i="9"/>
  <c r="M98" i="9"/>
  <c r="J98" i="9"/>
  <c r="L98" i="9" s="1"/>
  <c r="K98" i="9"/>
  <c r="M90" i="9"/>
  <c r="K90" i="9"/>
  <c r="J90" i="9"/>
  <c r="M82" i="9"/>
  <c r="K82" i="9"/>
  <c r="J82" i="9"/>
  <c r="M74" i="9"/>
  <c r="J74" i="9"/>
  <c r="L74" i="9" s="1"/>
  <c r="K74" i="9"/>
  <c r="M66" i="9"/>
  <c r="J66" i="9"/>
  <c r="L66" i="9" s="1"/>
  <c r="K66" i="9"/>
  <c r="M58" i="9"/>
  <c r="K58" i="9"/>
  <c r="J58" i="9"/>
  <c r="L58" i="9" s="1"/>
  <c r="M50" i="9"/>
  <c r="K50" i="9"/>
  <c r="J50" i="9"/>
  <c r="L50" i="9" s="1"/>
  <c r="M42" i="9"/>
  <c r="J42" i="9"/>
  <c r="L42" i="9" s="1"/>
  <c r="K42" i="9"/>
  <c r="M34" i="9"/>
  <c r="J34" i="9"/>
  <c r="L34" i="9" s="1"/>
  <c r="K34" i="9"/>
  <c r="M26" i="9"/>
  <c r="K26" i="9"/>
  <c r="J26" i="9"/>
  <c r="M18" i="9"/>
  <c r="K18" i="9"/>
  <c r="J18" i="9"/>
  <c r="M10" i="9"/>
  <c r="J10" i="9"/>
  <c r="L10" i="9" s="1"/>
  <c r="K10" i="9"/>
  <c r="M222" i="9"/>
  <c r="K222" i="9"/>
  <c r="J222" i="9"/>
  <c r="M166" i="9"/>
  <c r="K166" i="9"/>
  <c r="J166" i="9"/>
  <c r="L166" i="9" s="1"/>
  <c r="M134" i="9"/>
  <c r="K134" i="9"/>
  <c r="J134" i="9"/>
  <c r="L134" i="9" s="1"/>
  <c r="M70" i="9"/>
  <c r="K70" i="9"/>
  <c r="J70" i="9"/>
  <c r="M46" i="9"/>
  <c r="J46" i="9"/>
  <c r="L46" i="9" s="1"/>
  <c r="K46" i="9"/>
  <c r="Q22" i="9"/>
  <c r="Q46" i="9"/>
  <c r="Q78" i="9"/>
  <c r="Q102" i="9"/>
  <c r="Q126" i="9"/>
  <c r="Q158" i="9"/>
  <c r="Q182" i="9"/>
  <c r="Q232" i="9"/>
  <c r="M225" i="9"/>
  <c r="J225" i="9"/>
  <c r="L225" i="9" s="1"/>
  <c r="N225" i="9" s="1"/>
  <c r="K225" i="9"/>
  <c r="M217" i="9"/>
  <c r="J217" i="9"/>
  <c r="L217" i="9" s="1"/>
  <c r="N217" i="9" s="1"/>
  <c r="K217" i="9"/>
  <c r="M209" i="9"/>
  <c r="J209" i="9"/>
  <c r="L209" i="9" s="1"/>
  <c r="K209" i="9"/>
  <c r="M201" i="9"/>
  <c r="J201" i="9"/>
  <c r="L201" i="9" s="1"/>
  <c r="K201" i="9"/>
  <c r="M193" i="9"/>
  <c r="J193" i="9"/>
  <c r="K193" i="9"/>
  <c r="M185" i="9"/>
  <c r="J185" i="9"/>
  <c r="K185" i="9"/>
  <c r="M177" i="9"/>
  <c r="J177" i="9"/>
  <c r="K177" i="9"/>
  <c r="M169" i="9"/>
  <c r="J169" i="9"/>
  <c r="L169" i="9" s="1"/>
  <c r="K169" i="9"/>
  <c r="M161" i="9"/>
  <c r="J161" i="9"/>
  <c r="L161" i="9" s="1"/>
  <c r="K161" i="9"/>
  <c r="M153" i="9"/>
  <c r="J153" i="9"/>
  <c r="L153" i="9" s="1"/>
  <c r="K153" i="9"/>
  <c r="M145" i="9"/>
  <c r="J145" i="9"/>
  <c r="L145" i="9" s="1"/>
  <c r="K145" i="9"/>
  <c r="M137" i="9"/>
  <c r="J137" i="9"/>
  <c r="L137" i="9" s="1"/>
  <c r="K137" i="9"/>
  <c r="M129" i="9"/>
  <c r="J129" i="9"/>
  <c r="K129" i="9"/>
  <c r="M121" i="9"/>
  <c r="J121" i="9"/>
  <c r="K121" i="9"/>
  <c r="M113" i="9"/>
  <c r="J113" i="9"/>
  <c r="L113" i="9" s="1"/>
  <c r="K113" i="9"/>
  <c r="M105" i="9"/>
  <c r="J105" i="9"/>
  <c r="L105" i="9" s="1"/>
  <c r="K105" i="9"/>
  <c r="M97" i="9"/>
  <c r="J97" i="9"/>
  <c r="L97" i="9" s="1"/>
  <c r="K97" i="9"/>
  <c r="M89" i="9"/>
  <c r="J89" i="9"/>
  <c r="L89" i="9" s="1"/>
  <c r="K89" i="9"/>
  <c r="M81" i="9"/>
  <c r="J81" i="9"/>
  <c r="L81" i="9" s="1"/>
  <c r="K81" i="9"/>
  <c r="M73" i="9"/>
  <c r="J73" i="9"/>
  <c r="L73" i="9" s="1"/>
  <c r="K73" i="9"/>
  <c r="M65" i="9"/>
  <c r="J65" i="9"/>
  <c r="K65" i="9"/>
  <c r="M57" i="9"/>
  <c r="J57" i="9"/>
  <c r="K57" i="9"/>
  <c r="M49" i="9"/>
  <c r="J49" i="9"/>
  <c r="L49" i="9" s="1"/>
  <c r="K49" i="9"/>
  <c r="M41" i="9"/>
  <c r="J41" i="9"/>
  <c r="L41" i="9" s="1"/>
  <c r="K41" i="9"/>
  <c r="M33" i="9"/>
  <c r="J33" i="9"/>
  <c r="L33" i="9" s="1"/>
  <c r="K33" i="9"/>
  <c r="M25" i="9"/>
  <c r="J25" i="9"/>
  <c r="L25" i="9" s="1"/>
  <c r="K25" i="9"/>
  <c r="M17" i="9"/>
  <c r="J17" i="9"/>
  <c r="L17" i="9" s="1"/>
  <c r="K17" i="9"/>
  <c r="M9" i="9"/>
  <c r="J9" i="9"/>
  <c r="L9" i="9" s="1"/>
  <c r="K9" i="9"/>
  <c r="M214" i="9"/>
  <c r="J214" i="9"/>
  <c r="K214" i="9"/>
  <c r="M158" i="9"/>
  <c r="K158" i="9"/>
  <c r="J158" i="9"/>
  <c r="L158" i="9" s="1"/>
  <c r="M126" i="9"/>
  <c r="K126" i="9"/>
  <c r="J126" i="9"/>
  <c r="L126" i="9" s="1"/>
  <c r="M78" i="9"/>
  <c r="J78" i="9"/>
  <c r="L78" i="9" s="1"/>
  <c r="K78" i="9"/>
  <c r="M38" i="9"/>
  <c r="K38" i="9"/>
  <c r="J38" i="9"/>
  <c r="Q14" i="9"/>
  <c r="Q38" i="9"/>
  <c r="Q70" i="9"/>
  <c r="Q94" i="9"/>
  <c r="Q118" i="9"/>
  <c r="Q150" i="9"/>
  <c r="Q174" i="9"/>
  <c r="M232" i="9"/>
  <c r="K232" i="9"/>
  <c r="J232" i="9"/>
  <c r="L232" i="9" s="1"/>
  <c r="M224" i="9"/>
  <c r="J224" i="9"/>
  <c r="L224" i="9" s="1"/>
  <c r="K224" i="9"/>
  <c r="M216" i="9"/>
  <c r="J216" i="9"/>
  <c r="L216" i="9" s="1"/>
  <c r="K216" i="9"/>
  <c r="M208" i="9"/>
  <c r="K208" i="9"/>
  <c r="J208" i="9"/>
  <c r="M200" i="9"/>
  <c r="K200" i="9"/>
  <c r="J200" i="9"/>
  <c r="M192" i="9"/>
  <c r="J192" i="9"/>
  <c r="L192" i="9" s="1"/>
  <c r="K192" i="9"/>
  <c r="M184" i="9"/>
  <c r="J184" i="9"/>
  <c r="K184" i="9"/>
  <c r="M176" i="9"/>
  <c r="K176" i="9"/>
  <c r="J176" i="9"/>
  <c r="L176" i="9" s="1"/>
  <c r="M168" i="9"/>
  <c r="K168" i="9"/>
  <c r="J168" i="9"/>
  <c r="L168" i="9" s="1"/>
  <c r="M160" i="9"/>
  <c r="J160" i="9"/>
  <c r="L160" i="9" s="1"/>
  <c r="K160" i="9"/>
  <c r="M152" i="9"/>
  <c r="J152" i="9"/>
  <c r="L152" i="9" s="1"/>
  <c r="K152" i="9"/>
  <c r="M144" i="9"/>
  <c r="K144" i="9"/>
  <c r="J144" i="9"/>
  <c r="M136" i="9"/>
  <c r="K136" i="9"/>
  <c r="J136" i="9"/>
  <c r="M128" i="9"/>
  <c r="J128" i="9"/>
  <c r="L128" i="9" s="1"/>
  <c r="K128" i="9"/>
  <c r="M120" i="9"/>
  <c r="J120" i="9"/>
  <c r="K120" i="9"/>
  <c r="M112" i="9"/>
  <c r="K112" i="9"/>
  <c r="J112" i="9"/>
  <c r="L112" i="9" s="1"/>
  <c r="M104" i="9"/>
  <c r="K104" i="9"/>
  <c r="J104" i="9"/>
  <c r="L104" i="9" s="1"/>
  <c r="M96" i="9"/>
  <c r="J96" i="9"/>
  <c r="L96" i="9" s="1"/>
  <c r="K96" i="9"/>
  <c r="M88" i="9"/>
  <c r="J88" i="9"/>
  <c r="L88" i="9" s="1"/>
  <c r="K88" i="9"/>
  <c r="M80" i="9"/>
  <c r="K80" i="9"/>
  <c r="J80" i="9"/>
  <c r="M72" i="9"/>
  <c r="K72" i="9"/>
  <c r="J72" i="9"/>
  <c r="M64" i="9"/>
  <c r="J64" i="9"/>
  <c r="L64" i="9" s="1"/>
  <c r="K64" i="9"/>
  <c r="M56" i="9"/>
  <c r="J56" i="9"/>
  <c r="K56" i="9"/>
  <c r="M48" i="9"/>
  <c r="K48" i="9"/>
  <c r="J48" i="9"/>
  <c r="L48" i="9" s="1"/>
  <c r="M40" i="9"/>
  <c r="K40" i="9"/>
  <c r="J40" i="9"/>
  <c r="L40" i="9" s="1"/>
  <c r="M32" i="9"/>
  <c r="J32" i="9"/>
  <c r="L32" i="9" s="1"/>
  <c r="K32" i="9"/>
  <c r="K24" i="9"/>
  <c r="M24" i="9"/>
  <c r="J24" i="9"/>
  <c r="L24" i="9" s="1"/>
  <c r="K16" i="9"/>
  <c r="M16" i="9"/>
  <c r="J16" i="9"/>
  <c r="K8" i="9"/>
  <c r="M8" i="9"/>
  <c r="J8" i="9"/>
  <c r="M182" i="9"/>
  <c r="J182" i="9"/>
  <c r="L182" i="9" s="1"/>
  <c r="K182" i="9"/>
  <c r="M118" i="9"/>
  <c r="J118" i="9"/>
  <c r="K118" i="9"/>
  <c r="M54" i="9"/>
  <c r="J54" i="9"/>
  <c r="K54" i="9"/>
  <c r="M30" i="9"/>
  <c r="K30" i="9"/>
  <c r="J30" i="9"/>
  <c r="L30" i="9" s="1"/>
  <c r="M231" i="9"/>
  <c r="K231" i="9"/>
  <c r="J231" i="9"/>
  <c r="M223" i="9"/>
  <c r="K223" i="9"/>
  <c r="J223" i="9"/>
  <c r="M215" i="9"/>
  <c r="K215" i="9"/>
  <c r="J215" i="9"/>
  <c r="M207" i="9"/>
  <c r="K207" i="9"/>
  <c r="J207" i="9"/>
  <c r="M199" i="9"/>
  <c r="K199" i="9"/>
  <c r="J199" i="9"/>
  <c r="M191" i="9"/>
  <c r="K191" i="9"/>
  <c r="J191" i="9"/>
  <c r="L191" i="9" s="1"/>
  <c r="M183" i="9"/>
  <c r="K183" i="9"/>
  <c r="J183" i="9"/>
  <c r="L183" i="9" s="1"/>
  <c r="M175" i="9"/>
  <c r="K175" i="9"/>
  <c r="J175" i="9"/>
  <c r="L175" i="9" s="1"/>
  <c r="M167" i="9"/>
  <c r="K167" i="9"/>
  <c r="J167" i="9"/>
  <c r="M159" i="9"/>
  <c r="K159" i="9"/>
  <c r="J159" i="9"/>
  <c r="M151" i="9"/>
  <c r="K151" i="9"/>
  <c r="J151" i="9"/>
  <c r="M143" i="9"/>
  <c r="K143" i="9"/>
  <c r="J143" i="9"/>
  <c r="M135" i="9"/>
  <c r="K135" i="9"/>
  <c r="J135" i="9"/>
  <c r="M127" i="9"/>
  <c r="K127" i="9"/>
  <c r="J127" i="9"/>
  <c r="L127" i="9" s="1"/>
  <c r="M119" i="9"/>
  <c r="K119" i="9"/>
  <c r="J119" i="9"/>
  <c r="L119" i="9" s="1"/>
  <c r="M111" i="9"/>
  <c r="K111" i="9"/>
  <c r="J111" i="9"/>
  <c r="L111" i="9" s="1"/>
  <c r="M103" i="9"/>
  <c r="K103" i="9"/>
  <c r="J103" i="9"/>
  <c r="M95" i="9"/>
  <c r="K95" i="9"/>
  <c r="J95" i="9"/>
  <c r="M87" i="9"/>
  <c r="K87" i="9"/>
  <c r="J87" i="9"/>
  <c r="M79" i="9"/>
  <c r="K79" i="9"/>
  <c r="J79" i="9"/>
  <c r="M71" i="9"/>
  <c r="K71" i="9"/>
  <c r="J71" i="9"/>
  <c r="M63" i="9"/>
  <c r="K63" i="9"/>
  <c r="J63" i="9"/>
  <c r="L63" i="9" s="1"/>
  <c r="M55" i="9"/>
  <c r="K55" i="9"/>
  <c r="J55" i="9"/>
  <c r="L55" i="9" s="1"/>
  <c r="M47" i="9"/>
  <c r="K47" i="9"/>
  <c r="J47" i="9"/>
  <c r="L47" i="9" s="1"/>
  <c r="M39" i="9"/>
  <c r="K39" i="9"/>
  <c r="J39" i="9"/>
  <c r="M31" i="9"/>
  <c r="K31" i="9"/>
  <c r="J31" i="9"/>
  <c r="M23" i="9"/>
  <c r="K23" i="9"/>
  <c r="J23" i="9"/>
  <c r="M15" i="9"/>
  <c r="K15" i="9"/>
  <c r="J15" i="9"/>
  <c r="M7" i="9"/>
  <c r="K7" i="9"/>
  <c r="J7" i="9"/>
  <c r="I2" i="9"/>
  <c r="E2" i="12"/>
  <c r="J2" i="12"/>
  <c r="K2" i="12" s="1"/>
  <c r="S619" i="11"/>
  <c r="S311" i="11"/>
  <c r="S562" i="11"/>
  <c r="S163" i="11"/>
  <c r="S61" i="11"/>
  <c r="S442" i="11"/>
  <c r="S292" i="11"/>
  <c r="S367" i="11"/>
  <c r="S440" i="11"/>
  <c r="S53" i="11"/>
  <c r="S323" i="11"/>
  <c r="S561" i="11"/>
  <c r="S384" i="11"/>
  <c r="S402" i="11"/>
  <c r="S538" i="11"/>
  <c r="S128" i="11"/>
  <c r="S113" i="11"/>
  <c r="S528" i="11"/>
  <c r="S596" i="11"/>
  <c r="S296" i="11"/>
  <c r="S167" i="11"/>
  <c r="S490" i="11"/>
  <c r="S258" i="11"/>
  <c r="S146" i="11"/>
  <c r="S476" i="11"/>
  <c r="S178" i="11"/>
  <c r="S425" i="11"/>
  <c r="S184" i="11"/>
  <c r="S248" i="11"/>
  <c r="S224" i="11"/>
  <c r="S674" i="11"/>
  <c r="S593" i="11"/>
  <c r="S600" i="11"/>
  <c r="S471" i="11"/>
  <c r="S314" i="11"/>
  <c r="S94" i="11"/>
  <c r="S387" i="11"/>
  <c r="S520" i="11"/>
  <c r="S673" i="11"/>
  <c r="S249" i="11"/>
  <c r="S306" i="11"/>
  <c r="S41" i="11"/>
  <c r="S570" i="11"/>
  <c r="S607" i="11"/>
  <c r="S344" i="11"/>
  <c r="S495" i="11"/>
  <c r="S502" i="11"/>
  <c r="S78" i="11"/>
  <c r="S300" i="11"/>
  <c r="S554" i="11"/>
  <c r="S64" i="11"/>
  <c r="S653" i="11"/>
  <c r="S125" i="11"/>
  <c r="S183" i="11"/>
  <c r="S414" i="11"/>
  <c r="S233" i="11"/>
  <c r="S130" i="11"/>
  <c r="S485" i="11"/>
  <c r="S97" i="11"/>
  <c r="S213" i="11"/>
  <c r="S73" i="11"/>
  <c r="S682" i="11"/>
  <c r="S506" i="11"/>
  <c r="S275" i="11"/>
  <c r="S40" i="11"/>
  <c r="S136" i="11"/>
  <c r="S603" i="11"/>
  <c r="S179" i="11"/>
  <c r="S252" i="11"/>
  <c r="S622" i="11"/>
  <c r="S51" i="11"/>
  <c r="S389" i="11"/>
  <c r="S205" i="11"/>
  <c r="S555" i="11"/>
  <c r="S99" i="11"/>
  <c r="S318" i="11"/>
  <c r="S630" i="11"/>
  <c r="S671" i="11"/>
  <c r="S441" i="11"/>
  <c r="S438" i="11"/>
  <c r="S21" i="11"/>
  <c r="Q155" i="11"/>
  <c r="S155" i="11" s="1"/>
  <c r="Q564" i="11"/>
  <c r="S564" i="11" s="1"/>
  <c r="Q557" i="11"/>
  <c r="S557" i="11" s="1"/>
  <c r="Q363" i="11"/>
  <c r="S363" i="11" s="1"/>
  <c r="Q222" i="11"/>
  <c r="S222" i="11" s="1"/>
  <c r="Q635" i="11"/>
  <c r="S635" i="11" s="1"/>
  <c r="Q57" i="11"/>
  <c r="S57" i="11" s="1"/>
  <c r="Q359" i="11"/>
  <c r="S359" i="11" s="1"/>
  <c r="S75" i="11"/>
  <c r="S609" i="11"/>
  <c r="S216" i="11"/>
  <c r="S577" i="11"/>
  <c r="S180" i="11"/>
  <c r="S378" i="11"/>
  <c r="S545" i="11"/>
  <c r="S160" i="11"/>
  <c r="S34" i="11"/>
  <c r="S145" i="11"/>
  <c r="S310" i="11"/>
  <c r="S598" i="11"/>
  <c r="S424" i="11"/>
  <c r="S9" i="11"/>
  <c r="S517" i="11"/>
  <c r="S540" i="11"/>
  <c r="S212" i="11"/>
  <c r="S475" i="11"/>
  <c r="S606" i="11"/>
  <c r="S76" i="11"/>
  <c r="S452" i="11"/>
  <c r="S23" i="11"/>
  <c r="S377" i="11"/>
  <c r="S413" i="11"/>
  <c r="S191" i="11"/>
  <c r="S123" i="11"/>
  <c r="S390" i="11"/>
  <c r="S533" i="11"/>
  <c r="S473" i="11"/>
  <c r="S645" i="11"/>
  <c r="S101" i="11"/>
  <c r="S3" i="11"/>
  <c r="S46" i="11"/>
  <c r="S172" i="11"/>
  <c r="S678" i="11"/>
  <c r="S534" i="11"/>
  <c r="S241" i="11"/>
  <c r="S500" i="11"/>
  <c r="S616" i="11"/>
  <c r="S273" i="11"/>
  <c r="S356" i="11"/>
  <c r="S350" i="11"/>
  <c r="S415" i="11"/>
  <c r="S660" i="11"/>
  <c r="S230" i="11"/>
  <c r="S339" i="11"/>
  <c r="S661" i="11"/>
  <c r="S324" i="11"/>
  <c r="S651" i="11"/>
  <c r="S550" i="11"/>
  <c r="S121" i="11"/>
  <c r="S308" i="11"/>
  <c r="S59" i="11"/>
  <c r="S277" i="11"/>
  <c r="S663" i="11"/>
  <c r="S451" i="11"/>
  <c r="S549" i="11"/>
  <c r="S479" i="11"/>
  <c r="S575" i="11"/>
  <c r="S544" i="11"/>
  <c r="S372" i="11"/>
  <c r="S143" i="11"/>
  <c r="S398" i="11"/>
  <c r="S385" i="11"/>
  <c r="S177" i="11"/>
  <c r="S412" i="11"/>
  <c r="S571" i="11"/>
  <c r="S578" i="11"/>
  <c r="S666" i="11"/>
  <c r="S394" i="11"/>
  <c r="S264" i="11"/>
  <c r="S469" i="11"/>
  <c r="S589" i="11"/>
  <c r="S553" i="11"/>
  <c r="S421" i="11"/>
  <c r="S430" i="11"/>
  <c r="S625" i="11"/>
  <c r="S33" i="11"/>
  <c r="S647" i="11"/>
  <c r="S271" i="11"/>
  <c r="S542" i="11"/>
  <c r="S117" i="11"/>
  <c r="S157" i="11"/>
  <c r="S20" i="11"/>
  <c r="S105" i="11"/>
  <c r="S65" i="11"/>
  <c r="S583" i="11"/>
  <c r="S470" i="11"/>
  <c r="S262" i="11"/>
  <c r="S66" i="11"/>
  <c r="S337" i="11"/>
  <c r="S77" i="11"/>
  <c r="S263" i="11"/>
  <c r="S32" i="11"/>
  <c r="S552" i="11"/>
  <c r="S11" i="11"/>
  <c r="S461" i="11"/>
  <c r="S472" i="11"/>
  <c r="S135" i="11"/>
  <c r="S569" i="11"/>
  <c r="S426" i="11"/>
  <c r="S260" i="11"/>
  <c r="S391" i="11"/>
  <c r="S594" i="11"/>
  <c r="S255" i="11"/>
  <c r="S612" i="11"/>
  <c r="S282" i="11"/>
  <c r="S16" i="11"/>
  <c r="S131" i="11"/>
  <c r="S466" i="11"/>
  <c r="S353" i="11"/>
  <c r="S468" i="11"/>
  <c r="S604" i="11"/>
  <c r="S276" i="11"/>
  <c r="S431" i="11"/>
  <c r="S109" i="11"/>
  <c r="S516" i="11"/>
  <c r="S218" i="11"/>
  <c r="S477" i="11"/>
  <c r="S303" i="11"/>
  <c r="S605" i="11"/>
  <c r="S614" i="11"/>
  <c r="S236" i="11"/>
  <c r="S455" i="11"/>
  <c r="S126" i="11"/>
  <c r="S165" i="11"/>
  <c r="S67" i="11"/>
  <c r="S22" i="11"/>
  <c r="S48" i="11"/>
  <c r="S200" i="11"/>
  <c r="S47" i="11"/>
  <c r="S620" i="11"/>
  <c r="S410" i="11"/>
  <c r="S597" i="11"/>
  <c r="S100" i="11"/>
  <c r="S427" i="11"/>
  <c r="S358" i="11"/>
  <c r="S302" i="11"/>
  <c r="S366" i="11"/>
  <c r="S197" i="11"/>
  <c r="S669" i="11"/>
  <c r="S220" i="11"/>
  <c r="S611" i="11"/>
  <c r="S35" i="11"/>
  <c r="S573" i="11"/>
  <c r="S7" i="11"/>
  <c r="S404" i="11"/>
  <c r="S667" i="11"/>
  <c r="S91" i="11"/>
  <c r="S254" i="11"/>
  <c r="S345" i="11"/>
  <c r="S327" i="11"/>
  <c r="S332" i="11"/>
  <c r="S595" i="11"/>
  <c r="S83" i="11"/>
  <c r="S214" i="11"/>
  <c r="S237" i="11"/>
  <c r="S68" i="11"/>
  <c r="S150" i="11"/>
  <c r="S93" i="11"/>
  <c r="S315" i="11"/>
  <c r="S134" i="11"/>
  <c r="S382" i="11"/>
  <c r="S462" i="11"/>
  <c r="S364" i="11"/>
  <c r="S307" i="11"/>
  <c r="S543" i="11"/>
  <c r="S444" i="11"/>
  <c r="S293" i="11"/>
  <c r="S316" i="11"/>
  <c r="S63" i="11"/>
  <c r="S656" i="11"/>
  <c r="S257" i="11"/>
  <c r="S312" i="11"/>
  <c r="S348" i="11"/>
  <c r="S512" i="11"/>
  <c r="S129" i="11"/>
  <c r="S320" i="11"/>
  <c r="S558" i="11"/>
  <c r="S416" i="11"/>
  <c r="S169" i="11"/>
  <c r="S86" i="11"/>
  <c r="S643" i="11"/>
  <c r="S154" i="11"/>
  <c r="S525" i="11"/>
  <c r="S13" i="11"/>
  <c r="S548" i="11"/>
  <c r="S36" i="11"/>
  <c r="S6" i="11"/>
  <c r="S668" i="11"/>
  <c r="S156" i="11"/>
  <c r="S483" i="11"/>
  <c r="S445" i="11"/>
  <c r="S340" i="11"/>
  <c r="S89" i="11"/>
  <c r="S373" i="11"/>
  <c r="S531" i="11"/>
  <c r="S19" i="11"/>
  <c r="S247" i="11"/>
  <c r="S173" i="11"/>
  <c r="S580" i="11"/>
  <c r="S331" i="11"/>
  <c r="S206" i="11"/>
  <c r="S474" i="11"/>
  <c r="S29" i="11"/>
  <c r="S590" i="11"/>
  <c r="S354" i="11"/>
  <c r="S114" i="11"/>
  <c r="S532" i="11"/>
  <c r="S328" i="11"/>
  <c r="S49" i="11"/>
  <c r="S457" i="11"/>
  <c r="S201" i="11"/>
  <c r="S170" i="11"/>
  <c r="S274" i="11"/>
  <c r="S279" i="11"/>
  <c r="S428" i="11"/>
  <c r="S437" i="11"/>
  <c r="S508" i="11"/>
  <c r="S161" i="11"/>
  <c r="S487" i="11"/>
  <c r="S629" i="11"/>
  <c r="S164" i="11"/>
  <c r="S280" i="11"/>
  <c r="S587" i="11"/>
  <c r="S497" i="11"/>
  <c r="S370" i="11"/>
  <c r="S496" i="11"/>
  <c r="S168" i="11"/>
  <c r="S560" i="11"/>
  <c r="S524" i="11"/>
  <c r="S166" i="11"/>
  <c r="S39" i="11"/>
  <c r="S683" i="11"/>
  <c r="S193" i="11"/>
  <c r="S401" i="11"/>
  <c r="S400" i="11"/>
  <c r="S82" i="11"/>
  <c r="S285" i="11"/>
  <c r="S251" i="11"/>
  <c r="S513" i="11"/>
  <c r="S261" i="11"/>
  <c r="S379" i="11"/>
  <c r="S662" i="11"/>
  <c r="S207" i="11"/>
  <c r="S281" i="11"/>
  <c r="S679" i="11"/>
  <c r="S357" i="11"/>
  <c r="S380" i="11"/>
  <c r="S259" i="11"/>
  <c r="S115" i="11"/>
  <c r="S185" i="11"/>
  <c r="S4" i="11"/>
  <c r="S124" i="11"/>
  <c r="S463" i="11"/>
  <c r="S342" i="11"/>
  <c r="S265" i="11"/>
  <c r="S336" i="11"/>
  <c r="S144" i="11"/>
  <c r="S375" i="11"/>
  <c r="S652" i="11"/>
  <c r="S174" i="11"/>
  <c r="S486" i="11"/>
  <c r="S243" i="11"/>
  <c r="S672" i="11"/>
  <c r="S449" i="11"/>
  <c r="S118" i="11"/>
  <c r="S429" i="11"/>
  <c r="S519" i="11"/>
  <c r="S137" i="11"/>
  <c r="S650" i="11"/>
  <c r="S226" i="11"/>
  <c r="S322" i="11"/>
  <c r="S250" i="11"/>
  <c r="S576" i="11"/>
  <c r="S588" i="11"/>
  <c r="S659" i="11"/>
  <c r="S81" i="11"/>
  <c r="S489" i="11"/>
  <c r="S159" i="11"/>
  <c r="S98" i="11"/>
  <c r="S56" i="11"/>
  <c r="S211" i="11"/>
  <c r="S181" i="11"/>
  <c r="S127" i="11"/>
  <c r="S301" i="11"/>
  <c r="S158" i="11"/>
  <c r="S132" i="11"/>
  <c r="S459" i="11"/>
  <c r="S231" i="11"/>
  <c r="S142" i="11"/>
  <c r="S628" i="11"/>
  <c r="S443" i="11"/>
  <c r="S119" i="11"/>
  <c r="S103" i="11"/>
  <c r="S599" i="11"/>
  <c r="S149" i="11"/>
  <c r="S556" i="11"/>
  <c r="S563" i="11"/>
  <c r="S58" i="11"/>
  <c r="S217" i="11"/>
  <c r="S406" i="11"/>
  <c r="S171" i="11"/>
  <c r="S346" i="11"/>
  <c r="S151" i="11"/>
  <c r="S618" i="11"/>
  <c r="S584" i="11"/>
  <c r="S227" i="11"/>
  <c r="S409" i="11"/>
  <c r="S319" i="11"/>
  <c r="S84" i="11"/>
  <c r="S313" i="11"/>
  <c r="S221" i="11"/>
  <c r="S334" i="11"/>
  <c r="S601" i="11"/>
  <c r="S374" i="11"/>
  <c r="S290" i="11"/>
  <c r="S286" i="11"/>
  <c r="S186" i="11"/>
  <c r="S592" i="11"/>
  <c r="S325" i="11"/>
  <c r="S386" i="11"/>
  <c r="S436" i="11"/>
  <c r="S642" i="11"/>
  <c r="S69" i="11"/>
  <c r="S92" i="11"/>
  <c r="S654" i="11"/>
  <c r="S381" i="11"/>
  <c r="S238" i="11"/>
  <c r="S539" i="11"/>
  <c r="S335" i="11"/>
  <c r="S287" i="11"/>
  <c r="S309" i="11"/>
  <c r="S198" i="11"/>
  <c r="S204" i="11"/>
  <c r="S467" i="11"/>
  <c r="S295" i="11"/>
  <c r="S478" i="11"/>
  <c r="S283" i="11"/>
  <c r="S38" i="11"/>
  <c r="S541" i="11"/>
  <c r="S657" i="11"/>
  <c r="S574" i="11"/>
  <c r="S10" i="11"/>
  <c r="S422" i="11"/>
  <c r="S405" i="11"/>
  <c r="S403" i="11"/>
  <c r="S676" i="11"/>
  <c r="S360" i="11"/>
  <c r="S182" i="11"/>
  <c r="S546" i="11"/>
  <c r="S664" i="11"/>
  <c r="S267" i="11"/>
  <c r="S507" i="11"/>
  <c r="S515" i="11"/>
  <c r="S504" i="11"/>
  <c r="S37" i="11"/>
  <c r="S266" i="11"/>
  <c r="S12" i="11"/>
  <c r="S397" i="11"/>
  <c r="S95" i="11"/>
  <c r="S420" i="11"/>
  <c r="S215" i="11"/>
  <c r="S235" i="11"/>
  <c r="S79" i="11"/>
  <c r="S503" i="11"/>
  <c r="S141" i="11"/>
  <c r="S299" i="11"/>
  <c r="S60" i="11"/>
  <c r="S245" i="11"/>
  <c r="S102" i="11"/>
  <c r="S355" i="11"/>
  <c r="S176" i="11"/>
  <c r="S566" i="11"/>
  <c r="S579" i="11"/>
  <c r="S582" i="11"/>
  <c r="S52" i="11"/>
  <c r="S304" i="11"/>
  <c r="S581" i="11"/>
  <c r="S448" i="11"/>
  <c r="S272" i="11"/>
  <c r="S43" i="11"/>
  <c r="S361" i="11"/>
  <c r="S631" i="11"/>
  <c r="S253" i="11"/>
  <c r="S639" i="11"/>
  <c r="S351" i="11"/>
  <c r="S670" i="11"/>
  <c r="S621" i="11"/>
  <c r="S365" i="11"/>
  <c r="S460" i="11"/>
  <c r="S15" i="11"/>
  <c r="S465" i="11"/>
  <c r="S269" i="11"/>
  <c r="S85" i="11"/>
  <c r="S572" i="11"/>
  <c r="S268" i="11"/>
  <c r="S104" i="11"/>
  <c r="S50" i="11"/>
  <c r="S112" i="11"/>
  <c r="S634" i="11"/>
  <c r="S208" i="11"/>
  <c r="S203" i="11"/>
  <c r="S45" i="11"/>
  <c r="S90" i="11"/>
  <c r="S484" i="11"/>
  <c r="S291" i="11"/>
  <c r="S510" i="11"/>
  <c r="S644" i="11"/>
  <c r="S435" i="11"/>
  <c r="S383" i="11"/>
  <c r="S646" i="11"/>
  <c r="S536" i="11"/>
  <c r="S623" i="11"/>
  <c r="S481" i="11"/>
  <c r="S108" i="11"/>
  <c r="S439" i="11"/>
  <c r="S591" i="11"/>
  <c r="S530" i="11"/>
  <c r="S617" i="11"/>
  <c r="S408" i="11"/>
  <c r="S74" i="11"/>
  <c r="S433" i="11"/>
  <c r="S278" i="11"/>
  <c r="S537" i="11"/>
  <c r="S417" i="11"/>
  <c r="S535" i="11"/>
  <c r="S615" i="11"/>
  <c r="S288" i="11"/>
  <c r="S419" i="11"/>
  <c r="S152" i="11"/>
  <c r="S362" i="11"/>
  <c r="S608" i="11"/>
  <c r="S526" i="11"/>
  <c r="S111" i="11"/>
  <c r="S234" i="11"/>
  <c r="S27" i="11"/>
  <c r="S453" i="11"/>
  <c r="S240" i="11"/>
  <c r="S25" i="11"/>
  <c r="S223" i="11"/>
  <c r="S680" i="11"/>
  <c r="S454" i="11"/>
  <c r="S54" i="11"/>
  <c r="S494" i="11"/>
  <c r="S368" i="11"/>
  <c r="S284" i="11"/>
  <c r="S333" i="11"/>
  <c r="S120" i="11"/>
  <c r="S190" i="11"/>
  <c r="S147" i="11"/>
  <c r="S62" i="11"/>
  <c r="S565" i="11"/>
  <c r="S675" i="11"/>
  <c r="S396" i="11"/>
  <c r="S321" i="11"/>
  <c r="S189" i="11"/>
  <c r="S116" i="11"/>
  <c r="S522" i="11"/>
  <c r="S70" i="11"/>
  <c r="S244" i="11"/>
  <c r="S26" i="11"/>
  <c r="S55" i="11"/>
  <c r="S624" i="11"/>
  <c r="S42" i="11"/>
  <c r="S613" i="11"/>
  <c r="S423" i="11"/>
  <c r="S44" i="11"/>
  <c r="S641" i="11"/>
  <c r="S341" i="11"/>
  <c r="S229" i="11"/>
  <c r="S219" i="11"/>
  <c r="S133" i="11"/>
  <c r="S199" i="11"/>
  <c r="S602" i="11"/>
  <c r="S349" i="11"/>
  <c r="S14" i="11"/>
  <c r="S501" i="11"/>
  <c r="S482" i="11"/>
  <c r="S162" i="11"/>
  <c r="S464" i="11"/>
  <c r="S87" i="11"/>
  <c r="S456" i="11"/>
  <c r="S418" i="11"/>
  <c r="S270" i="11"/>
  <c r="S399" i="11"/>
  <c r="S480" i="11"/>
  <c r="S138" i="11"/>
  <c r="S450" i="11"/>
  <c r="S527" i="11"/>
  <c r="S633" i="11"/>
  <c r="S681" i="11"/>
  <c r="S71" i="11"/>
  <c r="S511" i="11"/>
  <c r="S638" i="11"/>
  <c r="S637" i="11"/>
  <c r="S371" i="11"/>
  <c r="S521" i="11"/>
  <c r="S407" i="11"/>
  <c r="S392" i="11"/>
  <c r="S194" i="11"/>
  <c r="S192" i="11"/>
  <c r="S665" i="11"/>
  <c r="S202" i="11"/>
  <c r="S196" i="11"/>
  <c r="S210" i="11"/>
  <c r="S411" i="11"/>
  <c r="S289" i="11"/>
  <c r="S529" i="11"/>
  <c r="S640" i="11"/>
  <c r="S514" i="11"/>
  <c r="S256" i="11"/>
  <c r="S232" i="11"/>
  <c r="S567" i="11"/>
  <c r="S376" i="11"/>
  <c r="S298" i="11"/>
  <c r="S139" i="11"/>
  <c r="S492" i="11"/>
  <c r="S458" i="11"/>
  <c r="S5" i="11"/>
  <c r="S434" i="11"/>
  <c r="S586" i="11"/>
  <c r="S153" i="11"/>
  <c r="S655" i="11"/>
  <c r="S352" i="11"/>
  <c r="S610" i="11"/>
  <c r="S488" i="11"/>
  <c r="S447" i="11"/>
  <c r="S684" i="11"/>
  <c r="S568" i="11"/>
  <c r="S632" i="11"/>
  <c r="S30" i="11"/>
  <c r="S242" i="11"/>
  <c r="S523" i="11"/>
  <c r="S505" i="11"/>
  <c r="S626" i="11"/>
  <c r="S187" i="11"/>
  <c r="S446" i="11"/>
  <c r="S395" i="11"/>
  <c r="S343" i="11"/>
  <c r="S8" i="11"/>
  <c r="S225" i="11"/>
  <c r="S347" i="11"/>
  <c r="S175" i="11"/>
  <c r="S31" i="11"/>
  <c r="S338" i="11"/>
  <c r="S106" i="11"/>
  <c r="S246" i="11"/>
  <c r="S551" i="11"/>
  <c r="S559" i="11"/>
  <c r="S294" i="11"/>
  <c r="S28" i="11"/>
  <c r="S195" i="11"/>
  <c r="S228" i="11"/>
  <c r="S648" i="11"/>
  <c r="S329" i="11"/>
  <c r="S677" i="11"/>
  <c r="S209" i="11"/>
  <c r="S96" i="11"/>
  <c r="S369" i="11"/>
  <c r="S658" i="11"/>
  <c r="S239" i="11"/>
  <c r="S491" i="11"/>
  <c r="S649" i="11"/>
  <c r="M2" i="9"/>
  <c r="K2" i="9"/>
  <c r="N119" i="9" l="1"/>
  <c r="N112" i="9"/>
  <c r="O225" i="9"/>
  <c r="P225" i="9"/>
  <c r="R225" i="9" s="1"/>
  <c r="S225" i="9" s="1"/>
  <c r="N114" i="9"/>
  <c r="N99" i="9"/>
  <c r="L15" i="9"/>
  <c r="L79" i="9"/>
  <c r="L143" i="9"/>
  <c r="L207" i="9"/>
  <c r="L54" i="9"/>
  <c r="L8" i="9"/>
  <c r="L72" i="9"/>
  <c r="L136" i="9"/>
  <c r="L200" i="9"/>
  <c r="L57" i="9"/>
  <c r="L121" i="9"/>
  <c r="L185" i="9"/>
  <c r="L190" i="9"/>
  <c r="L59" i="9"/>
  <c r="L123" i="9"/>
  <c r="L187" i="9"/>
  <c r="L20" i="9"/>
  <c r="L84" i="9"/>
  <c r="L148" i="9"/>
  <c r="L212" i="9"/>
  <c r="N212" i="9" s="1"/>
  <c r="L21" i="9"/>
  <c r="L93" i="9"/>
  <c r="L157" i="9"/>
  <c r="L229" i="9"/>
  <c r="N229" i="9" s="1"/>
  <c r="L94" i="9"/>
  <c r="N48" i="9"/>
  <c r="N216" i="9"/>
  <c r="N161" i="9"/>
  <c r="O227" i="9"/>
  <c r="R227" i="9" s="1"/>
  <c r="S227" i="9" s="1"/>
  <c r="P227" i="9"/>
  <c r="L39" i="9"/>
  <c r="L103" i="9"/>
  <c r="L167" i="9"/>
  <c r="L231" i="9"/>
  <c r="N17" i="9"/>
  <c r="N81" i="9"/>
  <c r="N145" i="9"/>
  <c r="N209" i="9"/>
  <c r="N10" i="9"/>
  <c r="N74" i="9"/>
  <c r="N138" i="9"/>
  <c r="N202" i="9"/>
  <c r="N19" i="9"/>
  <c r="N83" i="9"/>
  <c r="N147" i="9"/>
  <c r="N211" i="9"/>
  <c r="L4" i="9"/>
  <c r="N44" i="9"/>
  <c r="N108" i="9"/>
  <c r="N172" i="9"/>
  <c r="N110" i="9"/>
  <c r="N45" i="9"/>
  <c r="N117" i="9"/>
  <c r="N189" i="9"/>
  <c r="N63" i="9"/>
  <c r="N127" i="9"/>
  <c r="N191" i="9"/>
  <c r="N32" i="9"/>
  <c r="N96" i="9"/>
  <c r="N160" i="9"/>
  <c r="N224" i="9"/>
  <c r="N78" i="9"/>
  <c r="N41" i="9"/>
  <c r="N105" i="9"/>
  <c r="N169" i="9"/>
  <c r="N46" i="9"/>
  <c r="N166" i="9"/>
  <c r="N34" i="9"/>
  <c r="N58" i="9"/>
  <c r="N98" i="9"/>
  <c r="N122" i="9"/>
  <c r="N162" i="9"/>
  <c r="N186" i="9"/>
  <c r="O226" i="9"/>
  <c r="R226" i="9" s="1"/>
  <c r="S226" i="9" s="1"/>
  <c r="P226" i="9"/>
  <c r="L43" i="9"/>
  <c r="L107" i="9"/>
  <c r="N171" i="9"/>
  <c r="N28" i="9"/>
  <c r="N68" i="9"/>
  <c r="N92" i="9"/>
  <c r="N132" i="9"/>
  <c r="N156" i="9"/>
  <c r="L196" i="9"/>
  <c r="N196" i="9" s="1"/>
  <c r="N220" i="9"/>
  <c r="N5" i="9"/>
  <c r="N77" i="9"/>
  <c r="N141" i="9"/>
  <c r="P213" i="9"/>
  <c r="O213" i="9"/>
  <c r="R213" i="9" s="1"/>
  <c r="S213" i="9" s="1"/>
  <c r="L69" i="9"/>
  <c r="N88" i="9"/>
  <c r="N163" i="9"/>
  <c r="P205" i="9"/>
  <c r="O205" i="9"/>
  <c r="R205" i="9" s="1"/>
  <c r="S205" i="9" s="1"/>
  <c r="L23" i="9"/>
  <c r="L87" i="9"/>
  <c r="L151" i="9"/>
  <c r="L215" i="9"/>
  <c r="L118" i="9"/>
  <c r="L16" i="9"/>
  <c r="L56" i="9"/>
  <c r="L80" i="9"/>
  <c r="L120" i="9"/>
  <c r="L144" i="9"/>
  <c r="L184" i="9"/>
  <c r="L208" i="9"/>
  <c r="L214" i="9"/>
  <c r="N214" i="9" s="1"/>
  <c r="L65" i="9"/>
  <c r="L129" i="9"/>
  <c r="L193" i="9"/>
  <c r="L18" i="9"/>
  <c r="L82" i="9"/>
  <c r="L146" i="9"/>
  <c r="L210" i="9"/>
  <c r="N210" i="9" s="1"/>
  <c r="L86" i="9"/>
  <c r="L3" i="9"/>
  <c r="L67" i="9"/>
  <c r="L131" i="9"/>
  <c r="L195" i="9"/>
  <c r="N195" i="9" s="1"/>
  <c r="L102" i="9"/>
  <c r="L22" i="9"/>
  <c r="L29" i="9"/>
  <c r="L101" i="9"/>
  <c r="L165" i="9"/>
  <c r="N183" i="9"/>
  <c r="N176" i="9"/>
  <c r="N33" i="9"/>
  <c r="N178" i="9"/>
  <c r="N61" i="9"/>
  <c r="F2" i="12"/>
  <c r="J2" i="9"/>
  <c r="L2" i="9" s="1"/>
  <c r="N47" i="9"/>
  <c r="N111" i="9"/>
  <c r="N175" i="9"/>
  <c r="N30" i="9"/>
  <c r="N40" i="9"/>
  <c r="N104" i="9"/>
  <c r="N168" i="9"/>
  <c r="N126" i="9"/>
  <c r="N25" i="9"/>
  <c r="N89" i="9"/>
  <c r="N153" i="9"/>
  <c r="O217" i="9"/>
  <c r="P217" i="9"/>
  <c r="L70" i="9"/>
  <c r="N27" i="9"/>
  <c r="N91" i="9"/>
  <c r="N155" i="9"/>
  <c r="O219" i="9"/>
  <c r="P219" i="9"/>
  <c r="N52" i="9"/>
  <c r="N116" i="9"/>
  <c r="N180" i="9"/>
  <c r="N174" i="9"/>
  <c r="N53" i="9"/>
  <c r="N125" i="9"/>
  <c r="P197" i="9"/>
  <c r="O197" i="9"/>
  <c r="N150" i="9"/>
  <c r="N55" i="9"/>
  <c r="N158" i="9"/>
  <c r="N97" i="9"/>
  <c r="N50" i="9"/>
  <c r="N6" i="9"/>
  <c r="P206" i="9"/>
  <c r="O206" i="9"/>
  <c r="R206" i="9" s="1"/>
  <c r="S206" i="9" s="1"/>
  <c r="N133" i="9"/>
  <c r="L7" i="9"/>
  <c r="L71" i="9"/>
  <c r="L135" i="9"/>
  <c r="L199" i="9"/>
  <c r="N49" i="9"/>
  <c r="N113" i="9"/>
  <c r="L177" i="9"/>
  <c r="L222" i="9"/>
  <c r="N222" i="9" s="1"/>
  <c r="N42" i="9"/>
  <c r="N106" i="9"/>
  <c r="N170" i="9"/>
  <c r="L51" i="9"/>
  <c r="L115" i="9"/>
  <c r="L179" i="9"/>
  <c r="N12" i="9"/>
  <c r="N76" i="9"/>
  <c r="N140" i="9"/>
  <c r="N204" i="9"/>
  <c r="N62" i="9"/>
  <c r="L13" i="9"/>
  <c r="L85" i="9"/>
  <c r="L149" i="9"/>
  <c r="L221" i="9"/>
  <c r="N221" i="9" s="1"/>
  <c r="N14" i="9"/>
  <c r="N173" i="9"/>
  <c r="N152" i="9"/>
  <c r="N134" i="9"/>
  <c r="N35" i="9"/>
  <c r="L31" i="9"/>
  <c r="L95" i="9"/>
  <c r="L159" i="9"/>
  <c r="L223" i="9"/>
  <c r="N182" i="9"/>
  <c r="N24" i="9"/>
  <c r="N64" i="9"/>
  <c r="N128" i="9"/>
  <c r="N192" i="9"/>
  <c r="L38" i="9"/>
  <c r="N9" i="9"/>
  <c r="N73" i="9"/>
  <c r="N137" i="9"/>
  <c r="N201" i="9"/>
  <c r="L26" i="9"/>
  <c r="N66" i="9"/>
  <c r="L90" i="9"/>
  <c r="N130" i="9"/>
  <c r="L154" i="9"/>
  <c r="L194" i="9"/>
  <c r="L218" i="9"/>
  <c r="N218" i="9" s="1"/>
  <c r="L142" i="9"/>
  <c r="N11" i="9"/>
  <c r="N75" i="9"/>
  <c r="N139" i="9"/>
  <c r="N203" i="9"/>
  <c r="L36" i="9"/>
  <c r="L60" i="9"/>
  <c r="L100" i="9"/>
  <c r="L124" i="9"/>
  <c r="L164" i="9"/>
  <c r="L188" i="9"/>
  <c r="L228" i="9"/>
  <c r="N228" i="9" s="1"/>
  <c r="L230" i="9"/>
  <c r="N230" i="9" s="1"/>
  <c r="L37" i="9"/>
  <c r="L109" i="9"/>
  <c r="L181" i="9"/>
  <c r="L198" i="9"/>
  <c r="N198" i="9" s="1"/>
  <c r="Q2" i="9"/>
  <c r="N2" i="9"/>
  <c r="O218" i="9" l="1"/>
  <c r="P218" i="9"/>
  <c r="P214" i="9"/>
  <c r="O214" i="9"/>
  <c r="P77" i="9"/>
  <c r="O77" i="9"/>
  <c r="R77" i="9" s="1"/>
  <c r="S77" i="9" s="1"/>
  <c r="P224" i="9"/>
  <c r="O224" i="9"/>
  <c r="R224" i="9" s="1"/>
  <c r="S224" i="9" s="1"/>
  <c r="N93" i="9"/>
  <c r="N8" i="9"/>
  <c r="P228" i="9"/>
  <c r="O228" i="9"/>
  <c r="R228" i="9" s="1"/>
  <c r="S228" i="9" s="1"/>
  <c r="O139" i="9"/>
  <c r="P139" i="9"/>
  <c r="N194" i="9"/>
  <c r="O201" i="9"/>
  <c r="P201" i="9"/>
  <c r="P192" i="9"/>
  <c r="O192" i="9"/>
  <c r="R192" i="9" s="1"/>
  <c r="S192" i="9" s="1"/>
  <c r="P182" i="9"/>
  <c r="O182" i="9"/>
  <c r="R182" i="9" s="1"/>
  <c r="S182" i="9" s="1"/>
  <c r="P134" i="9"/>
  <c r="O134" i="9"/>
  <c r="R134" i="9" s="1"/>
  <c r="S134" i="9" s="1"/>
  <c r="P221" i="9"/>
  <c r="O221" i="9"/>
  <c r="P140" i="9"/>
  <c r="O140" i="9"/>
  <c r="R140" i="9" s="1"/>
  <c r="S140" i="9" s="1"/>
  <c r="N51" i="9"/>
  <c r="N177" i="9"/>
  <c r="N7" i="9"/>
  <c r="R219" i="9"/>
  <c r="S219" i="9" s="1"/>
  <c r="R217" i="9"/>
  <c r="S217" i="9" s="1"/>
  <c r="P126" i="9"/>
  <c r="O126" i="9"/>
  <c r="R126" i="9" s="1"/>
  <c r="S126" i="9" s="1"/>
  <c r="P40" i="9"/>
  <c r="O40" i="9"/>
  <c r="R40" i="9" s="1"/>
  <c r="S40" i="9" s="1"/>
  <c r="P47" i="9"/>
  <c r="O47" i="9"/>
  <c r="P33" i="9"/>
  <c r="O33" i="9"/>
  <c r="R33" i="9" s="1"/>
  <c r="S33" i="9" s="1"/>
  <c r="N29" i="9"/>
  <c r="O210" i="9"/>
  <c r="P210" i="9"/>
  <c r="N208" i="9"/>
  <c r="N215" i="9"/>
  <c r="P88" i="9"/>
  <c r="O88" i="9"/>
  <c r="R88" i="9" s="1"/>
  <c r="S88" i="9" s="1"/>
  <c r="P132" i="9"/>
  <c r="O132" i="9"/>
  <c r="R132" i="9" s="1"/>
  <c r="S132" i="9" s="1"/>
  <c r="P171" i="9"/>
  <c r="O171" i="9"/>
  <c r="P162" i="9"/>
  <c r="O162" i="9"/>
  <c r="R162" i="9" s="1"/>
  <c r="S162" i="9" s="1"/>
  <c r="P34" i="9"/>
  <c r="O34" i="9"/>
  <c r="R34" i="9" s="1"/>
  <c r="S34" i="9" s="1"/>
  <c r="P105" i="9"/>
  <c r="O105" i="9"/>
  <c r="R105" i="9" s="1"/>
  <c r="S105" i="9" s="1"/>
  <c r="P160" i="9"/>
  <c r="O160" i="9"/>
  <c r="P127" i="9"/>
  <c r="O127" i="9"/>
  <c r="R127" i="9" s="1"/>
  <c r="S127" i="9" s="1"/>
  <c r="P45" i="9"/>
  <c r="O45" i="9"/>
  <c r="R45" i="9" s="1"/>
  <c r="S45" i="9" s="1"/>
  <c r="P44" i="9"/>
  <c r="O44" i="9"/>
  <c r="R44" i="9" s="1"/>
  <c r="S44" i="9" s="1"/>
  <c r="O19" i="9"/>
  <c r="R19" i="9" s="1"/>
  <c r="S19" i="9" s="1"/>
  <c r="P19" i="9"/>
  <c r="N231" i="9"/>
  <c r="N21" i="9"/>
  <c r="N190" i="9"/>
  <c r="N54" i="9"/>
  <c r="N124" i="9"/>
  <c r="N13" i="9"/>
  <c r="N181" i="9"/>
  <c r="O203" i="9"/>
  <c r="R203" i="9" s="1"/>
  <c r="S203" i="9" s="1"/>
  <c r="P203" i="9"/>
  <c r="N38" i="9"/>
  <c r="P204" i="9"/>
  <c r="O204" i="9"/>
  <c r="R204" i="9" s="1"/>
  <c r="S204" i="9" s="1"/>
  <c r="P222" i="9"/>
  <c r="O222" i="9"/>
  <c r="R222" i="9" s="1"/>
  <c r="S222" i="9" s="1"/>
  <c r="O50" i="9"/>
  <c r="R50" i="9" s="1"/>
  <c r="S50" i="9" s="1"/>
  <c r="P50" i="9"/>
  <c r="P174" i="9"/>
  <c r="O174" i="9"/>
  <c r="R174" i="9" s="1"/>
  <c r="S174" i="9" s="1"/>
  <c r="N70" i="9"/>
  <c r="N101" i="9"/>
  <c r="N86" i="9"/>
  <c r="P10" i="9"/>
  <c r="O10" i="9"/>
  <c r="R10" i="9" s="1"/>
  <c r="S10" i="9" s="1"/>
  <c r="N59" i="9"/>
  <c r="P114" i="9"/>
  <c r="O114" i="9"/>
  <c r="R114" i="9" s="1"/>
  <c r="S114" i="9" s="1"/>
  <c r="N188" i="9"/>
  <c r="N154" i="9"/>
  <c r="P137" i="9"/>
  <c r="O137" i="9"/>
  <c r="R137" i="9" s="1"/>
  <c r="S137" i="9" s="1"/>
  <c r="N149" i="9"/>
  <c r="P170" i="9"/>
  <c r="O170" i="9"/>
  <c r="P113" i="9"/>
  <c r="O113" i="9"/>
  <c r="R113" i="9" s="1"/>
  <c r="S113" i="9" s="1"/>
  <c r="P133" i="9"/>
  <c r="O133" i="9"/>
  <c r="R133" i="9" s="1"/>
  <c r="S133" i="9" s="1"/>
  <c r="P97" i="9"/>
  <c r="O97" i="9"/>
  <c r="R97" i="9" s="1"/>
  <c r="S97" i="9" s="1"/>
  <c r="R197" i="9"/>
  <c r="S197" i="9" s="1"/>
  <c r="P180" i="9"/>
  <c r="O180" i="9"/>
  <c r="R180" i="9" s="1"/>
  <c r="S180" i="9" s="1"/>
  <c r="O155" i="9"/>
  <c r="R155" i="9" s="1"/>
  <c r="S155" i="9" s="1"/>
  <c r="P155" i="9"/>
  <c r="N22" i="9"/>
  <c r="N146" i="9"/>
  <c r="N184" i="9"/>
  <c r="N151" i="9"/>
  <c r="P5" i="9"/>
  <c r="O5" i="9"/>
  <c r="O209" i="9"/>
  <c r="P209" i="9"/>
  <c r="N167" i="9"/>
  <c r="P216" i="9"/>
  <c r="O216" i="9"/>
  <c r="P212" i="9"/>
  <c r="O212" i="9"/>
  <c r="N185" i="9"/>
  <c r="N207" i="9"/>
  <c r="P106" i="9"/>
  <c r="O106" i="9"/>
  <c r="P230" i="9"/>
  <c r="O230" i="9"/>
  <c r="N26" i="9"/>
  <c r="N115" i="9"/>
  <c r="N71" i="9"/>
  <c r="P150" i="9"/>
  <c r="O150" i="9"/>
  <c r="N118" i="9"/>
  <c r="N164" i="9"/>
  <c r="O75" i="9"/>
  <c r="R75" i="9" s="1"/>
  <c r="S75" i="9" s="1"/>
  <c r="P75" i="9"/>
  <c r="P130" i="9"/>
  <c r="O130" i="9"/>
  <c r="P128" i="9"/>
  <c r="O128" i="9"/>
  <c r="N223" i="9"/>
  <c r="P152" i="9"/>
  <c r="O152" i="9"/>
  <c r="N85" i="9"/>
  <c r="P76" i="9"/>
  <c r="O76" i="9"/>
  <c r="P153" i="9"/>
  <c r="O153" i="9"/>
  <c r="R153" i="9" s="1"/>
  <c r="S153" i="9" s="1"/>
  <c r="O30" i="9"/>
  <c r="R30" i="9" s="1"/>
  <c r="S30" i="9" s="1"/>
  <c r="P30" i="9"/>
  <c r="P176" i="9"/>
  <c r="O176" i="9"/>
  <c r="N102" i="9"/>
  <c r="N82" i="9"/>
  <c r="N144" i="9"/>
  <c r="N87" i="9"/>
  <c r="N69" i="9"/>
  <c r="P92" i="9"/>
  <c r="O92" i="9"/>
  <c r="R92" i="9" s="1"/>
  <c r="S92" i="9" s="1"/>
  <c r="N107" i="9"/>
  <c r="P122" i="9"/>
  <c r="O122" i="9"/>
  <c r="P166" i="9"/>
  <c r="O166" i="9"/>
  <c r="P41" i="9"/>
  <c r="O41" i="9"/>
  <c r="R41" i="9" s="1"/>
  <c r="S41" i="9" s="1"/>
  <c r="P96" i="9"/>
  <c r="O96" i="9"/>
  <c r="P63" i="9"/>
  <c r="O63" i="9"/>
  <c r="O110" i="9"/>
  <c r="R110" i="9" s="1"/>
  <c r="S110" i="9" s="1"/>
  <c r="P110" i="9"/>
  <c r="N4" i="9"/>
  <c r="O202" i="9"/>
  <c r="R202" i="9" s="1"/>
  <c r="S202" i="9" s="1"/>
  <c r="P202" i="9"/>
  <c r="P145" i="9"/>
  <c r="O145" i="9"/>
  <c r="N103" i="9"/>
  <c r="P48" i="9"/>
  <c r="O48" i="9"/>
  <c r="R48" i="9" s="1"/>
  <c r="S48" i="9" s="1"/>
  <c r="N148" i="9"/>
  <c r="N121" i="9"/>
  <c r="N143" i="9"/>
  <c r="P125" i="9"/>
  <c r="O125" i="9"/>
  <c r="R125" i="9" s="1"/>
  <c r="S125" i="9" s="1"/>
  <c r="P116" i="9"/>
  <c r="O116" i="9"/>
  <c r="O91" i="9"/>
  <c r="R91" i="9" s="1"/>
  <c r="S91" i="9" s="1"/>
  <c r="P91" i="9"/>
  <c r="P232" i="9"/>
  <c r="O232" i="9"/>
  <c r="O195" i="9"/>
  <c r="P195" i="9"/>
  <c r="N18" i="9"/>
  <c r="N120" i="9"/>
  <c r="N23" i="9"/>
  <c r="N43" i="9"/>
  <c r="O211" i="9"/>
  <c r="R211" i="9" s="1"/>
  <c r="S211" i="9" s="1"/>
  <c r="P211" i="9"/>
  <c r="P138" i="9"/>
  <c r="O138" i="9"/>
  <c r="N39" i="9"/>
  <c r="N84" i="9"/>
  <c r="N57" i="9"/>
  <c r="N79" i="9"/>
  <c r="P112" i="9"/>
  <c r="O112" i="9"/>
  <c r="R112" i="9" s="1"/>
  <c r="S112" i="9" s="1"/>
  <c r="P11" i="9"/>
  <c r="O11" i="9"/>
  <c r="R11" i="9" s="1"/>
  <c r="S11" i="9" s="1"/>
  <c r="N95" i="9"/>
  <c r="P173" i="9"/>
  <c r="O173" i="9"/>
  <c r="O62" i="9"/>
  <c r="P62" i="9"/>
  <c r="P12" i="9"/>
  <c r="O12" i="9"/>
  <c r="R12" i="9" s="1"/>
  <c r="S12" i="9" s="1"/>
  <c r="P89" i="9"/>
  <c r="O89" i="9"/>
  <c r="P168" i="9"/>
  <c r="O168" i="9"/>
  <c r="P175" i="9"/>
  <c r="O175" i="9"/>
  <c r="R175" i="9" s="1"/>
  <c r="S175" i="9" s="1"/>
  <c r="P61" i="9"/>
  <c r="O61" i="9"/>
  <c r="R61" i="9" s="1"/>
  <c r="S61" i="9" s="1"/>
  <c r="O183" i="9"/>
  <c r="R183" i="9" s="1"/>
  <c r="S183" i="9" s="1"/>
  <c r="P183" i="9"/>
  <c r="N131" i="9"/>
  <c r="N193" i="9"/>
  <c r="N80" i="9"/>
  <c r="P220" i="9"/>
  <c r="O220" i="9"/>
  <c r="P68" i="9"/>
  <c r="O68" i="9"/>
  <c r="P98" i="9"/>
  <c r="O98" i="9"/>
  <c r="R98" i="9" s="1"/>
  <c r="S98" i="9" s="1"/>
  <c r="P46" i="9"/>
  <c r="O46" i="9"/>
  <c r="R46" i="9" s="1"/>
  <c r="S46" i="9" s="1"/>
  <c r="O78" i="9"/>
  <c r="R78" i="9" s="1"/>
  <c r="S78" i="9" s="1"/>
  <c r="P78" i="9"/>
  <c r="P32" i="9"/>
  <c r="O32" i="9"/>
  <c r="P189" i="9"/>
  <c r="O189" i="9"/>
  <c r="R189" i="9" s="1"/>
  <c r="S189" i="9" s="1"/>
  <c r="P172" i="9"/>
  <c r="O172" i="9"/>
  <c r="R172" i="9" s="1"/>
  <c r="S172" i="9" s="1"/>
  <c r="O147" i="9"/>
  <c r="R147" i="9" s="1"/>
  <c r="S147" i="9" s="1"/>
  <c r="P147" i="9"/>
  <c r="P81" i="9"/>
  <c r="O81" i="9"/>
  <c r="N94" i="9"/>
  <c r="N20" i="9"/>
  <c r="N200" i="9"/>
  <c r="N15" i="9"/>
  <c r="N159" i="9"/>
  <c r="P158" i="9"/>
  <c r="O158" i="9"/>
  <c r="R158" i="9" s="1"/>
  <c r="S158" i="9" s="1"/>
  <c r="N90" i="9"/>
  <c r="P64" i="9"/>
  <c r="O64" i="9"/>
  <c r="N109" i="9"/>
  <c r="N60" i="9"/>
  <c r="P66" i="9"/>
  <c r="O66" i="9"/>
  <c r="P9" i="9"/>
  <c r="O9" i="9"/>
  <c r="N31" i="9"/>
  <c r="P42" i="9"/>
  <c r="O42" i="9"/>
  <c r="R42" i="9" s="1"/>
  <c r="S42" i="9" s="1"/>
  <c r="N199" i="9"/>
  <c r="O6" i="9"/>
  <c r="R6" i="9" s="1"/>
  <c r="S6" i="9" s="1"/>
  <c r="P6" i="9"/>
  <c r="P55" i="9"/>
  <c r="O55" i="9"/>
  <c r="R55" i="9" s="1"/>
  <c r="S55" i="9" s="1"/>
  <c r="P53" i="9"/>
  <c r="O53" i="9"/>
  <c r="R53" i="9" s="1"/>
  <c r="S53" i="9" s="1"/>
  <c r="P52" i="9"/>
  <c r="O52" i="9"/>
  <c r="O27" i="9"/>
  <c r="R27" i="9" s="1"/>
  <c r="S27" i="9" s="1"/>
  <c r="P27" i="9"/>
  <c r="N67" i="9"/>
  <c r="N129" i="9"/>
  <c r="N56" i="9"/>
  <c r="P141" i="9"/>
  <c r="O141" i="9"/>
  <c r="P196" i="9"/>
  <c r="O196" i="9"/>
  <c r="R196" i="9" s="1"/>
  <c r="S196" i="9" s="1"/>
  <c r="P74" i="9"/>
  <c r="O74" i="9"/>
  <c r="R74" i="9" s="1"/>
  <c r="S74" i="9" s="1"/>
  <c r="P229" i="9"/>
  <c r="O229" i="9"/>
  <c r="N187" i="9"/>
  <c r="N136" i="9"/>
  <c r="O99" i="9"/>
  <c r="P99" i="9"/>
  <c r="P119" i="9"/>
  <c r="O119" i="9"/>
  <c r="P198" i="9"/>
  <c r="O198" i="9"/>
  <c r="P73" i="9"/>
  <c r="O73" i="9"/>
  <c r="R73" i="9" s="1"/>
  <c r="S73" i="9" s="1"/>
  <c r="P49" i="9"/>
  <c r="O49" i="9"/>
  <c r="R49" i="9" s="1"/>
  <c r="S49" i="9" s="1"/>
  <c r="N100" i="9"/>
  <c r="N37" i="9"/>
  <c r="N36" i="9"/>
  <c r="N142" i="9"/>
  <c r="P24" i="9"/>
  <c r="O24" i="9"/>
  <c r="O35" i="9"/>
  <c r="R35" i="9" s="1"/>
  <c r="S35" i="9" s="1"/>
  <c r="P35" i="9"/>
  <c r="P14" i="9"/>
  <c r="O14" i="9"/>
  <c r="R14" i="9" s="1"/>
  <c r="S14" i="9" s="1"/>
  <c r="N179" i="9"/>
  <c r="N135" i="9"/>
  <c r="P25" i="9"/>
  <c r="O25" i="9"/>
  <c r="P104" i="9"/>
  <c r="O104" i="9"/>
  <c r="R104" i="9" s="1"/>
  <c r="S104" i="9" s="1"/>
  <c r="O111" i="9"/>
  <c r="P111" i="9"/>
  <c r="P178" i="9"/>
  <c r="O178" i="9"/>
  <c r="N165" i="9"/>
  <c r="N3" i="9"/>
  <c r="N65" i="9"/>
  <c r="N16" i="9"/>
  <c r="P163" i="9"/>
  <c r="O163" i="9"/>
  <c r="P156" i="9"/>
  <c r="O156" i="9"/>
  <c r="R156" i="9" s="1"/>
  <c r="S156" i="9" s="1"/>
  <c r="O28" i="9"/>
  <c r="P28" i="9"/>
  <c r="P186" i="9"/>
  <c r="O186" i="9"/>
  <c r="P58" i="9"/>
  <c r="O58" i="9"/>
  <c r="P169" i="9"/>
  <c r="O169" i="9"/>
  <c r="R169" i="9" s="1"/>
  <c r="S169" i="9" s="1"/>
  <c r="O191" i="9"/>
  <c r="P191" i="9"/>
  <c r="P117" i="9"/>
  <c r="O117" i="9"/>
  <c r="P108" i="9"/>
  <c r="O108" i="9"/>
  <c r="O83" i="9"/>
  <c r="P83" i="9"/>
  <c r="P17" i="9"/>
  <c r="O17" i="9"/>
  <c r="R17" i="9" s="1"/>
  <c r="S17" i="9" s="1"/>
  <c r="P161" i="9"/>
  <c r="O161" i="9"/>
  <c r="N157" i="9"/>
  <c r="N123" i="9"/>
  <c r="N72" i="9"/>
  <c r="O2" i="9"/>
  <c r="P2" i="9"/>
  <c r="O59" i="9" l="1"/>
  <c r="R59" i="9" s="1"/>
  <c r="S59" i="9" s="1"/>
  <c r="P59" i="9"/>
  <c r="O70" i="9"/>
  <c r="R70" i="9" s="1"/>
  <c r="S70" i="9" s="1"/>
  <c r="P70" i="9"/>
  <c r="P29" i="9"/>
  <c r="O29" i="9"/>
  <c r="R29" i="9" s="1"/>
  <c r="S29" i="9" s="1"/>
  <c r="O51" i="9"/>
  <c r="P51" i="9"/>
  <c r="R161" i="9"/>
  <c r="S161" i="9" s="1"/>
  <c r="R117" i="9"/>
  <c r="S117" i="9" s="1"/>
  <c r="R186" i="9"/>
  <c r="S186" i="9" s="1"/>
  <c r="P16" i="9"/>
  <c r="O16" i="9"/>
  <c r="R16" i="9" s="1"/>
  <c r="S16" i="9" s="1"/>
  <c r="R178" i="9"/>
  <c r="S178" i="9" s="1"/>
  <c r="P135" i="9"/>
  <c r="O135" i="9"/>
  <c r="R135" i="9" s="1"/>
  <c r="S135" i="9" s="1"/>
  <c r="R24" i="9"/>
  <c r="S24" i="9" s="1"/>
  <c r="P100" i="9"/>
  <c r="O100" i="9"/>
  <c r="R100" i="9" s="1"/>
  <c r="S100" i="9" s="1"/>
  <c r="R119" i="9"/>
  <c r="S119" i="9" s="1"/>
  <c r="R229" i="9"/>
  <c r="S229" i="9" s="1"/>
  <c r="P56" i="9"/>
  <c r="O56" i="9"/>
  <c r="R56" i="9" s="1"/>
  <c r="S56" i="9" s="1"/>
  <c r="R52" i="9"/>
  <c r="S52" i="9" s="1"/>
  <c r="R66" i="9"/>
  <c r="S66" i="9" s="1"/>
  <c r="P90" i="9"/>
  <c r="O90" i="9"/>
  <c r="R90" i="9" s="1"/>
  <c r="S90" i="9" s="1"/>
  <c r="R220" i="9"/>
  <c r="S220" i="9" s="1"/>
  <c r="R89" i="9"/>
  <c r="S89" i="9" s="1"/>
  <c r="O95" i="9"/>
  <c r="P95" i="9"/>
  <c r="P57" i="9"/>
  <c r="O57" i="9"/>
  <c r="O18" i="9"/>
  <c r="P18" i="9"/>
  <c r="R116" i="9"/>
  <c r="S116" i="9" s="1"/>
  <c r="P148" i="9"/>
  <c r="O148" i="9"/>
  <c r="R148" i="9" s="1"/>
  <c r="S148" i="9" s="1"/>
  <c r="R96" i="9"/>
  <c r="S96" i="9" s="1"/>
  <c r="O107" i="9"/>
  <c r="R107" i="9" s="1"/>
  <c r="S107" i="9" s="1"/>
  <c r="P107" i="9"/>
  <c r="P144" i="9"/>
  <c r="O144" i="9"/>
  <c r="R144" i="9" s="1"/>
  <c r="S144" i="9" s="1"/>
  <c r="R152" i="9"/>
  <c r="S152" i="9" s="1"/>
  <c r="O71" i="9"/>
  <c r="P71" i="9"/>
  <c r="R106" i="9"/>
  <c r="S106" i="9" s="1"/>
  <c r="R216" i="9"/>
  <c r="S216" i="9" s="1"/>
  <c r="P151" i="9"/>
  <c r="O151" i="9"/>
  <c r="R139" i="9"/>
  <c r="S139" i="9" s="1"/>
  <c r="P21" i="9"/>
  <c r="O21" i="9"/>
  <c r="R21" i="9" s="1"/>
  <c r="S21" i="9" s="1"/>
  <c r="P200" i="9"/>
  <c r="O200" i="9"/>
  <c r="R200" i="9" s="1"/>
  <c r="S200" i="9" s="1"/>
  <c r="P154" i="9"/>
  <c r="O154" i="9"/>
  <c r="O38" i="9"/>
  <c r="P38" i="9"/>
  <c r="P124" i="9"/>
  <c r="O124" i="9"/>
  <c r="R124" i="9" s="1"/>
  <c r="S124" i="9" s="1"/>
  <c r="P13" i="9"/>
  <c r="O13" i="9"/>
  <c r="R13" i="9" s="1"/>
  <c r="S13" i="9" s="1"/>
  <c r="P199" i="9"/>
  <c r="O199" i="9"/>
  <c r="P72" i="9"/>
  <c r="O72" i="9"/>
  <c r="R72" i="9" s="1"/>
  <c r="S72" i="9" s="1"/>
  <c r="P179" i="9"/>
  <c r="O179" i="9"/>
  <c r="R179" i="9" s="1"/>
  <c r="S179" i="9" s="1"/>
  <c r="P142" i="9"/>
  <c r="O142" i="9"/>
  <c r="R142" i="9" s="1"/>
  <c r="S142" i="9" s="1"/>
  <c r="O60" i="9"/>
  <c r="R60" i="9" s="1"/>
  <c r="S60" i="9" s="1"/>
  <c r="P60" i="9"/>
  <c r="P20" i="9"/>
  <c r="O20" i="9"/>
  <c r="R20" i="9" s="1"/>
  <c r="S20" i="9" s="1"/>
  <c r="P80" i="9"/>
  <c r="O80" i="9"/>
  <c r="R80" i="9" s="1"/>
  <c r="S80" i="9" s="1"/>
  <c r="P84" i="9"/>
  <c r="O84" i="9"/>
  <c r="R84" i="9" s="1"/>
  <c r="S84" i="9" s="1"/>
  <c r="P43" i="9"/>
  <c r="O43" i="9"/>
  <c r="O4" i="9"/>
  <c r="P4" i="9"/>
  <c r="P82" i="9"/>
  <c r="O82" i="9"/>
  <c r="R82" i="9" s="1"/>
  <c r="S82" i="9" s="1"/>
  <c r="P164" i="9"/>
  <c r="O164" i="9"/>
  <c r="R164" i="9" s="1"/>
  <c r="S164" i="9" s="1"/>
  <c r="O115" i="9"/>
  <c r="R115" i="9" s="1"/>
  <c r="S115" i="9" s="1"/>
  <c r="P115" i="9"/>
  <c r="P167" i="9"/>
  <c r="O167" i="9"/>
  <c r="R167" i="9" s="1"/>
  <c r="S167" i="9" s="1"/>
  <c r="P184" i="9"/>
  <c r="O184" i="9"/>
  <c r="R184" i="9" s="1"/>
  <c r="S184" i="9" s="1"/>
  <c r="P231" i="9"/>
  <c r="O231" i="9"/>
  <c r="R231" i="9" s="1"/>
  <c r="S231" i="9" s="1"/>
  <c r="P215" i="9"/>
  <c r="O215" i="9"/>
  <c r="P65" i="9"/>
  <c r="O65" i="9"/>
  <c r="R65" i="9" s="1"/>
  <c r="S65" i="9" s="1"/>
  <c r="P129" i="9"/>
  <c r="O129" i="9"/>
  <c r="R129" i="9" s="1"/>
  <c r="S129" i="9" s="1"/>
  <c r="R191" i="9"/>
  <c r="S191" i="9" s="1"/>
  <c r="R28" i="9"/>
  <c r="S28" i="9" s="1"/>
  <c r="R111" i="9"/>
  <c r="S111" i="9" s="1"/>
  <c r="R99" i="9"/>
  <c r="S99" i="9" s="1"/>
  <c r="R195" i="9"/>
  <c r="S195" i="9" s="1"/>
  <c r="P223" i="9"/>
  <c r="O223" i="9"/>
  <c r="P207" i="9"/>
  <c r="O207" i="9"/>
  <c r="R170" i="9"/>
  <c r="S170" i="9" s="1"/>
  <c r="P188" i="9"/>
  <c r="O188" i="9"/>
  <c r="O86" i="9"/>
  <c r="P86" i="9"/>
  <c r="P54" i="9"/>
  <c r="O54" i="9"/>
  <c r="R54" i="9" s="1"/>
  <c r="S54" i="9" s="1"/>
  <c r="R160" i="9"/>
  <c r="S160" i="9" s="1"/>
  <c r="R171" i="9"/>
  <c r="S171" i="9" s="1"/>
  <c r="R47" i="9"/>
  <c r="S47" i="9" s="1"/>
  <c r="O7" i="9"/>
  <c r="R7" i="9" s="1"/>
  <c r="S7" i="9" s="1"/>
  <c r="P7" i="9"/>
  <c r="R221" i="9"/>
  <c r="S221" i="9" s="1"/>
  <c r="R201" i="9"/>
  <c r="S201" i="9" s="1"/>
  <c r="P8" i="9"/>
  <c r="O8" i="9"/>
  <c r="R214" i="9"/>
  <c r="S214" i="9" s="1"/>
  <c r="O123" i="9"/>
  <c r="R123" i="9" s="1"/>
  <c r="S123" i="9" s="1"/>
  <c r="P123" i="9"/>
  <c r="O3" i="9"/>
  <c r="P3" i="9"/>
  <c r="O36" i="9"/>
  <c r="P36" i="9"/>
  <c r="P136" i="9"/>
  <c r="O136" i="9"/>
  <c r="R136" i="9" s="1"/>
  <c r="S136" i="9" s="1"/>
  <c r="O67" i="9"/>
  <c r="R67" i="9" s="1"/>
  <c r="S67" i="9" s="1"/>
  <c r="P67" i="9"/>
  <c r="P31" i="9"/>
  <c r="O31" i="9"/>
  <c r="R31" i="9" s="1"/>
  <c r="S31" i="9" s="1"/>
  <c r="P109" i="9"/>
  <c r="O109" i="9"/>
  <c r="R109" i="9" s="1"/>
  <c r="S109" i="9" s="1"/>
  <c r="O159" i="9"/>
  <c r="P159" i="9"/>
  <c r="O94" i="9"/>
  <c r="R94" i="9" s="1"/>
  <c r="S94" i="9" s="1"/>
  <c r="P94" i="9"/>
  <c r="P193" i="9"/>
  <c r="O193" i="9"/>
  <c r="R193" i="9" s="1"/>
  <c r="S193" i="9" s="1"/>
  <c r="O39" i="9"/>
  <c r="P39" i="9"/>
  <c r="P23" i="9"/>
  <c r="O23" i="9"/>
  <c r="R23" i="9" s="1"/>
  <c r="S23" i="9" s="1"/>
  <c r="R232" i="9"/>
  <c r="S232" i="9" s="1"/>
  <c r="P143" i="9"/>
  <c r="O143" i="9"/>
  <c r="O103" i="9"/>
  <c r="R103" i="9" s="1"/>
  <c r="S103" i="9" s="1"/>
  <c r="P103" i="9"/>
  <c r="R166" i="9"/>
  <c r="S166" i="9" s="1"/>
  <c r="O69" i="9"/>
  <c r="P69" i="9"/>
  <c r="O102" i="9"/>
  <c r="R102" i="9" s="1"/>
  <c r="S102" i="9" s="1"/>
  <c r="P102" i="9"/>
  <c r="R76" i="9"/>
  <c r="S76" i="9" s="1"/>
  <c r="R128" i="9"/>
  <c r="S128" i="9" s="1"/>
  <c r="O118" i="9"/>
  <c r="P118" i="9"/>
  <c r="P26" i="9"/>
  <c r="O26" i="9"/>
  <c r="R26" i="9" s="1"/>
  <c r="S26" i="9" s="1"/>
  <c r="P185" i="9"/>
  <c r="O185" i="9"/>
  <c r="R209" i="9"/>
  <c r="S209" i="9" s="1"/>
  <c r="P146" i="9"/>
  <c r="O146" i="9"/>
  <c r="P208" i="9"/>
  <c r="O208" i="9"/>
  <c r="R83" i="9"/>
  <c r="S83" i="9" s="1"/>
  <c r="R62" i="9"/>
  <c r="S62" i="9" s="1"/>
  <c r="P149" i="9"/>
  <c r="O149" i="9"/>
  <c r="P101" i="9"/>
  <c r="O101" i="9"/>
  <c r="P181" i="9"/>
  <c r="O181" i="9"/>
  <c r="P190" i="9"/>
  <c r="O190" i="9"/>
  <c r="R190" i="9" s="1"/>
  <c r="S190" i="9" s="1"/>
  <c r="P177" i="9"/>
  <c r="O177" i="9"/>
  <c r="P194" i="9"/>
  <c r="O194" i="9"/>
  <c r="P93" i="9"/>
  <c r="O93" i="9"/>
  <c r="P157" i="9"/>
  <c r="O157" i="9"/>
  <c r="R157" i="9" s="1"/>
  <c r="S157" i="9" s="1"/>
  <c r="R108" i="9"/>
  <c r="S108" i="9" s="1"/>
  <c r="R58" i="9"/>
  <c r="S58" i="9" s="1"/>
  <c r="R163" i="9"/>
  <c r="S163" i="9" s="1"/>
  <c r="P165" i="9"/>
  <c r="O165" i="9"/>
  <c r="R165" i="9" s="1"/>
  <c r="S165" i="9" s="1"/>
  <c r="R25" i="9"/>
  <c r="S25" i="9" s="1"/>
  <c r="P37" i="9"/>
  <c r="O37" i="9"/>
  <c r="R37" i="9" s="1"/>
  <c r="S37" i="9" s="1"/>
  <c r="R198" i="9"/>
  <c r="S198" i="9" s="1"/>
  <c r="P187" i="9"/>
  <c r="O187" i="9"/>
  <c r="R187" i="9" s="1"/>
  <c r="S187" i="9" s="1"/>
  <c r="R141" i="9"/>
  <c r="S141" i="9" s="1"/>
  <c r="R9" i="9"/>
  <c r="S9" i="9" s="1"/>
  <c r="R64" i="9"/>
  <c r="S64" i="9" s="1"/>
  <c r="P15" i="9"/>
  <c r="O15" i="9"/>
  <c r="R15" i="9" s="1"/>
  <c r="S15" i="9" s="1"/>
  <c r="R81" i="9"/>
  <c r="S81" i="9" s="1"/>
  <c r="R32" i="9"/>
  <c r="S32" i="9" s="1"/>
  <c r="R68" i="9"/>
  <c r="S68" i="9" s="1"/>
  <c r="O131" i="9"/>
  <c r="P131" i="9"/>
  <c r="R168" i="9"/>
  <c r="S168" i="9" s="1"/>
  <c r="R173" i="9"/>
  <c r="S173" i="9" s="1"/>
  <c r="O79" i="9"/>
  <c r="R79" i="9" s="1"/>
  <c r="S79" i="9" s="1"/>
  <c r="P79" i="9"/>
  <c r="R138" i="9"/>
  <c r="S138" i="9" s="1"/>
  <c r="P120" i="9"/>
  <c r="O120" i="9"/>
  <c r="P121" i="9"/>
  <c r="O121" i="9"/>
  <c r="R145" i="9"/>
  <c r="S145" i="9" s="1"/>
  <c r="R63" i="9"/>
  <c r="S63" i="9" s="1"/>
  <c r="R122" i="9"/>
  <c r="S122" i="9" s="1"/>
  <c r="O87" i="9"/>
  <c r="P87" i="9"/>
  <c r="R176" i="9"/>
  <c r="S176" i="9" s="1"/>
  <c r="P85" i="9"/>
  <c r="O85" i="9"/>
  <c r="R130" i="9"/>
  <c r="S130" i="9" s="1"/>
  <c r="R150" i="9"/>
  <c r="S150" i="9" s="1"/>
  <c r="R230" i="9"/>
  <c r="S230" i="9" s="1"/>
  <c r="R212" i="9"/>
  <c r="S212" i="9" s="1"/>
  <c r="R5" i="9"/>
  <c r="S5" i="9" s="1"/>
  <c r="P22" i="9"/>
  <c r="O22" i="9"/>
  <c r="R22" i="9" s="1"/>
  <c r="S22" i="9" s="1"/>
  <c r="R210" i="9"/>
  <c r="S210" i="9" s="1"/>
  <c r="R218" i="9"/>
  <c r="S218" i="9" s="1"/>
  <c r="R2" i="9"/>
  <c r="S2" i="9" s="1"/>
  <c r="S2" i="11"/>
  <c r="T2" i="11" s="1"/>
  <c r="C3" i="12" s="1"/>
  <c r="R51" i="9" l="1"/>
  <c r="S51" i="9" s="1"/>
  <c r="R85" i="9"/>
  <c r="S85" i="9" s="1"/>
  <c r="R121" i="9"/>
  <c r="S121" i="9" s="1"/>
  <c r="R93" i="9"/>
  <c r="S93" i="9" s="1"/>
  <c r="R181" i="9"/>
  <c r="S181" i="9" s="1"/>
  <c r="R208" i="9"/>
  <c r="S208" i="9" s="1"/>
  <c r="R69" i="9"/>
  <c r="S69" i="9" s="1"/>
  <c r="R159" i="9"/>
  <c r="S159" i="9" s="1"/>
  <c r="R8" i="9"/>
  <c r="S8" i="9" s="1"/>
  <c r="R207" i="9"/>
  <c r="S207" i="9" s="1"/>
  <c r="R95" i="9"/>
  <c r="S95" i="9" s="1"/>
  <c r="R71" i="9"/>
  <c r="S71" i="9" s="1"/>
  <c r="R120" i="9"/>
  <c r="S120" i="9" s="1"/>
  <c r="R131" i="9"/>
  <c r="S131" i="9" s="1"/>
  <c r="R194" i="9"/>
  <c r="S194" i="9" s="1"/>
  <c r="R101" i="9"/>
  <c r="S101" i="9" s="1"/>
  <c r="R146" i="9"/>
  <c r="S146" i="9" s="1"/>
  <c r="R118" i="9"/>
  <c r="S118" i="9" s="1"/>
  <c r="R39" i="9"/>
  <c r="S39" i="9" s="1"/>
  <c r="R36" i="9"/>
  <c r="S36" i="9" s="1"/>
  <c r="R223" i="9"/>
  <c r="S223" i="9" s="1"/>
  <c r="R87" i="9"/>
  <c r="S87" i="9" s="1"/>
  <c r="R177" i="9"/>
  <c r="S177" i="9" s="1"/>
  <c r="R149" i="9"/>
  <c r="S149" i="9" s="1"/>
  <c r="R143" i="9"/>
  <c r="S143" i="9" s="1"/>
  <c r="R3" i="9"/>
  <c r="S3" i="9" s="1"/>
  <c r="R86" i="9"/>
  <c r="S86" i="9" s="1"/>
  <c r="R4" i="9"/>
  <c r="S4" i="9" s="1"/>
  <c r="R38" i="9"/>
  <c r="S38" i="9" s="1"/>
  <c r="R151" i="9"/>
  <c r="S151" i="9" s="1"/>
  <c r="R18" i="9"/>
  <c r="S18" i="9" s="1"/>
  <c r="R185" i="9"/>
  <c r="S185" i="9" s="1"/>
  <c r="R188" i="9"/>
  <c r="S188" i="9" s="1"/>
  <c r="R215" i="9"/>
  <c r="S215" i="9" s="1"/>
  <c r="R43" i="9"/>
  <c r="S43" i="9" s="1"/>
  <c r="R199" i="9"/>
  <c r="S199" i="9" s="1"/>
  <c r="R154" i="9"/>
  <c r="S154" i="9" s="1"/>
  <c r="R57" i="9"/>
  <c r="S57" i="9" s="1"/>
  <c r="U2" i="9"/>
  <c r="D2" i="12" l="1"/>
  <c r="U3" i="9"/>
  <c r="T2" i="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Ileana Luna</author>
  </authors>
  <commentList>
    <comment ref="C1" authorId="0" shapeId="0" xr:uid="{BA949D50-D2A4-4173-BAC9-68626F0C82A0}">
      <text>
        <r>
          <rPr>
            <b/>
            <sz val="9"/>
            <color indexed="81"/>
            <rFont val="Tahoma"/>
            <family val="2"/>
          </rPr>
          <t xml:space="preserve">Ileana Luna:
Por favor poner a qué fecha está siendo proporcionada la información.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Ileana Luna</author>
  </authors>
  <commentList>
    <comment ref="C1" authorId="0" shapeId="0" xr:uid="{EBC1AB1D-4CE6-4001-BCDF-54B616541825}">
      <text>
        <r>
          <rPr>
            <b/>
            <sz val="9"/>
            <color indexed="81"/>
            <rFont val="Tahoma"/>
            <family val="2"/>
          </rPr>
          <t xml:space="preserve">Ileana Luna:
Por favor poner a qué fecha está siendo proporcionada la información.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Ileana Luna</author>
  </authors>
  <commentList>
    <comment ref="C1" authorId="0" shapeId="0" xr:uid="{006B5864-C74D-4864-B3BC-DB5A96760EED}">
      <text>
        <r>
          <rPr>
            <b/>
            <sz val="9"/>
            <color indexed="81"/>
            <rFont val="Tahoma"/>
            <family val="2"/>
          </rPr>
          <t xml:space="preserve">Ileana Luna:
Por favor poner a qué fecha está siendo proporcionada la información. </t>
        </r>
      </text>
    </comment>
  </commentList>
</comments>
</file>

<file path=xl/sharedStrings.xml><?xml version="1.0" encoding="utf-8"?>
<sst xmlns="http://schemas.openxmlformats.org/spreadsheetml/2006/main" count="27129" uniqueCount="6392">
  <si>
    <t>Núm. Nómina</t>
  </si>
  <si>
    <t>0000002</t>
  </si>
  <si>
    <t>0000003</t>
  </si>
  <si>
    <t>0000004</t>
  </si>
  <si>
    <t>0000005</t>
  </si>
  <si>
    <t>0000007</t>
  </si>
  <si>
    <t>0000009</t>
  </si>
  <si>
    <t>0000012</t>
  </si>
  <si>
    <t>0000013</t>
  </si>
  <si>
    <t>0000014</t>
  </si>
  <si>
    <t>0000018</t>
  </si>
  <si>
    <t>0000020</t>
  </si>
  <si>
    <t>0000024</t>
  </si>
  <si>
    <t>0000026</t>
  </si>
  <si>
    <t>0000032</t>
  </si>
  <si>
    <t>0000033</t>
  </si>
  <si>
    <t>0000034</t>
  </si>
  <si>
    <t>0000036</t>
  </si>
  <si>
    <t>0000037</t>
  </si>
  <si>
    <t>0000042</t>
  </si>
  <si>
    <t>0000043</t>
  </si>
  <si>
    <t>0000045</t>
  </si>
  <si>
    <t>0000047</t>
  </si>
  <si>
    <t>0000048</t>
  </si>
  <si>
    <t>0000051</t>
  </si>
  <si>
    <t>0000052</t>
  </si>
  <si>
    <t>0000053</t>
  </si>
  <si>
    <t>0000054</t>
  </si>
  <si>
    <t>0000055</t>
  </si>
  <si>
    <t>0000057</t>
  </si>
  <si>
    <t>0000059</t>
  </si>
  <si>
    <t>0000062</t>
  </si>
  <si>
    <t>0000064</t>
  </si>
  <si>
    <t>0000065</t>
  </si>
  <si>
    <t>0000067</t>
  </si>
  <si>
    <t>0000068</t>
  </si>
  <si>
    <t>0000079</t>
  </si>
  <si>
    <t>0000081</t>
  </si>
  <si>
    <t>0000082</t>
  </si>
  <si>
    <t>0000083</t>
  </si>
  <si>
    <t>0000085</t>
  </si>
  <si>
    <t>0000086</t>
  </si>
  <si>
    <t>0000090</t>
  </si>
  <si>
    <t>0000092</t>
  </si>
  <si>
    <t>0000093</t>
  </si>
  <si>
    <t>0000095</t>
  </si>
  <si>
    <t>0000096</t>
  </si>
  <si>
    <t>0000098</t>
  </si>
  <si>
    <t>0000100</t>
  </si>
  <si>
    <t>0000101</t>
  </si>
  <si>
    <t>0000103</t>
  </si>
  <si>
    <t>0000104</t>
  </si>
  <si>
    <t>0000105</t>
  </si>
  <si>
    <t>0000108</t>
  </si>
  <si>
    <t>0000109</t>
  </si>
  <si>
    <t>0000111</t>
  </si>
  <si>
    <t>0000112</t>
  </si>
  <si>
    <t>0000114</t>
  </si>
  <si>
    <t>0000116</t>
  </si>
  <si>
    <t>0000117</t>
  </si>
  <si>
    <t>0000118</t>
  </si>
  <si>
    <t>0000120</t>
  </si>
  <si>
    <t>0000121</t>
  </si>
  <si>
    <t>0000126</t>
  </si>
  <si>
    <t>0000128</t>
  </si>
  <si>
    <t>0000129</t>
  </si>
  <si>
    <t>0000130</t>
  </si>
  <si>
    <t>0000131</t>
  </si>
  <si>
    <t>0000132</t>
  </si>
  <si>
    <t>0000133</t>
  </si>
  <si>
    <t>0000134</t>
  </si>
  <si>
    <t>0000135</t>
  </si>
  <si>
    <t>0000139</t>
  </si>
  <si>
    <t>0000145</t>
  </si>
  <si>
    <t>0000146</t>
  </si>
  <si>
    <t>0000147</t>
  </si>
  <si>
    <t>0000149</t>
  </si>
  <si>
    <t>0000150</t>
  </si>
  <si>
    <t>0000152</t>
  </si>
  <si>
    <t>0000158</t>
  </si>
  <si>
    <t>0000159</t>
  </si>
  <si>
    <t>0000161</t>
  </si>
  <si>
    <t>0000162</t>
  </si>
  <si>
    <t>0000163</t>
  </si>
  <si>
    <t>0000164</t>
  </si>
  <si>
    <t>0000165</t>
  </si>
  <si>
    <t>0000166</t>
  </si>
  <si>
    <t>0000168</t>
  </si>
  <si>
    <t>0000170</t>
  </si>
  <si>
    <t>0000172</t>
  </si>
  <si>
    <t>0000176</t>
  </si>
  <si>
    <t>0000177</t>
  </si>
  <si>
    <t>0000180</t>
  </si>
  <si>
    <t>0000181</t>
  </si>
  <si>
    <t>0000183</t>
  </si>
  <si>
    <t>0000184</t>
  </si>
  <si>
    <t>0000185</t>
  </si>
  <si>
    <t>0000186</t>
  </si>
  <si>
    <t>0000187</t>
  </si>
  <si>
    <t>0000188</t>
  </si>
  <si>
    <t>0000189</t>
  </si>
  <si>
    <t>0000190</t>
  </si>
  <si>
    <t>0000191</t>
  </si>
  <si>
    <t>0000193</t>
  </si>
  <si>
    <t>0000194</t>
  </si>
  <si>
    <t>0000196</t>
  </si>
  <si>
    <t>0000197</t>
  </si>
  <si>
    <t>0000198</t>
  </si>
  <si>
    <t>0000199</t>
  </si>
  <si>
    <t>0000201</t>
  </si>
  <si>
    <t>0000202</t>
  </si>
  <si>
    <t>0000203</t>
  </si>
  <si>
    <t>0000206</t>
  </si>
  <si>
    <t>0000208</t>
  </si>
  <si>
    <t>0000209</t>
  </si>
  <si>
    <t>0000210</t>
  </si>
  <si>
    <t>0000211</t>
  </si>
  <si>
    <t>0000214</t>
  </si>
  <si>
    <t>0000216</t>
  </si>
  <si>
    <t>0000219</t>
  </si>
  <si>
    <t>0000220</t>
  </si>
  <si>
    <t>0000223</t>
  </si>
  <si>
    <t>0000224</t>
  </si>
  <si>
    <t>0000225</t>
  </si>
  <si>
    <t>0000226</t>
  </si>
  <si>
    <t>0000227</t>
  </si>
  <si>
    <t>0000228</t>
  </si>
  <si>
    <t>0000229</t>
  </si>
  <si>
    <t>0000230</t>
  </si>
  <si>
    <t>0000236</t>
  </si>
  <si>
    <t>0000237</t>
  </si>
  <si>
    <t>0000238</t>
  </si>
  <si>
    <t>0000239</t>
  </si>
  <si>
    <t>0000241</t>
  </si>
  <si>
    <t>0000242</t>
  </si>
  <si>
    <t>0000243</t>
  </si>
  <si>
    <t>0000246</t>
  </si>
  <si>
    <t>0000247</t>
  </si>
  <si>
    <t>0000250</t>
  </si>
  <si>
    <t>0000251</t>
  </si>
  <si>
    <t>0000252</t>
  </si>
  <si>
    <t>0000253</t>
  </si>
  <si>
    <t>0000254</t>
  </si>
  <si>
    <t>0000255</t>
  </si>
  <si>
    <t>0000257</t>
  </si>
  <si>
    <t>0000258</t>
  </si>
  <si>
    <t>0000259</t>
  </si>
  <si>
    <t>0000261</t>
  </si>
  <si>
    <t>0000264</t>
  </si>
  <si>
    <t>0000265</t>
  </si>
  <si>
    <t>0000267</t>
  </si>
  <si>
    <t>0000269</t>
  </si>
  <si>
    <t>0000270</t>
  </si>
  <si>
    <t>0000274</t>
  </si>
  <si>
    <t>0000275</t>
  </si>
  <si>
    <t>0000276</t>
  </si>
  <si>
    <t>0000277</t>
  </si>
  <si>
    <t>0000278</t>
  </si>
  <si>
    <t>0000279</t>
  </si>
  <si>
    <t>0000280</t>
  </si>
  <si>
    <t>0000281</t>
  </si>
  <si>
    <t>0000285</t>
  </si>
  <si>
    <t>0000286</t>
  </si>
  <si>
    <t>0000287</t>
  </si>
  <si>
    <t>0000288</t>
  </si>
  <si>
    <t>0000289</t>
  </si>
  <si>
    <t>0000290</t>
  </si>
  <si>
    <t>0000293</t>
  </si>
  <si>
    <t>0000296</t>
  </si>
  <si>
    <t>0000298</t>
  </si>
  <si>
    <t>0000299</t>
  </si>
  <si>
    <t>0000300</t>
  </si>
  <si>
    <t>0000301</t>
  </si>
  <si>
    <t>0000303</t>
  </si>
  <si>
    <t>0000305</t>
  </si>
  <si>
    <t>0000306</t>
  </si>
  <si>
    <t>0000307</t>
  </si>
  <si>
    <t>0000308</t>
  </si>
  <si>
    <t>0000309</t>
  </si>
  <si>
    <t>0000310</t>
  </si>
  <si>
    <t>0000311</t>
  </si>
  <si>
    <t>0000314</t>
  </si>
  <si>
    <t>0000317</t>
  </si>
  <si>
    <t>0000318</t>
  </si>
  <si>
    <t>0000320</t>
  </si>
  <si>
    <t>0000322</t>
  </si>
  <si>
    <t>0000323</t>
  </si>
  <si>
    <t>0000324</t>
  </si>
  <si>
    <t>0000327</t>
  </si>
  <si>
    <t>0000329</t>
  </si>
  <si>
    <t>0000331</t>
  </si>
  <si>
    <t>0000334</t>
  </si>
  <si>
    <t>0000338</t>
  </si>
  <si>
    <t>0000340</t>
  </si>
  <si>
    <t>0000341</t>
  </si>
  <si>
    <t>0000342</t>
  </si>
  <si>
    <t>0000343</t>
  </si>
  <si>
    <t>0000344</t>
  </si>
  <si>
    <t>0000345</t>
  </si>
  <si>
    <t>0000347</t>
  </si>
  <si>
    <t>0000349</t>
  </si>
  <si>
    <t>0000351</t>
  </si>
  <si>
    <t>0000353</t>
  </si>
  <si>
    <t>0000358</t>
  </si>
  <si>
    <t>0000359</t>
  </si>
  <si>
    <t>0000363</t>
  </si>
  <si>
    <t>0000366</t>
  </si>
  <si>
    <t>0000368</t>
  </si>
  <si>
    <t>0000369</t>
  </si>
  <si>
    <t>0000371</t>
  </si>
  <si>
    <t>0000372</t>
  </si>
  <si>
    <t>0000373</t>
  </si>
  <si>
    <t>0000376</t>
  </si>
  <si>
    <t>0000377</t>
  </si>
  <si>
    <t>0000378</t>
  </si>
  <si>
    <t>0000379</t>
  </si>
  <si>
    <t>0000380</t>
  </si>
  <si>
    <t>0000381</t>
  </si>
  <si>
    <t>0000384</t>
  </si>
  <si>
    <t>0000385</t>
  </si>
  <si>
    <t>0000386</t>
  </si>
  <si>
    <t>0000387</t>
  </si>
  <si>
    <t>0000388</t>
  </si>
  <si>
    <t>0000389</t>
  </si>
  <si>
    <t>0000390</t>
  </si>
  <si>
    <t>0000393</t>
  </si>
  <si>
    <t>0000395</t>
  </si>
  <si>
    <t>0000397</t>
  </si>
  <si>
    <t>0000399</t>
  </si>
  <si>
    <t>0000403</t>
  </si>
  <si>
    <t>0000404</t>
  </si>
  <si>
    <t>0000405</t>
  </si>
  <si>
    <t>0000406</t>
  </si>
  <si>
    <t>0000407</t>
  </si>
  <si>
    <t>0000409</t>
  </si>
  <si>
    <t>0000411</t>
  </si>
  <si>
    <t>0000413</t>
  </si>
  <si>
    <t>0000417</t>
  </si>
  <si>
    <t>0000418</t>
  </si>
  <si>
    <t>0000419</t>
  </si>
  <si>
    <t>0000420</t>
  </si>
  <si>
    <t>0000422</t>
  </si>
  <si>
    <t>0000424</t>
  </si>
  <si>
    <t>0000426</t>
  </si>
  <si>
    <t>0000427</t>
  </si>
  <si>
    <t>0000428</t>
  </si>
  <si>
    <t>0000432</t>
  </si>
  <si>
    <t>0000433</t>
  </si>
  <si>
    <t>0000434</t>
  </si>
  <si>
    <t>0000436</t>
  </si>
  <si>
    <t>0000437</t>
  </si>
  <si>
    <t>0000438</t>
  </si>
  <si>
    <t>0000440</t>
  </si>
  <si>
    <t>0000441</t>
  </si>
  <si>
    <t>0000442</t>
  </si>
  <si>
    <t>0000443</t>
  </si>
  <si>
    <t>0000446</t>
  </si>
  <si>
    <t>0000449</t>
  </si>
  <si>
    <t>0000451</t>
  </si>
  <si>
    <t>0000454</t>
  </si>
  <si>
    <t>0000455</t>
  </si>
  <si>
    <t>0000456</t>
  </si>
  <si>
    <t>0000459</t>
  </si>
  <si>
    <t>0000460</t>
  </si>
  <si>
    <t>0000461</t>
  </si>
  <si>
    <t>0000464</t>
  </si>
  <si>
    <t>0000465</t>
  </si>
  <si>
    <t>0000468</t>
  </si>
  <si>
    <t>0000469</t>
  </si>
  <si>
    <t>0000470</t>
  </si>
  <si>
    <t>0000471</t>
  </si>
  <si>
    <t>0000472</t>
  </si>
  <si>
    <t>0000476</t>
  </si>
  <si>
    <t>0000477</t>
  </si>
  <si>
    <t>0000480</t>
  </si>
  <si>
    <t>0000481</t>
  </si>
  <si>
    <t>0000486</t>
  </si>
  <si>
    <t>0000487</t>
  </si>
  <si>
    <t>0000488</t>
  </si>
  <si>
    <t>0000489</t>
  </si>
  <si>
    <t>0000492</t>
  </si>
  <si>
    <t>0000494</t>
  </si>
  <si>
    <t>0000495</t>
  </si>
  <si>
    <t>0000496</t>
  </si>
  <si>
    <t>0000498</t>
  </si>
  <si>
    <t>0000501</t>
  </si>
  <si>
    <t>0000502</t>
  </si>
  <si>
    <t>0000503</t>
  </si>
  <si>
    <t>0000504</t>
  </si>
  <si>
    <t>0000505</t>
  </si>
  <si>
    <t>0000506</t>
  </si>
  <si>
    <t>0000507</t>
  </si>
  <si>
    <t>0000508</t>
  </si>
  <si>
    <t>0000511</t>
  </si>
  <si>
    <t>0000516</t>
  </si>
  <si>
    <t>0000518</t>
  </si>
  <si>
    <t>0000519</t>
  </si>
  <si>
    <t>0000520</t>
  </si>
  <si>
    <t>0000521</t>
  </si>
  <si>
    <t>0000528</t>
  </si>
  <si>
    <t>0000531</t>
  </si>
  <si>
    <t>0000534</t>
  </si>
  <si>
    <t>0000535</t>
  </si>
  <si>
    <t>0000536</t>
  </si>
  <si>
    <t>0000538</t>
  </si>
  <si>
    <t>0000543</t>
  </si>
  <si>
    <t>0000547</t>
  </si>
  <si>
    <t>0000552</t>
  </si>
  <si>
    <t>0000553</t>
  </si>
  <si>
    <t>0000555</t>
  </si>
  <si>
    <t>0000557</t>
  </si>
  <si>
    <t>0000558</t>
  </si>
  <si>
    <t>0000559</t>
  </si>
  <si>
    <t>0000561</t>
  </si>
  <si>
    <t>0000562</t>
  </si>
  <si>
    <t>0000563</t>
  </si>
  <si>
    <t>0000566</t>
  </si>
  <si>
    <t>0000569</t>
  </si>
  <si>
    <t>0000570</t>
  </si>
  <si>
    <t>0000578</t>
  </si>
  <si>
    <t>0000579</t>
  </si>
  <si>
    <t>0000580</t>
  </si>
  <si>
    <t>0000581</t>
  </si>
  <si>
    <t>0000582</t>
  </si>
  <si>
    <t>0000583</t>
  </si>
  <si>
    <t>0000586</t>
  </si>
  <si>
    <t>0000587</t>
  </si>
  <si>
    <t>0000588</t>
  </si>
  <si>
    <t>0000591</t>
  </si>
  <si>
    <t>0000592</t>
  </si>
  <si>
    <t>0000593</t>
  </si>
  <si>
    <t>0000596</t>
  </si>
  <si>
    <t>0000598</t>
  </si>
  <si>
    <t>0000600</t>
  </si>
  <si>
    <t>0000601</t>
  </si>
  <si>
    <t>0000605</t>
  </si>
  <si>
    <t>0000606</t>
  </si>
  <si>
    <t>0000611</t>
  </si>
  <si>
    <t>0000612</t>
  </si>
  <si>
    <t>0000613</t>
  </si>
  <si>
    <t>0000614</t>
  </si>
  <si>
    <t>0000616</t>
  </si>
  <si>
    <t>0000617</t>
  </si>
  <si>
    <t>0000618</t>
  </si>
  <si>
    <t>0000623</t>
  </si>
  <si>
    <t>0000624</t>
  </si>
  <si>
    <t>0000625</t>
  </si>
  <si>
    <t>0000628</t>
  </si>
  <si>
    <t>0000629</t>
  </si>
  <si>
    <t>0000633</t>
  </si>
  <si>
    <t>0000634</t>
  </si>
  <si>
    <t>0000635</t>
  </si>
  <si>
    <t>0000637</t>
  </si>
  <si>
    <t>0000638</t>
  </si>
  <si>
    <t>0000640</t>
  </si>
  <si>
    <t>0000642</t>
  </si>
  <si>
    <t>0000645</t>
  </si>
  <si>
    <t>0000649</t>
  </si>
  <si>
    <t>0000651</t>
  </si>
  <si>
    <t>0000652</t>
  </si>
  <si>
    <t>0000653</t>
  </si>
  <si>
    <t>0000654</t>
  </si>
  <si>
    <t>0000655</t>
  </si>
  <si>
    <t>0000656</t>
  </si>
  <si>
    <t>0000657</t>
  </si>
  <si>
    <t>0000659</t>
  </si>
  <si>
    <t>0000660</t>
  </si>
  <si>
    <t>0000661</t>
  </si>
  <si>
    <t>0000662</t>
  </si>
  <si>
    <t>0000664</t>
  </si>
  <si>
    <t>0000665</t>
  </si>
  <si>
    <t>0000667</t>
  </si>
  <si>
    <t>0000668</t>
  </si>
  <si>
    <t>0000671</t>
  </si>
  <si>
    <t>0000673</t>
  </si>
  <si>
    <t>0000674</t>
  </si>
  <si>
    <t>0000677</t>
  </si>
  <si>
    <t>0000678</t>
  </si>
  <si>
    <t>0000681</t>
  </si>
  <si>
    <t>0000682</t>
  </si>
  <si>
    <t>0000684</t>
  </si>
  <si>
    <t>0000685</t>
  </si>
  <si>
    <t>0000686</t>
  </si>
  <si>
    <t>0000687</t>
  </si>
  <si>
    <t>0000688</t>
  </si>
  <si>
    <t>0000689</t>
  </si>
  <si>
    <t>0000696</t>
  </si>
  <si>
    <t>0000697</t>
  </si>
  <si>
    <t>0000698</t>
  </si>
  <si>
    <t>0000701</t>
  </si>
  <si>
    <t>0000703</t>
  </si>
  <si>
    <t>0000704</t>
  </si>
  <si>
    <t>0000706</t>
  </si>
  <si>
    <t>0000709</t>
  </si>
  <si>
    <t>0000710</t>
  </si>
  <si>
    <t>0000712</t>
  </si>
  <si>
    <t>0000713</t>
  </si>
  <si>
    <t>0000720</t>
  </si>
  <si>
    <t>0000722</t>
  </si>
  <si>
    <t>0000723</t>
  </si>
  <si>
    <t>0000725</t>
  </si>
  <si>
    <t>0000728</t>
  </si>
  <si>
    <t>0000729</t>
  </si>
  <si>
    <t>0000730</t>
  </si>
  <si>
    <t>0000731</t>
  </si>
  <si>
    <t>0000732</t>
  </si>
  <si>
    <t>0000734</t>
  </si>
  <si>
    <t>0000737</t>
  </si>
  <si>
    <t>0000739</t>
  </si>
  <si>
    <t>0000744</t>
  </si>
  <si>
    <t>0000747</t>
  </si>
  <si>
    <t>0000748</t>
  </si>
  <si>
    <t>0000752</t>
  </si>
  <si>
    <t>0000753</t>
  </si>
  <si>
    <t>0000754</t>
  </si>
  <si>
    <t>0000755</t>
  </si>
  <si>
    <t>0000759</t>
  </si>
  <si>
    <t>0000761</t>
  </si>
  <si>
    <t>0000764</t>
  </si>
  <si>
    <t>0000767</t>
  </si>
  <si>
    <t>0000768</t>
  </si>
  <si>
    <t>0000769</t>
  </si>
  <si>
    <t>0000774</t>
  </si>
  <si>
    <t>0000780</t>
  </si>
  <si>
    <t>0000781</t>
  </si>
  <si>
    <t>0000782</t>
  </si>
  <si>
    <t>0000783</t>
  </si>
  <si>
    <t>0000786</t>
  </si>
  <si>
    <t>0000788</t>
  </si>
  <si>
    <t>0000794</t>
  </si>
  <si>
    <t>0000796</t>
  </si>
  <si>
    <t>0000802</t>
  </si>
  <si>
    <t>0000803</t>
  </si>
  <si>
    <t>0000805</t>
  </si>
  <si>
    <t>0000806</t>
  </si>
  <si>
    <t>0000807</t>
  </si>
  <si>
    <t>0000809</t>
  </si>
  <si>
    <t>0000810</t>
  </si>
  <si>
    <t>0000815</t>
  </si>
  <si>
    <t>0000816</t>
  </si>
  <si>
    <t>0000820</t>
  </si>
  <si>
    <t>0000821</t>
  </si>
  <si>
    <t>0000822</t>
  </si>
  <si>
    <t>0000823</t>
  </si>
  <si>
    <t>0000828</t>
  </si>
  <si>
    <t>0000829</t>
  </si>
  <si>
    <t>0000831</t>
  </si>
  <si>
    <t>0000832</t>
  </si>
  <si>
    <t>0000835</t>
  </si>
  <si>
    <t>0000836</t>
  </si>
  <si>
    <t>0000837</t>
  </si>
  <si>
    <t>0000838</t>
  </si>
  <si>
    <t>0000840</t>
  </si>
  <si>
    <t>0000841</t>
  </si>
  <si>
    <t>0000842</t>
  </si>
  <si>
    <t>0000844</t>
  </si>
  <si>
    <t>0000848</t>
  </si>
  <si>
    <t>0000849</t>
  </si>
  <si>
    <t>0000852</t>
  </si>
  <si>
    <t>0000853</t>
  </si>
  <si>
    <t>0000855</t>
  </si>
  <si>
    <t>0000858</t>
  </si>
  <si>
    <t>0000864</t>
  </si>
  <si>
    <t>0000869</t>
  </si>
  <si>
    <t>0000873</t>
  </si>
  <si>
    <t>0000876</t>
  </si>
  <si>
    <t>0000878</t>
  </si>
  <si>
    <t>0000879</t>
  </si>
  <si>
    <t>0000883</t>
  </si>
  <si>
    <t>0000886</t>
  </si>
  <si>
    <t>0000888</t>
  </si>
  <si>
    <t>0000890</t>
  </si>
  <si>
    <t>0000898</t>
  </si>
  <si>
    <t>0000899</t>
  </si>
  <si>
    <t>0000908</t>
  </si>
  <si>
    <t>0000909</t>
  </si>
  <si>
    <t>0000910</t>
  </si>
  <si>
    <t>0000911</t>
  </si>
  <si>
    <t>0000928</t>
  </si>
  <si>
    <t>0000930</t>
  </si>
  <si>
    <t>0000932</t>
  </si>
  <si>
    <t>0000933</t>
  </si>
  <si>
    <t>0000934</t>
  </si>
  <si>
    <t>0000945</t>
  </si>
  <si>
    <t>0000948</t>
  </si>
  <si>
    <t>0000951</t>
  </si>
  <si>
    <t>0000952</t>
  </si>
  <si>
    <t>0000953</t>
  </si>
  <si>
    <t>0000955</t>
  </si>
  <si>
    <t>0000956</t>
  </si>
  <si>
    <t>0000959</t>
  </si>
  <si>
    <t>0000960</t>
  </si>
  <si>
    <t>0000963</t>
  </si>
  <si>
    <t>0000965</t>
  </si>
  <si>
    <t>0000967</t>
  </si>
  <si>
    <t>0000969</t>
  </si>
  <si>
    <t>0000975</t>
  </si>
  <si>
    <t>0000976</t>
  </si>
  <si>
    <t>0000979</t>
  </si>
  <si>
    <t>0000981</t>
  </si>
  <si>
    <t>0000990</t>
  </si>
  <si>
    <t>0000992</t>
  </si>
  <si>
    <t>0000993</t>
  </si>
  <si>
    <t>0000995</t>
  </si>
  <si>
    <t>0000996</t>
  </si>
  <si>
    <t>0000998</t>
  </si>
  <si>
    <t>0000999</t>
  </si>
  <si>
    <t>0001001</t>
  </si>
  <si>
    <t>0001002</t>
  </si>
  <si>
    <t>0001003</t>
  </si>
  <si>
    <t>0001006</t>
  </si>
  <si>
    <t>0001009</t>
  </si>
  <si>
    <t>0001010</t>
  </si>
  <si>
    <t>0001011</t>
  </si>
  <si>
    <t>0001013</t>
  </si>
  <si>
    <t>0001014</t>
  </si>
  <si>
    <t>0001015</t>
  </si>
  <si>
    <t>0001022</t>
  </si>
  <si>
    <t>0001035</t>
  </si>
  <si>
    <t>0001038</t>
  </si>
  <si>
    <t>0001040</t>
  </si>
  <si>
    <t>0001044</t>
  </si>
  <si>
    <t>0001046</t>
  </si>
  <si>
    <t>0001047</t>
  </si>
  <si>
    <t>0001050</t>
  </si>
  <si>
    <t>0001052</t>
  </si>
  <si>
    <t>0001056</t>
  </si>
  <si>
    <t>0001057</t>
  </si>
  <si>
    <t>0001058</t>
  </si>
  <si>
    <t>0001060</t>
  </si>
  <si>
    <t>0001062</t>
  </si>
  <si>
    <t>0001066</t>
  </si>
  <si>
    <t>0001067</t>
  </si>
  <si>
    <t>0001068</t>
  </si>
  <si>
    <t>0001072</t>
  </si>
  <si>
    <t>0001075</t>
  </si>
  <si>
    <t>0001078</t>
  </si>
  <si>
    <t>0001079</t>
  </si>
  <si>
    <t>0001081</t>
  </si>
  <si>
    <t>0001083</t>
  </si>
  <si>
    <t>0001092</t>
  </si>
  <si>
    <t>0001094</t>
  </si>
  <si>
    <t>0001095</t>
  </si>
  <si>
    <t>0001096</t>
  </si>
  <si>
    <t>0001120</t>
  </si>
  <si>
    <t>0001121</t>
  </si>
  <si>
    <t>0001122</t>
  </si>
  <si>
    <t>0001221</t>
  </si>
  <si>
    <t>0001228</t>
  </si>
  <si>
    <t>0001319</t>
  </si>
  <si>
    <t>0001321</t>
  </si>
  <si>
    <t>0001326</t>
  </si>
  <si>
    <t>0001331</t>
  </si>
  <si>
    <t>0001332</t>
  </si>
  <si>
    <t>0001334</t>
  </si>
  <si>
    <t>0001347</t>
  </si>
  <si>
    <t>0001348</t>
  </si>
  <si>
    <t>0001350</t>
  </si>
  <si>
    <t>0001393</t>
  </si>
  <si>
    <t>0001405</t>
  </si>
  <si>
    <t>0001407</t>
  </si>
  <si>
    <t>0001408</t>
  </si>
  <si>
    <t>0001409</t>
  </si>
  <si>
    <t>0001411</t>
  </si>
  <si>
    <t>0001414</t>
  </si>
  <si>
    <t>0001446</t>
  </si>
  <si>
    <t>0001483</t>
  </si>
  <si>
    <t>0001656</t>
  </si>
  <si>
    <t>0001869</t>
  </si>
  <si>
    <t>0001892</t>
  </si>
  <si>
    <t>0001957</t>
  </si>
  <si>
    <t>0001981</t>
  </si>
  <si>
    <t>0002093</t>
  </si>
  <si>
    <t>0002143</t>
  </si>
  <si>
    <t>0002150</t>
  </si>
  <si>
    <t>0002156</t>
  </si>
  <si>
    <t>0002189</t>
  </si>
  <si>
    <t>0002198</t>
  </si>
  <si>
    <t>0002201</t>
  </si>
  <si>
    <t>0002204</t>
  </si>
  <si>
    <t>0002209</t>
  </si>
  <si>
    <t>0002210</t>
  </si>
  <si>
    <t>0002220</t>
  </si>
  <si>
    <t>0002223</t>
  </si>
  <si>
    <t>0002281</t>
  </si>
  <si>
    <t>0002306</t>
  </si>
  <si>
    <t>0002468</t>
  </si>
  <si>
    <t>0002471</t>
  </si>
  <si>
    <t>0002584</t>
  </si>
  <si>
    <t>0002598</t>
  </si>
  <si>
    <t>0002609</t>
  </si>
  <si>
    <t>0002620</t>
  </si>
  <si>
    <t>0002668</t>
  </si>
  <si>
    <t>0002674</t>
  </si>
  <si>
    <t>0002677</t>
  </si>
  <si>
    <t>0002699</t>
  </si>
  <si>
    <t>0002701</t>
  </si>
  <si>
    <t>0002707</t>
  </si>
  <si>
    <t>0002708</t>
  </si>
  <si>
    <t>0002709</t>
  </si>
  <si>
    <t>0002712</t>
  </si>
  <si>
    <t>0002713</t>
  </si>
  <si>
    <t>0002714</t>
  </si>
  <si>
    <t>0002720</t>
  </si>
  <si>
    <t>0002721</t>
  </si>
  <si>
    <t>0002732</t>
  </si>
  <si>
    <t>0002747</t>
  </si>
  <si>
    <t>0002749</t>
  </si>
  <si>
    <t>0002751</t>
  </si>
  <si>
    <t>0002758</t>
  </si>
  <si>
    <t>0002761</t>
  </si>
  <si>
    <t>0002762</t>
  </si>
  <si>
    <t>0002793</t>
  </si>
  <si>
    <t>0002805</t>
  </si>
  <si>
    <t>0002808</t>
  </si>
  <si>
    <t>0002815</t>
  </si>
  <si>
    <t>0002818</t>
  </si>
  <si>
    <t>0002819</t>
  </si>
  <si>
    <t>0002821</t>
  </si>
  <si>
    <t>0002822</t>
  </si>
  <si>
    <t>0002828</t>
  </si>
  <si>
    <t>0002830</t>
  </si>
  <si>
    <t>0002835</t>
  </si>
  <si>
    <t>0002836</t>
  </si>
  <si>
    <t>0002837</t>
  </si>
  <si>
    <t>0002839</t>
  </si>
  <si>
    <t>0002840</t>
  </si>
  <si>
    <t>0002841</t>
  </si>
  <si>
    <t>0002843</t>
  </si>
  <si>
    <t>0002844</t>
  </si>
  <si>
    <t>0002855</t>
  </si>
  <si>
    <t>0002856</t>
  </si>
  <si>
    <t>0002861</t>
  </si>
  <si>
    <t>0002862</t>
  </si>
  <si>
    <t>0002865</t>
  </si>
  <si>
    <t>0002868</t>
  </si>
  <si>
    <t>0002869</t>
  </si>
  <si>
    <t>0002872</t>
  </si>
  <si>
    <t>0002878</t>
  </si>
  <si>
    <t>0002879</t>
  </si>
  <si>
    <t>0002880</t>
  </si>
  <si>
    <t>0002881</t>
  </si>
  <si>
    <t>0002885</t>
  </si>
  <si>
    <t>0002890</t>
  </si>
  <si>
    <t>0002902</t>
  </si>
  <si>
    <t>0002903</t>
  </si>
  <si>
    <t>0002904</t>
  </si>
  <si>
    <t>0002906</t>
  </si>
  <si>
    <t>0002909</t>
  </si>
  <si>
    <t>0002918</t>
  </si>
  <si>
    <t>0002923</t>
  </si>
  <si>
    <t>0002926</t>
  </si>
  <si>
    <t>0002927</t>
  </si>
  <si>
    <t>0002931</t>
  </si>
  <si>
    <t>0002936</t>
  </si>
  <si>
    <t>0003016</t>
  </si>
  <si>
    <t>0003020</t>
  </si>
  <si>
    <t>0003029</t>
  </si>
  <si>
    <t>0003054</t>
  </si>
  <si>
    <t>0003056</t>
  </si>
  <si>
    <t>0003070</t>
  </si>
  <si>
    <t>0003088</t>
  </si>
  <si>
    <t>0003090</t>
  </si>
  <si>
    <t>0003113</t>
  </si>
  <si>
    <t>0003114</t>
  </si>
  <si>
    <t>0003120</t>
  </si>
  <si>
    <t>0003145</t>
  </si>
  <si>
    <t>0003146</t>
  </si>
  <si>
    <t>0003160</t>
  </si>
  <si>
    <t>0003161</t>
  </si>
  <si>
    <t>0003166</t>
  </si>
  <si>
    <t>0003167</t>
  </si>
  <si>
    <t>0003175</t>
  </si>
  <si>
    <t>0003184</t>
  </si>
  <si>
    <t>0003187</t>
  </si>
  <si>
    <t>0003188</t>
  </si>
  <si>
    <t>0003200</t>
  </si>
  <si>
    <t>0003209</t>
  </si>
  <si>
    <t>0003210</t>
  </si>
  <si>
    <t>0003215</t>
  </si>
  <si>
    <t>0003216</t>
  </si>
  <si>
    <t>0003217</t>
  </si>
  <si>
    <t>0003227</t>
  </si>
  <si>
    <t>0003230</t>
  </si>
  <si>
    <t>0003232</t>
  </si>
  <si>
    <t>0003234</t>
  </si>
  <si>
    <t>0003235</t>
  </si>
  <si>
    <t>0003240</t>
  </si>
  <si>
    <t>0003255</t>
  </si>
  <si>
    <t>0003262</t>
  </si>
  <si>
    <t>0003279</t>
  </si>
  <si>
    <t>0003293</t>
  </si>
  <si>
    <t>0003296</t>
  </si>
  <si>
    <t>0003297</t>
  </si>
  <si>
    <t>0003329</t>
  </si>
  <si>
    <t>0003330</t>
  </si>
  <si>
    <t>0003336</t>
  </si>
  <si>
    <t>0003340</t>
  </si>
  <si>
    <t>0003349</t>
  </si>
  <si>
    <t>0003353</t>
  </si>
  <si>
    <t>0003372</t>
  </si>
  <si>
    <t>0003373</t>
  </si>
  <si>
    <t>0003374</t>
  </si>
  <si>
    <t>0003376</t>
  </si>
  <si>
    <t>0003377</t>
  </si>
  <si>
    <t>0003378</t>
  </si>
  <si>
    <t>0003380</t>
  </si>
  <si>
    <t>0003384</t>
  </si>
  <si>
    <t>0003385</t>
  </si>
  <si>
    <t>0003386</t>
  </si>
  <si>
    <t>0003388</t>
  </si>
  <si>
    <t>0003389</t>
  </si>
  <si>
    <t>0003390</t>
  </si>
  <si>
    <t>0003392</t>
  </si>
  <si>
    <t>0003393</t>
  </si>
  <si>
    <t>0003496</t>
  </si>
  <si>
    <t>0003499</t>
  </si>
  <si>
    <t>0004001</t>
  </si>
  <si>
    <t>0004003</t>
  </si>
  <si>
    <t>0004006</t>
  </si>
  <si>
    <t>0004016</t>
  </si>
  <si>
    <t>0004020</t>
  </si>
  <si>
    <t>0004023</t>
  </si>
  <si>
    <t>0004025</t>
  </si>
  <si>
    <t>0004028</t>
  </si>
  <si>
    <t>0004031</t>
  </si>
  <si>
    <t>0004032</t>
  </si>
  <si>
    <t>0004033</t>
  </si>
  <si>
    <t>0004042</t>
  </si>
  <si>
    <t>0004046</t>
  </si>
  <si>
    <t>0004049</t>
  </si>
  <si>
    <t>0004052</t>
  </si>
  <si>
    <t>0004064</t>
  </si>
  <si>
    <t>0004075</t>
  </si>
  <si>
    <t>0004077</t>
  </si>
  <si>
    <t>0004153</t>
  </si>
  <si>
    <t>0004157</t>
  </si>
  <si>
    <t>0004159</t>
  </si>
  <si>
    <t>0004171</t>
  </si>
  <si>
    <t>0004172</t>
  </si>
  <si>
    <t>0004173</t>
  </si>
  <si>
    <t>0004180</t>
  </si>
  <si>
    <t>0004184</t>
  </si>
  <si>
    <t>0004185</t>
  </si>
  <si>
    <t>0004197</t>
  </si>
  <si>
    <t>0004213</t>
  </si>
  <si>
    <t>0004228</t>
  </si>
  <si>
    <t>0004264</t>
  </si>
  <si>
    <t>0004267</t>
  </si>
  <si>
    <t>0004273</t>
  </si>
  <si>
    <t>0004291</t>
  </si>
  <si>
    <t>0004315</t>
  </si>
  <si>
    <t>0004466</t>
  </si>
  <si>
    <t>0004467</t>
  </si>
  <si>
    <t>0004471</t>
  </si>
  <si>
    <t>0004483</t>
  </si>
  <si>
    <t>0004484</t>
  </si>
  <si>
    <t>0004485</t>
  </si>
  <si>
    <t>0004486</t>
  </si>
  <si>
    <t>0004489</t>
  </si>
  <si>
    <t>0004495</t>
  </si>
  <si>
    <t>0004540</t>
  </si>
  <si>
    <t>0004542</t>
  </si>
  <si>
    <t>0004543</t>
  </si>
  <si>
    <t>0004545</t>
  </si>
  <si>
    <t>0004549</t>
  </si>
  <si>
    <t>0004550</t>
  </si>
  <si>
    <t>0004551</t>
  </si>
  <si>
    <t>0004552</t>
  </si>
  <si>
    <t>0004568</t>
  </si>
  <si>
    <t>0004586</t>
  </si>
  <si>
    <t>0004592</t>
  </si>
  <si>
    <t>0004593</t>
  </si>
  <si>
    <t>0004594</t>
  </si>
  <si>
    <t>0004595</t>
  </si>
  <si>
    <t>0004632</t>
  </si>
  <si>
    <t>0004655</t>
  </si>
  <si>
    <t>0004693</t>
  </si>
  <si>
    <t>0004706</t>
  </si>
  <si>
    <t>0004707</t>
  </si>
  <si>
    <t>0004708</t>
  </si>
  <si>
    <t>0004709</t>
  </si>
  <si>
    <t>0004710</t>
  </si>
  <si>
    <t>0004711</t>
  </si>
  <si>
    <t>0004713</t>
  </si>
  <si>
    <t>0004718</t>
  </si>
  <si>
    <t>0004723</t>
  </si>
  <si>
    <t>0004735</t>
  </si>
  <si>
    <t>0004736</t>
  </si>
  <si>
    <t>0004737</t>
  </si>
  <si>
    <t>0004739</t>
  </si>
  <si>
    <t>0004740</t>
  </si>
  <si>
    <t>0004741</t>
  </si>
  <si>
    <t>0004742</t>
  </si>
  <si>
    <t>0004743</t>
  </si>
  <si>
    <t>0004744</t>
  </si>
  <si>
    <t>0004797</t>
  </si>
  <si>
    <t>0004805</t>
  </si>
  <si>
    <t>0004806</t>
  </si>
  <si>
    <t>0004807</t>
  </si>
  <si>
    <t>0004809</t>
  </si>
  <si>
    <t>0004810</t>
  </si>
  <si>
    <t>0004811</t>
  </si>
  <si>
    <t>0004814</t>
  </si>
  <si>
    <t>0004815</t>
  </si>
  <si>
    <t>0004816</t>
  </si>
  <si>
    <t>0004820</t>
  </si>
  <si>
    <t>0004826</t>
  </si>
  <si>
    <t>0004827</t>
  </si>
  <si>
    <t>0004829</t>
  </si>
  <si>
    <t>0004834</t>
  </si>
  <si>
    <t>0004835</t>
  </si>
  <si>
    <t>0004945</t>
  </si>
  <si>
    <t>0004967</t>
  </si>
  <si>
    <t>0004968</t>
  </si>
  <si>
    <t>0004969</t>
  </si>
  <si>
    <t>0004970</t>
  </si>
  <si>
    <t>0004971</t>
  </si>
  <si>
    <t>0004972</t>
  </si>
  <si>
    <t>0004975</t>
  </si>
  <si>
    <t>0004976</t>
  </si>
  <si>
    <t>0004978</t>
  </si>
  <si>
    <t>0004979</t>
  </si>
  <si>
    <t>0004980</t>
  </si>
  <si>
    <t>0004981</t>
  </si>
  <si>
    <t>0004982</t>
  </si>
  <si>
    <t>0004992</t>
  </si>
  <si>
    <t>0004993</t>
  </si>
  <si>
    <t>0004995</t>
  </si>
  <si>
    <t>0005002</t>
  </si>
  <si>
    <t>0005029</t>
  </si>
  <si>
    <t>0005030</t>
  </si>
  <si>
    <t>0005035</t>
  </si>
  <si>
    <t>0005036</t>
  </si>
  <si>
    <t>0000138</t>
  </si>
  <si>
    <t>0000881</t>
  </si>
  <si>
    <t>0001502</t>
  </si>
  <si>
    <t>0001679</t>
  </si>
  <si>
    <t>0001786</t>
  </si>
  <si>
    <t>0002301</t>
  </si>
  <si>
    <t>0002308</t>
  </si>
  <si>
    <t>0002314</t>
  </si>
  <si>
    <t>0002319</t>
  </si>
  <si>
    <t>0002330</t>
  </si>
  <si>
    <t>0002333</t>
  </si>
  <si>
    <t>0002336</t>
  </si>
  <si>
    <t>0002337</t>
  </si>
  <si>
    <t>0002338</t>
  </si>
  <si>
    <t>0002339</t>
  </si>
  <si>
    <t>0002342</t>
  </si>
  <si>
    <t>0002347</t>
  </si>
  <si>
    <t>0002357</t>
  </si>
  <si>
    <t>0002358</t>
  </si>
  <si>
    <t>0002365</t>
  </si>
  <si>
    <t>0002404</t>
  </si>
  <si>
    <t>0003002</t>
  </si>
  <si>
    <t>0003003</t>
  </si>
  <si>
    <t>0003035</t>
  </si>
  <si>
    <t>0003038</t>
  </si>
  <si>
    <t>Sexo (M , F)</t>
  </si>
  <si>
    <t>M</t>
  </si>
  <si>
    <t>F</t>
  </si>
  <si>
    <t>Fecha de Nacimiento (dd/mm/aaaa)</t>
  </si>
  <si>
    <t>650507</t>
  </si>
  <si>
    <t>720805</t>
  </si>
  <si>
    <t>690418</t>
  </si>
  <si>
    <t>720516</t>
  </si>
  <si>
    <t>640904</t>
  </si>
  <si>
    <t>750319</t>
  </si>
  <si>
    <t>580218</t>
  </si>
  <si>
    <t>711112</t>
  </si>
  <si>
    <t>621129</t>
  </si>
  <si>
    <t>620912</t>
  </si>
  <si>
    <t>740526</t>
  </si>
  <si>
    <t>601202</t>
  </si>
  <si>
    <t>680318</t>
  </si>
  <si>
    <t>751222</t>
  </si>
  <si>
    <t>730618</t>
  </si>
  <si>
    <t>640921</t>
  </si>
  <si>
    <t>701201</t>
  </si>
  <si>
    <t>770816</t>
  </si>
  <si>
    <t>670903</t>
  </si>
  <si>
    <t>690723</t>
  </si>
  <si>
    <t>570618</t>
  </si>
  <si>
    <t>730309</t>
  </si>
  <si>
    <t>691203</t>
  </si>
  <si>
    <t>701103</t>
  </si>
  <si>
    <t>800801</t>
  </si>
  <si>
    <t>670505</t>
  </si>
  <si>
    <t>631029</t>
  </si>
  <si>
    <t>640502</t>
  </si>
  <si>
    <t>761225</t>
  </si>
  <si>
    <t>681209</t>
  </si>
  <si>
    <t>791209</t>
  </si>
  <si>
    <t>750201</t>
  </si>
  <si>
    <t>590727</t>
  </si>
  <si>
    <t>820126</t>
  </si>
  <si>
    <t>801107</t>
  </si>
  <si>
    <t>740202</t>
  </si>
  <si>
    <t>710522</t>
  </si>
  <si>
    <t>800623</t>
  </si>
  <si>
    <t>840519</t>
  </si>
  <si>
    <t>830524</t>
  </si>
  <si>
    <t>710717</t>
  </si>
  <si>
    <t>640405</t>
  </si>
  <si>
    <t>610808</t>
  </si>
  <si>
    <t>650608</t>
  </si>
  <si>
    <t>741111</t>
  </si>
  <si>
    <t>780610</t>
  </si>
  <si>
    <t>850415</t>
  </si>
  <si>
    <t>850605</t>
  </si>
  <si>
    <t>800605</t>
  </si>
  <si>
    <t>610324</t>
  </si>
  <si>
    <t>740703</t>
  </si>
  <si>
    <t>710902</t>
  </si>
  <si>
    <t>631113</t>
  </si>
  <si>
    <t>710728</t>
  </si>
  <si>
    <t>851014</t>
  </si>
  <si>
    <t>750525</t>
  </si>
  <si>
    <t>710520</t>
  </si>
  <si>
    <t>650206</t>
  </si>
  <si>
    <t>670629</t>
  </si>
  <si>
    <t>711031</t>
  </si>
  <si>
    <t>760404</t>
  </si>
  <si>
    <t>740528</t>
  </si>
  <si>
    <t>780322</t>
  </si>
  <si>
    <t>851126</t>
  </si>
  <si>
    <t>871126</t>
  </si>
  <si>
    <t>670322</t>
  </si>
  <si>
    <t>781125</t>
  </si>
  <si>
    <t>660724</t>
  </si>
  <si>
    <t>720920</t>
  </si>
  <si>
    <t>730724</t>
  </si>
  <si>
    <t>821012</t>
  </si>
  <si>
    <t>620706</t>
  </si>
  <si>
    <t>710601</t>
  </si>
  <si>
    <t>761101</t>
  </si>
  <si>
    <t>821216</t>
  </si>
  <si>
    <t>790810</t>
  </si>
  <si>
    <t>810125</t>
  </si>
  <si>
    <t>790925</t>
  </si>
  <si>
    <t>781109</t>
  </si>
  <si>
    <t>800319</t>
  </si>
  <si>
    <t>610316</t>
  </si>
  <si>
    <t>730413</t>
  </si>
  <si>
    <t>660323</t>
  </si>
  <si>
    <t>780910</t>
  </si>
  <si>
    <t>721210</t>
  </si>
  <si>
    <t>660209</t>
  </si>
  <si>
    <t>710113</t>
  </si>
  <si>
    <t>730530</t>
  </si>
  <si>
    <t>640119</t>
  </si>
  <si>
    <t>721207</t>
  </si>
  <si>
    <t>821017</t>
  </si>
  <si>
    <t>660402</t>
  </si>
  <si>
    <t>780709</t>
  </si>
  <si>
    <t>880927</t>
  </si>
  <si>
    <t>830316</t>
  </si>
  <si>
    <t>690424</t>
  </si>
  <si>
    <t>670525</t>
  </si>
  <si>
    <t>880316</t>
  </si>
  <si>
    <t>620531</t>
  </si>
  <si>
    <t>750327</t>
  </si>
  <si>
    <t>800903</t>
  </si>
  <si>
    <t>860724</t>
  </si>
  <si>
    <t>720201</t>
  </si>
  <si>
    <t>790731</t>
  </si>
  <si>
    <t>880910</t>
  </si>
  <si>
    <t>800910</t>
  </si>
  <si>
    <t>820523</t>
  </si>
  <si>
    <t>870507</t>
  </si>
  <si>
    <t>841023</t>
  </si>
  <si>
    <t>771001</t>
  </si>
  <si>
    <t>860430</t>
  </si>
  <si>
    <t>860211</t>
  </si>
  <si>
    <t>690610</t>
  </si>
  <si>
    <t>791104</t>
  </si>
  <si>
    <t>790613</t>
  </si>
  <si>
    <t>851008</t>
  </si>
  <si>
    <t>541020</t>
  </si>
  <si>
    <t>830504</t>
  </si>
  <si>
    <t>650812</t>
  </si>
  <si>
    <t>720729</t>
  </si>
  <si>
    <t>800806</t>
  </si>
  <si>
    <t>850501</t>
  </si>
  <si>
    <t>630124</t>
  </si>
  <si>
    <t>600922</t>
  </si>
  <si>
    <t>780525</t>
  </si>
  <si>
    <t>780815</t>
  </si>
  <si>
    <t>920627</t>
  </si>
  <si>
    <t>870131</t>
  </si>
  <si>
    <t>761020</t>
  </si>
  <si>
    <t>750116</t>
  </si>
  <si>
    <t>620820</t>
  </si>
  <si>
    <t>780105</t>
  </si>
  <si>
    <t>690311</t>
  </si>
  <si>
    <t>620525</t>
  </si>
  <si>
    <t>750611</t>
  </si>
  <si>
    <t>720422</t>
  </si>
  <si>
    <t>760803</t>
  </si>
  <si>
    <t>700604</t>
  </si>
  <si>
    <t>780112</t>
  </si>
  <si>
    <t>850414</t>
  </si>
  <si>
    <t>621125</t>
  </si>
  <si>
    <t>650402</t>
  </si>
  <si>
    <t>771107</t>
  </si>
  <si>
    <t>791004</t>
  </si>
  <si>
    <t>810430</t>
  </si>
  <si>
    <t>870316</t>
  </si>
  <si>
    <t>880906</t>
  </si>
  <si>
    <t>670710</t>
  </si>
  <si>
    <t>750112</t>
  </si>
  <si>
    <t>880207</t>
  </si>
  <si>
    <t>880602</t>
  </si>
  <si>
    <t>700414</t>
  </si>
  <si>
    <t>870610</t>
  </si>
  <si>
    <t>930923</t>
  </si>
  <si>
    <t>620529</t>
  </si>
  <si>
    <t>900607</t>
  </si>
  <si>
    <t>791227</t>
  </si>
  <si>
    <t>680729</t>
  </si>
  <si>
    <t>780911</t>
  </si>
  <si>
    <t>880511</t>
  </si>
  <si>
    <t>810924</t>
  </si>
  <si>
    <t>890103</t>
  </si>
  <si>
    <t>670223</t>
  </si>
  <si>
    <t>741115</t>
  </si>
  <si>
    <t>751224</t>
  </si>
  <si>
    <t>741204</t>
  </si>
  <si>
    <t>760406</t>
  </si>
  <si>
    <t>610820</t>
  </si>
  <si>
    <t>770104</t>
  </si>
  <si>
    <t>850420</t>
  </si>
  <si>
    <t>811116</t>
  </si>
  <si>
    <t>650326</t>
  </si>
  <si>
    <t>831203</t>
  </si>
  <si>
    <t>871207</t>
  </si>
  <si>
    <t>890909</t>
  </si>
  <si>
    <t>780314</t>
  </si>
  <si>
    <t>690113</t>
  </si>
  <si>
    <t>860902</t>
  </si>
  <si>
    <t>621227</t>
  </si>
  <si>
    <t>650527</t>
  </si>
  <si>
    <t>800226</t>
  </si>
  <si>
    <t>860927</t>
  </si>
  <si>
    <t>640417</t>
  </si>
  <si>
    <t>870427</t>
  </si>
  <si>
    <t>770528</t>
  </si>
  <si>
    <t>900930</t>
  </si>
  <si>
    <t>850804</t>
  </si>
  <si>
    <t>760709</t>
  </si>
  <si>
    <t>780730</t>
  </si>
  <si>
    <t>640330</t>
  </si>
  <si>
    <t>820625</t>
  </si>
  <si>
    <t>881127</t>
  </si>
  <si>
    <t>920514</t>
  </si>
  <si>
    <t>821127</t>
  </si>
  <si>
    <t>810319</t>
  </si>
  <si>
    <t>680502</t>
  </si>
  <si>
    <t>731216</t>
  </si>
  <si>
    <t>810829</t>
  </si>
  <si>
    <t>601006</t>
  </si>
  <si>
    <t>710730</t>
  </si>
  <si>
    <t>761226</t>
  </si>
  <si>
    <t>851107</t>
  </si>
  <si>
    <t>731217</t>
  </si>
  <si>
    <t>920327</t>
  </si>
  <si>
    <t>660918</t>
  </si>
  <si>
    <t>620811</t>
  </si>
  <si>
    <t>811103</t>
  </si>
  <si>
    <t>780508</t>
  </si>
  <si>
    <t>650318</t>
  </si>
  <si>
    <t>740714</t>
  </si>
  <si>
    <t>771007</t>
  </si>
  <si>
    <t>661123</t>
  </si>
  <si>
    <t>740523</t>
  </si>
  <si>
    <t>800905</t>
  </si>
  <si>
    <t>850406</t>
  </si>
  <si>
    <t>900717</t>
  </si>
  <si>
    <t>880921</t>
  </si>
  <si>
    <t>610504</t>
  </si>
  <si>
    <t>890316</t>
  </si>
  <si>
    <t>740924</t>
  </si>
  <si>
    <t>950209</t>
  </si>
  <si>
    <t>601027</t>
  </si>
  <si>
    <t>900703</t>
  </si>
  <si>
    <t>720207</t>
  </si>
  <si>
    <t>771114</t>
  </si>
  <si>
    <t>710131</t>
  </si>
  <si>
    <t>611220</t>
  </si>
  <si>
    <t>870926</t>
  </si>
  <si>
    <t>751109</t>
  </si>
  <si>
    <t>730504</t>
  </si>
  <si>
    <t>920629</t>
  </si>
  <si>
    <t>890712</t>
  </si>
  <si>
    <t>901130</t>
  </si>
  <si>
    <t>900916</t>
  </si>
  <si>
    <t>620408</t>
  </si>
  <si>
    <t>680311</t>
  </si>
  <si>
    <t>930228</t>
  </si>
  <si>
    <t>870404</t>
  </si>
  <si>
    <t>860914</t>
  </si>
  <si>
    <t>931010</t>
  </si>
  <si>
    <t>630827</t>
  </si>
  <si>
    <t>850518</t>
  </si>
  <si>
    <t>801218</t>
  </si>
  <si>
    <t>850603</t>
  </si>
  <si>
    <t>760715</t>
  </si>
  <si>
    <t>750921</t>
  </si>
  <si>
    <t>820307</t>
  </si>
  <si>
    <t>890502</t>
  </si>
  <si>
    <t>950214</t>
  </si>
  <si>
    <t>600125</t>
  </si>
  <si>
    <t>640915</t>
  </si>
  <si>
    <t>851228</t>
  </si>
  <si>
    <t>690118</t>
  </si>
  <si>
    <t>840713</t>
  </si>
  <si>
    <t>850823</t>
  </si>
  <si>
    <t>720907</t>
  </si>
  <si>
    <t>930903</t>
  </si>
  <si>
    <t>840530</t>
  </si>
  <si>
    <t>890209</t>
  </si>
  <si>
    <t>711216</t>
  </si>
  <si>
    <t>730807</t>
  </si>
  <si>
    <t>620813</t>
  </si>
  <si>
    <t>851031</t>
  </si>
  <si>
    <t>520829</t>
  </si>
  <si>
    <t>810901</t>
  </si>
  <si>
    <t>740922</t>
  </si>
  <si>
    <t>650325</t>
  </si>
  <si>
    <t>910201</t>
  </si>
  <si>
    <t>890216</t>
  </si>
  <si>
    <t>830311</t>
  </si>
  <si>
    <t>791212</t>
  </si>
  <si>
    <t>780925</t>
  </si>
  <si>
    <t>880913</t>
  </si>
  <si>
    <t>820408</t>
  </si>
  <si>
    <t>751229</t>
  </si>
  <si>
    <t>920606</t>
  </si>
  <si>
    <t>890612</t>
  </si>
  <si>
    <t>790714</t>
  </si>
  <si>
    <t>660528</t>
  </si>
  <si>
    <t>891203</t>
  </si>
  <si>
    <t>621210</t>
  </si>
  <si>
    <t>630819</t>
  </si>
  <si>
    <t>720106</t>
  </si>
  <si>
    <t>680201</t>
  </si>
  <si>
    <t>890404</t>
  </si>
  <si>
    <t>760723</t>
  </si>
  <si>
    <t>670424</t>
  </si>
  <si>
    <t>880508</t>
  </si>
  <si>
    <t>630707</t>
  </si>
  <si>
    <t>860926</t>
  </si>
  <si>
    <t>890219</t>
  </si>
  <si>
    <t>890122</t>
  </si>
  <si>
    <t>940116</t>
  </si>
  <si>
    <t>681219</t>
  </si>
  <si>
    <t>691128</t>
  </si>
  <si>
    <t>761026</t>
  </si>
  <si>
    <t>730507</t>
  </si>
  <si>
    <t>770227</t>
  </si>
  <si>
    <t>800711</t>
  </si>
  <si>
    <t>680914</t>
  </si>
  <si>
    <t>841126</t>
  </si>
  <si>
    <t>791112</t>
  </si>
  <si>
    <t>920216</t>
  </si>
  <si>
    <t>840216</t>
  </si>
  <si>
    <t>920917</t>
  </si>
  <si>
    <t>660826</t>
  </si>
  <si>
    <t>820825</t>
  </si>
  <si>
    <t>630122</t>
  </si>
  <si>
    <t>721205</t>
  </si>
  <si>
    <t>700728</t>
  </si>
  <si>
    <t>790725</t>
  </si>
  <si>
    <t>660516</t>
  </si>
  <si>
    <t>810325</t>
  </si>
  <si>
    <t>870227</t>
  </si>
  <si>
    <t>841016</t>
  </si>
  <si>
    <t>730321</t>
  </si>
  <si>
    <t>680202</t>
  </si>
  <si>
    <t>680314</t>
  </si>
  <si>
    <t>810514</t>
  </si>
  <si>
    <t>780502</t>
  </si>
  <si>
    <t>750224</t>
  </si>
  <si>
    <t>910430</t>
  </si>
  <si>
    <t>751027</t>
  </si>
  <si>
    <t>901014</t>
  </si>
  <si>
    <t>881106</t>
  </si>
  <si>
    <t>800719</t>
  </si>
  <si>
    <t>901108</t>
  </si>
  <si>
    <t>740912</t>
  </si>
  <si>
    <t>840809</t>
  </si>
  <si>
    <t>890625</t>
  </si>
  <si>
    <t>920613</t>
  </si>
  <si>
    <t>820806</t>
  </si>
  <si>
    <t>920212</t>
  </si>
  <si>
    <t>640324</t>
  </si>
  <si>
    <t>611029</t>
  </si>
  <si>
    <t>901216</t>
  </si>
  <si>
    <t>781013</t>
  </si>
  <si>
    <t>680102</t>
  </si>
  <si>
    <t>870310</t>
  </si>
  <si>
    <t>791013</t>
  </si>
  <si>
    <t>950114</t>
  </si>
  <si>
    <t>860101</t>
  </si>
  <si>
    <t>950203</t>
  </si>
  <si>
    <t>921231</t>
  </si>
  <si>
    <t>831215</t>
  </si>
  <si>
    <t>700727</t>
  </si>
  <si>
    <t>900331</t>
  </si>
  <si>
    <t>730114</t>
  </si>
  <si>
    <t>910708</t>
  </si>
  <si>
    <t>870722</t>
  </si>
  <si>
    <t>641117</t>
  </si>
  <si>
    <t>910102</t>
  </si>
  <si>
    <t>910625</t>
  </si>
  <si>
    <t>710427</t>
  </si>
  <si>
    <t>690322</t>
  </si>
  <si>
    <t>601109</t>
  </si>
  <si>
    <t>790716</t>
  </si>
  <si>
    <t>741103</t>
  </si>
  <si>
    <t>930925</t>
  </si>
  <si>
    <t>840422</t>
  </si>
  <si>
    <t>781123</t>
  </si>
  <si>
    <t>880822</t>
  </si>
  <si>
    <t>620329</t>
  </si>
  <si>
    <t>601217</t>
  </si>
  <si>
    <t>870525</t>
  </si>
  <si>
    <t>851203</t>
  </si>
  <si>
    <t>950713</t>
  </si>
  <si>
    <t>610830</t>
  </si>
  <si>
    <t>690313</t>
  </si>
  <si>
    <t>690518</t>
  </si>
  <si>
    <t>960707</t>
  </si>
  <si>
    <t>740527</t>
  </si>
  <si>
    <t>741010</t>
  </si>
  <si>
    <t>970308</t>
  </si>
  <si>
    <t>831231</t>
  </si>
  <si>
    <t>801205</t>
  </si>
  <si>
    <t>950318</t>
  </si>
  <si>
    <t>900515</t>
  </si>
  <si>
    <t>841106</t>
  </si>
  <si>
    <t>680612</t>
  </si>
  <si>
    <t>860719</t>
  </si>
  <si>
    <t>910303</t>
  </si>
  <si>
    <t>901230</t>
  </si>
  <si>
    <t>650502</t>
  </si>
  <si>
    <t>901121</t>
  </si>
  <si>
    <t>940810</t>
  </si>
  <si>
    <t>920211</t>
  </si>
  <si>
    <t>870912</t>
  </si>
  <si>
    <t>940310</t>
  </si>
  <si>
    <t>721015</t>
  </si>
  <si>
    <t>620124</t>
  </si>
  <si>
    <t>820318</t>
  </si>
  <si>
    <t>850908</t>
  </si>
  <si>
    <t>640114</t>
  </si>
  <si>
    <t>720211</t>
  </si>
  <si>
    <t>700708</t>
  </si>
  <si>
    <t>861015</t>
  </si>
  <si>
    <t>930716</t>
  </si>
  <si>
    <t>870201</t>
  </si>
  <si>
    <t>910902</t>
  </si>
  <si>
    <t>860214</t>
  </si>
  <si>
    <t>940903</t>
  </si>
  <si>
    <t>871217</t>
  </si>
  <si>
    <t>910606</t>
  </si>
  <si>
    <t>781227</t>
  </si>
  <si>
    <t>930511</t>
  </si>
  <si>
    <t>791118</t>
  </si>
  <si>
    <t>831216</t>
  </si>
  <si>
    <t>840829</t>
  </si>
  <si>
    <t>780727</t>
  </si>
  <si>
    <t>800308</t>
  </si>
  <si>
    <t>680302</t>
  </si>
  <si>
    <t>970706</t>
  </si>
  <si>
    <t>700319</t>
  </si>
  <si>
    <t>760710</t>
  </si>
  <si>
    <t>820702</t>
  </si>
  <si>
    <t>870503</t>
  </si>
  <si>
    <t>920515</t>
  </si>
  <si>
    <t>681009</t>
  </si>
  <si>
    <t>770503</t>
  </si>
  <si>
    <t>800405</t>
  </si>
  <si>
    <t>850216</t>
  </si>
  <si>
    <t>650327</t>
  </si>
  <si>
    <t>780623</t>
  </si>
  <si>
    <t>910226</t>
  </si>
  <si>
    <t>861218</t>
  </si>
  <si>
    <t>961126</t>
  </si>
  <si>
    <t>830922</t>
  </si>
  <si>
    <t>700830</t>
  </si>
  <si>
    <t>900117</t>
  </si>
  <si>
    <t>901015</t>
  </si>
  <si>
    <t>730121</t>
  </si>
  <si>
    <t>940124</t>
  </si>
  <si>
    <t>910306</t>
  </si>
  <si>
    <t>940401</t>
  </si>
  <si>
    <t>641208</t>
  </si>
  <si>
    <t>690530</t>
  </si>
  <si>
    <t>920815</t>
  </si>
  <si>
    <t>640117</t>
  </si>
  <si>
    <t>701026</t>
  </si>
  <si>
    <t>850114</t>
  </si>
  <si>
    <t>660812</t>
  </si>
  <si>
    <t>880407</t>
  </si>
  <si>
    <t>890228</t>
  </si>
  <si>
    <t>811229</t>
  </si>
  <si>
    <t>670718</t>
  </si>
  <si>
    <t>710401</t>
  </si>
  <si>
    <t>941223</t>
  </si>
  <si>
    <t>671114</t>
  </si>
  <si>
    <t>770815</t>
  </si>
  <si>
    <t>950731</t>
  </si>
  <si>
    <t>650520</t>
  </si>
  <si>
    <t>700921</t>
  </si>
  <si>
    <t>870422</t>
  </si>
  <si>
    <t>920817</t>
  </si>
  <si>
    <t>900828</t>
  </si>
  <si>
    <t>940602</t>
  </si>
  <si>
    <t>910609</t>
  </si>
  <si>
    <t>800610</t>
  </si>
  <si>
    <t>850310</t>
  </si>
  <si>
    <t>880728</t>
  </si>
  <si>
    <t>700228</t>
  </si>
  <si>
    <t>710615</t>
  </si>
  <si>
    <t>860117</t>
  </si>
  <si>
    <t>861215</t>
  </si>
  <si>
    <t>781208</t>
  </si>
  <si>
    <t>650714</t>
  </si>
  <si>
    <t>900829</t>
  </si>
  <si>
    <t>870804</t>
  </si>
  <si>
    <t>951228</t>
  </si>
  <si>
    <t>860817</t>
  </si>
  <si>
    <t>701217</t>
  </si>
  <si>
    <t>870326</t>
  </si>
  <si>
    <t>790616</t>
  </si>
  <si>
    <t>910309</t>
  </si>
  <si>
    <t>791110</t>
  </si>
  <si>
    <t>790912</t>
  </si>
  <si>
    <t>770603</t>
  </si>
  <si>
    <t>980225</t>
  </si>
  <si>
    <t>680317</t>
  </si>
  <si>
    <t>870719</t>
  </si>
  <si>
    <t>721217</t>
  </si>
  <si>
    <t>911102</t>
  </si>
  <si>
    <t>860528</t>
  </si>
  <si>
    <t>950225</t>
  </si>
  <si>
    <t>900212</t>
  </si>
  <si>
    <t>630517</t>
  </si>
  <si>
    <t>861126</t>
  </si>
  <si>
    <t>850331</t>
  </si>
  <si>
    <t>981129</t>
  </si>
  <si>
    <t>870306</t>
  </si>
  <si>
    <t>870915</t>
  </si>
  <si>
    <t>811128</t>
  </si>
  <si>
    <t>950521</t>
  </si>
  <si>
    <t>820103</t>
  </si>
  <si>
    <t>631015</t>
  </si>
  <si>
    <t>901021</t>
  </si>
  <si>
    <t>680825</t>
  </si>
  <si>
    <t>700822</t>
  </si>
  <si>
    <t>790527</t>
  </si>
  <si>
    <t>561031</t>
  </si>
  <si>
    <t>850724</t>
  </si>
  <si>
    <t>650311</t>
  </si>
  <si>
    <t>900905</t>
  </si>
  <si>
    <t>690704</t>
  </si>
  <si>
    <t>860122</t>
  </si>
  <si>
    <t>681207</t>
  </si>
  <si>
    <t>650305</t>
  </si>
  <si>
    <t>931019</t>
  </si>
  <si>
    <t>840718</t>
  </si>
  <si>
    <t>910409</t>
  </si>
  <si>
    <t>820608</t>
  </si>
  <si>
    <t>970420</t>
  </si>
  <si>
    <t>710723</t>
  </si>
  <si>
    <t>790920</t>
  </si>
  <si>
    <t>861203</t>
  </si>
  <si>
    <t>600702</t>
  </si>
  <si>
    <t>770401</t>
  </si>
  <si>
    <t>830627</t>
  </si>
  <si>
    <t>931022</t>
  </si>
  <si>
    <t>950103</t>
  </si>
  <si>
    <t>761214</t>
  </si>
  <si>
    <t>980115</t>
  </si>
  <si>
    <t>920202</t>
  </si>
  <si>
    <t>761219</t>
  </si>
  <si>
    <t>910216</t>
  </si>
  <si>
    <t>910922</t>
  </si>
  <si>
    <t>700511</t>
  </si>
  <si>
    <t>721004</t>
  </si>
  <si>
    <t>880308</t>
  </si>
  <si>
    <t>980414</t>
  </si>
  <si>
    <t>891228</t>
  </si>
  <si>
    <t>711125</t>
  </si>
  <si>
    <t>970719</t>
  </si>
  <si>
    <t>781026</t>
  </si>
  <si>
    <t>910912</t>
  </si>
  <si>
    <t>821217</t>
  </si>
  <si>
    <t>700620</t>
  </si>
  <si>
    <t>991218</t>
  </si>
  <si>
    <t>740624</t>
  </si>
  <si>
    <t>750207</t>
  </si>
  <si>
    <t>900625</t>
  </si>
  <si>
    <t>891102</t>
  </si>
  <si>
    <t>730420</t>
  </si>
  <si>
    <t>970731</t>
  </si>
  <si>
    <t>741126</t>
  </si>
  <si>
    <t>890201</t>
  </si>
  <si>
    <t>951013</t>
  </si>
  <si>
    <t>641111</t>
  </si>
  <si>
    <t>890928</t>
  </si>
  <si>
    <t>840902</t>
  </si>
  <si>
    <t>870904</t>
  </si>
  <si>
    <t>830609</t>
  </si>
  <si>
    <t>851204</t>
  </si>
  <si>
    <t>921105</t>
  </si>
  <si>
    <t>640808</t>
  </si>
  <si>
    <t>690805</t>
  </si>
  <si>
    <t>740620</t>
  </si>
  <si>
    <t>740818</t>
  </si>
  <si>
    <t>830811</t>
  </si>
  <si>
    <t>890522</t>
  </si>
  <si>
    <t>910926</t>
  </si>
  <si>
    <t>760720</t>
  </si>
  <si>
    <t>890407</t>
  </si>
  <si>
    <t>980120</t>
  </si>
  <si>
    <t>630705</t>
  </si>
  <si>
    <t>800224</t>
  </si>
  <si>
    <t>630113</t>
  </si>
  <si>
    <t>690702</t>
  </si>
  <si>
    <t>750624</t>
  </si>
  <si>
    <t>710614</t>
  </si>
  <si>
    <t>600823</t>
  </si>
  <si>
    <t>880507</t>
  </si>
  <si>
    <t>781223</t>
  </si>
  <si>
    <t>841224</t>
  </si>
  <si>
    <t>860427</t>
  </si>
  <si>
    <t>890412</t>
  </si>
  <si>
    <t>910727</t>
  </si>
  <si>
    <t>890606</t>
  </si>
  <si>
    <t>910711</t>
  </si>
  <si>
    <t>850305</t>
  </si>
  <si>
    <t>810805</t>
  </si>
  <si>
    <t>831212</t>
  </si>
  <si>
    <t>891230</t>
  </si>
  <si>
    <t>960424</t>
  </si>
  <si>
    <t>790906</t>
  </si>
  <si>
    <t>920123</t>
  </si>
  <si>
    <t>871027</t>
  </si>
  <si>
    <t>911106</t>
  </si>
  <si>
    <t>610607</t>
  </si>
  <si>
    <t>971031</t>
  </si>
  <si>
    <t>881224</t>
  </si>
  <si>
    <t>910529</t>
  </si>
  <si>
    <t>860808</t>
  </si>
  <si>
    <t>730217</t>
  </si>
  <si>
    <t>930215</t>
  </si>
  <si>
    <t>770320</t>
  </si>
  <si>
    <t>910816</t>
  </si>
  <si>
    <t>940214</t>
  </si>
  <si>
    <t>920425</t>
  </si>
  <si>
    <t>931009</t>
  </si>
  <si>
    <t>870311</t>
  </si>
  <si>
    <t>000925</t>
  </si>
  <si>
    <t>781010</t>
  </si>
  <si>
    <t>840607</t>
  </si>
  <si>
    <t>921024</t>
  </si>
  <si>
    <t>811219</t>
  </si>
  <si>
    <t>970821</t>
  </si>
  <si>
    <t>820601</t>
  </si>
  <si>
    <t>740719</t>
  </si>
  <si>
    <t>911023</t>
  </si>
  <si>
    <t>630327</t>
  </si>
  <si>
    <t>771031</t>
  </si>
  <si>
    <t>680811</t>
  </si>
  <si>
    <t>781015</t>
  </si>
  <si>
    <t>730728</t>
  </si>
  <si>
    <t>960610</t>
  </si>
  <si>
    <t>951012</t>
  </si>
  <si>
    <t>760114</t>
  </si>
  <si>
    <t>910917</t>
  </si>
  <si>
    <t>950109</t>
  </si>
  <si>
    <t>961231</t>
  </si>
  <si>
    <t>780207</t>
  </si>
  <si>
    <t>800617</t>
  </si>
  <si>
    <t>880530</t>
  </si>
  <si>
    <t>910805</t>
  </si>
  <si>
    <t>950314</t>
  </si>
  <si>
    <t>870509</t>
  </si>
  <si>
    <t>830605</t>
  </si>
  <si>
    <t>940912</t>
  </si>
  <si>
    <t>641005</t>
  </si>
  <si>
    <t>981218</t>
  </si>
  <si>
    <t>861121</t>
  </si>
  <si>
    <t>741219</t>
  </si>
  <si>
    <t>810714</t>
  </si>
  <si>
    <t>711208</t>
  </si>
  <si>
    <t>920717</t>
  </si>
  <si>
    <t>940820</t>
  </si>
  <si>
    <t>740701</t>
  </si>
  <si>
    <t>790413</t>
  </si>
  <si>
    <t>670820</t>
  </si>
  <si>
    <t>890421</t>
  </si>
  <si>
    <t>780126</t>
  </si>
  <si>
    <t>780208</t>
  </si>
  <si>
    <t>650726</t>
  </si>
  <si>
    <t>860203</t>
  </si>
  <si>
    <t>870424</t>
  </si>
  <si>
    <t>850703</t>
  </si>
  <si>
    <t>930103</t>
  </si>
  <si>
    <t>900518</t>
  </si>
  <si>
    <t>790224</t>
  </si>
  <si>
    <t>921004</t>
  </si>
  <si>
    <t>940721</t>
  </si>
  <si>
    <t>910629</t>
  </si>
  <si>
    <t>860527</t>
  </si>
  <si>
    <t>950831</t>
  </si>
  <si>
    <t>951114</t>
  </si>
  <si>
    <t>880302</t>
  </si>
  <si>
    <t>951019</t>
  </si>
  <si>
    <t>910220</t>
  </si>
  <si>
    <t>830407</t>
  </si>
  <si>
    <t>690616</t>
  </si>
  <si>
    <t>950620</t>
  </si>
  <si>
    <t>920403</t>
  </si>
  <si>
    <t>681107</t>
  </si>
  <si>
    <t>950405</t>
  </si>
  <si>
    <t>901113</t>
  </si>
  <si>
    <t>730703</t>
  </si>
  <si>
    <t>840515</t>
  </si>
  <si>
    <t>881004</t>
  </si>
  <si>
    <t>871214</t>
  </si>
  <si>
    <t>650118</t>
  </si>
  <si>
    <t>920204</t>
  </si>
  <si>
    <t>670929</t>
  </si>
  <si>
    <t>860602</t>
  </si>
  <si>
    <t>960607</t>
  </si>
  <si>
    <t>700724</t>
  </si>
  <si>
    <t>670604</t>
  </si>
  <si>
    <t>671001</t>
  </si>
  <si>
    <t>760924</t>
  </si>
  <si>
    <t>761202</t>
  </si>
  <si>
    <t>750227</t>
  </si>
  <si>
    <t>870413</t>
  </si>
  <si>
    <t>831119</t>
  </si>
  <si>
    <t>871021</t>
  </si>
  <si>
    <t>710502</t>
  </si>
  <si>
    <t>910702</t>
  </si>
  <si>
    <t>970403</t>
  </si>
  <si>
    <t>980830</t>
  </si>
  <si>
    <t>971219</t>
  </si>
  <si>
    <t>960502</t>
  </si>
  <si>
    <t>930302</t>
  </si>
  <si>
    <t>980613</t>
  </si>
  <si>
    <t>851123</t>
  </si>
  <si>
    <t>710811</t>
  </si>
  <si>
    <t>790115</t>
  </si>
  <si>
    <t>721025</t>
  </si>
  <si>
    <t>950724</t>
  </si>
  <si>
    <t>911201</t>
  </si>
  <si>
    <t>690305</t>
  </si>
  <si>
    <t>940823</t>
  </si>
  <si>
    <t>940521</t>
  </si>
  <si>
    <t>731213</t>
  </si>
  <si>
    <t>820614</t>
  </si>
  <si>
    <t>980411</t>
  </si>
  <si>
    <t>650725</t>
  </si>
  <si>
    <t>010517</t>
  </si>
  <si>
    <t>890214</t>
  </si>
  <si>
    <t>960517</t>
  </si>
  <si>
    <t>731210</t>
  </si>
  <si>
    <t>960726</t>
  </si>
  <si>
    <t>981005</t>
  </si>
  <si>
    <t>940930</t>
  </si>
  <si>
    <t>000525</t>
  </si>
  <si>
    <t>950928</t>
  </si>
  <si>
    <t>961213</t>
  </si>
  <si>
    <t>970525</t>
  </si>
  <si>
    <t>870922</t>
  </si>
  <si>
    <t>910621</t>
  </si>
  <si>
    <t>920824</t>
  </si>
  <si>
    <t>860814</t>
  </si>
  <si>
    <t>960212</t>
  </si>
  <si>
    <t>901107</t>
  </si>
  <si>
    <t>970613</t>
  </si>
  <si>
    <t>950602</t>
  </si>
  <si>
    <t>960129</t>
  </si>
  <si>
    <t>700311</t>
  </si>
  <si>
    <t>960627</t>
  </si>
  <si>
    <t>920404</t>
  </si>
  <si>
    <t>001101</t>
  </si>
  <si>
    <t>670530</t>
  </si>
  <si>
    <t>961019</t>
  </si>
  <si>
    <t>770126</t>
  </si>
  <si>
    <t>750513</t>
  </si>
  <si>
    <t>811118</t>
  </si>
  <si>
    <t>840805</t>
  </si>
  <si>
    <t>840928</t>
  </si>
  <si>
    <t>000105</t>
  </si>
  <si>
    <t>940720</t>
  </si>
  <si>
    <t>970511</t>
  </si>
  <si>
    <t>951224</t>
  </si>
  <si>
    <t>820125</t>
  </si>
  <si>
    <t>820606</t>
  </si>
  <si>
    <t>981207</t>
  </si>
  <si>
    <t>991110</t>
  </si>
  <si>
    <t>880707</t>
  </si>
  <si>
    <t>990329</t>
  </si>
  <si>
    <t>890513</t>
  </si>
  <si>
    <t>880609</t>
  </si>
  <si>
    <t>811209</t>
  </si>
  <si>
    <t>880417</t>
  </si>
  <si>
    <t>991107</t>
  </si>
  <si>
    <t>000613</t>
  </si>
  <si>
    <t>990823</t>
  </si>
  <si>
    <t>960127</t>
  </si>
  <si>
    <t>940617</t>
  </si>
  <si>
    <t>840115</t>
  </si>
  <si>
    <t>920716</t>
  </si>
  <si>
    <t>901127</t>
  </si>
  <si>
    <t>900210</t>
  </si>
  <si>
    <t>970224</t>
  </si>
  <si>
    <t>990226</t>
  </si>
  <si>
    <t>880816</t>
  </si>
  <si>
    <t>960421</t>
  </si>
  <si>
    <t>971020</t>
  </si>
  <si>
    <t>910924</t>
  </si>
  <si>
    <t>961114</t>
  </si>
  <si>
    <t>930330</t>
  </si>
  <si>
    <t>970819</t>
  </si>
  <si>
    <t>930613</t>
  </si>
  <si>
    <t>850522</t>
  </si>
  <si>
    <t>800620</t>
  </si>
  <si>
    <t>981013</t>
  </si>
  <si>
    <t>650104</t>
  </si>
  <si>
    <t>990625</t>
  </si>
  <si>
    <t>891208</t>
  </si>
  <si>
    <t>891031</t>
  </si>
  <si>
    <t>980605</t>
  </si>
  <si>
    <t>830830</t>
  </si>
  <si>
    <t>960131</t>
  </si>
  <si>
    <t>990907</t>
  </si>
  <si>
    <t>960423</t>
  </si>
  <si>
    <t>850106</t>
  </si>
  <si>
    <t>930205</t>
  </si>
  <si>
    <t>980321</t>
  </si>
  <si>
    <t>830706</t>
  </si>
  <si>
    <t>961122</t>
  </si>
  <si>
    <t>961026</t>
  </si>
  <si>
    <t>860423</t>
  </si>
  <si>
    <t>910806</t>
  </si>
  <si>
    <t>980907</t>
  </si>
  <si>
    <t>931227</t>
  </si>
  <si>
    <t>960509</t>
  </si>
  <si>
    <t>010502</t>
  </si>
  <si>
    <t>951015</t>
  </si>
  <si>
    <t>871211</t>
  </si>
  <si>
    <t>990308</t>
  </si>
  <si>
    <t>880128</t>
  </si>
  <si>
    <t>951205</t>
  </si>
  <si>
    <t>830508</t>
  </si>
  <si>
    <t>921125</t>
  </si>
  <si>
    <t>941006</t>
  </si>
  <si>
    <t>810605</t>
  </si>
  <si>
    <t>760321</t>
  </si>
  <si>
    <t>590522</t>
  </si>
  <si>
    <t>720818</t>
  </si>
  <si>
    <t>730716</t>
  </si>
  <si>
    <t>750310</t>
  </si>
  <si>
    <t>750221</t>
  </si>
  <si>
    <t>880102</t>
  </si>
  <si>
    <t>721128</t>
  </si>
  <si>
    <t>740802</t>
  </si>
  <si>
    <t>880105</t>
  </si>
  <si>
    <t>890519</t>
  </si>
  <si>
    <t>730317</t>
  </si>
  <si>
    <t>880104</t>
  </si>
  <si>
    <t>600430</t>
  </si>
  <si>
    <t>630425</t>
  </si>
  <si>
    <t>680728</t>
  </si>
  <si>
    <t>651021</t>
  </si>
  <si>
    <t>740126</t>
  </si>
  <si>
    <t>730916</t>
  </si>
  <si>
    <t>801212</t>
  </si>
  <si>
    <t>951024</t>
  </si>
  <si>
    <t>740506</t>
  </si>
  <si>
    <t>940826</t>
  </si>
  <si>
    <t>RFC</t>
  </si>
  <si>
    <t>GUFF650507RE7</t>
  </si>
  <si>
    <t>ROMA7208057B3</t>
  </si>
  <si>
    <t>PAMN690418F47</t>
  </si>
  <si>
    <t>GAGS720516D59</t>
  </si>
  <si>
    <t>VIBG640904TE1</t>
  </si>
  <si>
    <t>VIRA750319CJ0</t>
  </si>
  <si>
    <t>CUMP580218JI6</t>
  </si>
  <si>
    <t>GAVA711112CU4</t>
  </si>
  <si>
    <t>MOAC621129LV6</t>
  </si>
  <si>
    <t>ROLA620912575</t>
  </si>
  <si>
    <t>PIMA740526PT6</t>
  </si>
  <si>
    <t>SEME601202799</t>
  </si>
  <si>
    <t>BAVJ6803186N3</t>
  </si>
  <si>
    <t>HESD751222DX4</t>
  </si>
  <si>
    <t>OEMF730618FR9</t>
  </si>
  <si>
    <t>AOHA6409212X1</t>
  </si>
  <si>
    <t>MERH701201P63</t>
  </si>
  <si>
    <t>CUSI770816HY9</t>
  </si>
  <si>
    <t>JURA670903JT0</t>
  </si>
  <si>
    <t>GATG690723E9A</t>
  </si>
  <si>
    <t>MAJA570618JM0</t>
  </si>
  <si>
    <t>ROSM730309KZ9</t>
  </si>
  <si>
    <t>CUDA691203QW3</t>
  </si>
  <si>
    <t>HEEC701103F66</t>
  </si>
  <si>
    <t>MISM800801U15</t>
  </si>
  <si>
    <t>OEPA670505BR5</t>
  </si>
  <si>
    <t>JORA6310298CA</t>
  </si>
  <si>
    <t>CORL6405028M0</t>
  </si>
  <si>
    <t>PERA761225M12</t>
  </si>
  <si>
    <t>CAAR681209FM7</t>
  </si>
  <si>
    <t>MERA791209772</t>
  </si>
  <si>
    <t>EAGE750201KQ7</t>
  </si>
  <si>
    <t>TOSL590727LR5</t>
  </si>
  <si>
    <t>CEBL820126KF7</t>
  </si>
  <si>
    <t>VAMJ801107776</t>
  </si>
  <si>
    <t>YASA740202A21</t>
  </si>
  <si>
    <t>ZAML710522A69</t>
  </si>
  <si>
    <t>LOAM8006234I8</t>
  </si>
  <si>
    <t>AAFS8405195E1</t>
  </si>
  <si>
    <t>BASR830524IY6</t>
  </si>
  <si>
    <t>PEDL7107178X3</t>
  </si>
  <si>
    <t>CAVI640405FFA</t>
  </si>
  <si>
    <t>AOAP610808T7A</t>
  </si>
  <si>
    <t>RUFR65060831A</t>
  </si>
  <si>
    <t>LARE7411116B3</t>
  </si>
  <si>
    <t>MESL780610PI0</t>
  </si>
  <si>
    <t>BAAE8504157U2</t>
  </si>
  <si>
    <t>ROPM850605RP0</t>
  </si>
  <si>
    <t>BUFZ800605UV6</t>
  </si>
  <si>
    <t>CUSG610324JJ2</t>
  </si>
  <si>
    <t>CALM7407036K1</t>
  </si>
  <si>
    <t>RECA710902PJA</t>
  </si>
  <si>
    <t>MEGG6311133KA</t>
  </si>
  <si>
    <t>MOME7107284E3</t>
  </si>
  <si>
    <t>SORS851014SM5</t>
  </si>
  <si>
    <t>SORD750525HH1</t>
  </si>
  <si>
    <t>DIGB710520MV1</t>
  </si>
  <si>
    <t>AABI6502062D2</t>
  </si>
  <si>
    <t>PECN670629K29</t>
  </si>
  <si>
    <t>EAST7110316A0</t>
  </si>
  <si>
    <t>AAAR760404S29</t>
  </si>
  <si>
    <t>OEMB740528PU3</t>
  </si>
  <si>
    <t>GOEJ780322MT3</t>
  </si>
  <si>
    <t>AARG851126RA9</t>
  </si>
  <si>
    <t>NARA8711266A5</t>
  </si>
  <si>
    <t>HECB670322SN3</t>
  </si>
  <si>
    <t>COGA781125U81</t>
  </si>
  <si>
    <t>JIGE6607242M2</t>
  </si>
  <si>
    <t>VASM720920LV8</t>
  </si>
  <si>
    <t>SICF730724V58</t>
  </si>
  <si>
    <t>EASV821012RM0</t>
  </si>
  <si>
    <t>VAGE6207067E8</t>
  </si>
  <si>
    <t>SAGD7106013A3</t>
  </si>
  <si>
    <t>BEHM761101EI0</t>
  </si>
  <si>
    <t>GURJ640405UC6</t>
  </si>
  <si>
    <t>CAGR821216N84</t>
  </si>
  <si>
    <t>MOCJ790810772</t>
  </si>
  <si>
    <t>EOCO810125L10</t>
  </si>
  <si>
    <t>LOHL790925EL3</t>
  </si>
  <si>
    <t>VARP781109JK9</t>
  </si>
  <si>
    <t>LEGF8003194R2</t>
  </si>
  <si>
    <t>BEMP610316JM0</t>
  </si>
  <si>
    <t>PEAJ730413GAA</t>
  </si>
  <si>
    <t>AUJG660323L88</t>
  </si>
  <si>
    <t>HEVJ780910B64</t>
  </si>
  <si>
    <t>VAEA7212109H3</t>
  </si>
  <si>
    <t>GALJ660209NE5</t>
  </si>
  <si>
    <t>MAMM710113RA1</t>
  </si>
  <si>
    <t>FELF730530152</t>
  </si>
  <si>
    <t>AELA640119F15</t>
  </si>
  <si>
    <t>ROPA721207DD2</t>
  </si>
  <si>
    <t>GALM821017QT8</t>
  </si>
  <si>
    <t>PEAF660402R14</t>
  </si>
  <si>
    <t>ROHA780709MBA</t>
  </si>
  <si>
    <t>DIVZ880927MUA</t>
  </si>
  <si>
    <t>VILJ830316SX2</t>
  </si>
  <si>
    <t>NAPF690424Q34</t>
  </si>
  <si>
    <t>VIJE6705251XA</t>
  </si>
  <si>
    <t>RUGC640119PV2</t>
  </si>
  <si>
    <t>MOEN8803164T7</t>
  </si>
  <si>
    <t>BACA620531UU1</t>
  </si>
  <si>
    <t>TERI750327DI7</t>
  </si>
  <si>
    <t>AAQM800903S41</t>
  </si>
  <si>
    <t>LAGE860724DY6</t>
  </si>
  <si>
    <t>AAMR720201932</t>
  </si>
  <si>
    <t>GORH790731BY2</t>
  </si>
  <si>
    <t>SADA880910R12</t>
  </si>
  <si>
    <t>GOPM800910LM2</t>
  </si>
  <si>
    <t>BASK8205232Z1</t>
  </si>
  <si>
    <t>TECR870507SM0</t>
  </si>
  <si>
    <t>SOEG8410239M4</t>
  </si>
  <si>
    <t>CAIL771001JA0</t>
  </si>
  <si>
    <t>SELA860430522</t>
  </si>
  <si>
    <t>MAMM860211690</t>
  </si>
  <si>
    <t>GOJY690610GJ0</t>
  </si>
  <si>
    <t>MAYA791104TMA</t>
  </si>
  <si>
    <t>GAFI7906131K9</t>
  </si>
  <si>
    <t>CAVR8510085W4</t>
  </si>
  <si>
    <t>PAEM541020FLA</t>
  </si>
  <si>
    <t>RAHA830504IF4</t>
  </si>
  <si>
    <t>SASC650812HQ3</t>
  </si>
  <si>
    <t>JIOM7207298F9</t>
  </si>
  <si>
    <t>RORG800806MI8</t>
  </si>
  <si>
    <t>GAGV850501AT7</t>
  </si>
  <si>
    <t>ROMM630124EP1</t>
  </si>
  <si>
    <t>FIGL600922PX9</t>
  </si>
  <si>
    <t>SACR780525SQ6</t>
  </si>
  <si>
    <t>TOAV780815CP0</t>
  </si>
  <si>
    <t>RIVI920627PR2</t>
  </si>
  <si>
    <t>LOGS870131QE8</t>
  </si>
  <si>
    <t>RUJC761020FS2</t>
  </si>
  <si>
    <t>RIMJ7501163Z1</t>
  </si>
  <si>
    <t>ROVJ620820MN6</t>
  </si>
  <si>
    <t>GACK780105834</t>
  </si>
  <si>
    <t>GAVE690311BM6</t>
  </si>
  <si>
    <t>GORO620525U41</t>
  </si>
  <si>
    <t>DIHA750611L32</t>
  </si>
  <si>
    <t>MALC720422SS0</t>
  </si>
  <si>
    <t>SACG760803LJ6</t>
  </si>
  <si>
    <t>HEEC700604QWA</t>
  </si>
  <si>
    <t>ROMB780112AA9</t>
  </si>
  <si>
    <t>PAFL8504141F0</t>
  </si>
  <si>
    <t>FOGR6211253P8</t>
  </si>
  <si>
    <t>GAHF650402BI9</t>
  </si>
  <si>
    <t>RUME771107KB4</t>
  </si>
  <si>
    <t>GAFF791004R49</t>
  </si>
  <si>
    <t>PERJ810430IJ6</t>
  </si>
  <si>
    <t>GAFE870316PD1</t>
  </si>
  <si>
    <t>EUTY880906AZ1</t>
  </si>
  <si>
    <t>AUJJ670710M92</t>
  </si>
  <si>
    <t>FERA750112PX6</t>
  </si>
  <si>
    <t>RAMS880207VA1</t>
  </si>
  <si>
    <t>MAMG880602JA2</t>
  </si>
  <si>
    <t>SAMR7004148P7</t>
  </si>
  <si>
    <t>PART870610IL0</t>
  </si>
  <si>
    <t>AECJ930923F52</t>
  </si>
  <si>
    <t>SAVE6205294R7</t>
  </si>
  <si>
    <t>ZEHG9006078P6</t>
  </si>
  <si>
    <t>CARC791227PQ6</t>
  </si>
  <si>
    <t>PEZY6807296I6</t>
  </si>
  <si>
    <t>IAOA7809115R0</t>
  </si>
  <si>
    <t>LEQN880511DQ7</t>
  </si>
  <si>
    <t>EIRR810924QS2</t>
  </si>
  <si>
    <t>BEPL8901039G6</t>
  </si>
  <si>
    <t>GARF670223RD5</t>
  </si>
  <si>
    <t>FUGE741115TQ6</t>
  </si>
  <si>
    <t>VEAM751224BD1</t>
  </si>
  <si>
    <t>OERJ7412045S5</t>
  </si>
  <si>
    <t>LOPM760406HT4</t>
  </si>
  <si>
    <t>BEME610820UPA</t>
  </si>
  <si>
    <t>ZACL770104252</t>
  </si>
  <si>
    <t>BARC850420TK1</t>
  </si>
  <si>
    <t>CINC811116MY9</t>
  </si>
  <si>
    <t>SIDJ650326IH6</t>
  </si>
  <si>
    <t>AAHM831203EZ4</t>
  </si>
  <si>
    <t>GOPE871207AZA</t>
  </si>
  <si>
    <t>BAJR890909I64</t>
  </si>
  <si>
    <t>GARM7811255D0</t>
  </si>
  <si>
    <t>HIFA780314CV0</t>
  </si>
  <si>
    <t>AIGC6901135I5</t>
  </si>
  <si>
    <t>COLB860902JB9</t>
  </si>
  <si>
    <t>TOSL6212275S0</t>
  </si>
  <si>
    <t>VIMJ6505271Q4</t>
  </si>
  <si>
    <t>MUBE800226TL8</t>
  </si>
  <si>
    <t>GAGJ8609277Y4</t>
  </si>
  <si>
    <t>LOLA640417R45</t>
  </si>
  <si>
    <t>IIMM8704278FA</t>
  </si>
  <si>
    <t>DIPE770528EZ6</t>
  </si>
  <si>
    <t>OEJL900930HP1</t>
  </si>
  <si>
    <t>PERE850804J52</t>
  </si>
  <si>
    <t>JACR760709UW6</t>
  </si>
  <si>
    <t>VAEW780730B73</t>
  </si>
  <si>
    <t>MUCG640330CX4</t>
  </si>
  <si>
    <t>CACH820625QM1</t>
  </si>
  <si>
    <t>IAML8811276Y8</t>
  </si>
  <si>
    <t>GAGC920514UW4</t>
  </si>
  <si>
    <t>GAMA821127HX7</t>
  </si>
  <si>
    <t>CABJ810319L38</t>
  </si>
  <si>
    <t>COPM680502NCA</t>
  </si>
  <si>
    <t>SOVX731216FIA</t>
  </si>
  <si>
    <t>PEMG8108291N2</t>
  </si>
  <si>
    <t>PAPL601006K79</t>
  </si>
  <si>
    <t>LIJF710730V73</t>
  </si>
  <si>
    <t>MAMR761226172</t>
  </si>
  <si>
    <t>ROOA851107QV5</t>
  </si>
  <si>
    <t>MEGG731217G96</t>
  </si>
  <si>
    <t>HEHC920327B92</t>
  </si>
  <si>
    <t>MAJJ660918MG4</t>
  </si>
  <si>
    <t>ROLS62081113A</t>
  </si>
  <si>
    <t>RATU811103EF8</t>
  </si>
  <si>
    <t>CUMI780508NP5</t>
  </si>
  <si>
    <t>JUPC6503181G1</t>
  </si>
  <si>
    <t>ROMC740714N87</t>
  </si>
  <si>
    <t>SOHR7710074E4</t>
  </si>
  <si>
    <t>BEME780730HM7</t>
  </si>
  <si>
    <t>MEER661123PR7</t>
  </si>
  <si>
    <t>CAMM7405239G2</t>
  </si>
  <si>
    <t>CUSJ8009056S6</t>
  </si>
  <si>
    <t>HIFM8504065I1</t>
  </si>
  <si>
    <t>OOCL900717DU8</t>
  </si>
  <si>
    <t>GOCE8809218H3</t>
  </si>
  <si>
    <t>MACF6105044Z0</t>
  </si>
  <si>
    <t>VAZD8903165I5</t>
  </si>
  <si>
    <t>VIAM7409244M6</t>
  </si>
  <si>
    <t>EUQA950209T35</t>
  </si>
  <si>
    <t>SAVS601027D18</t>
  </si>
  <si>
    <t>OEZE900703T94</t>
  </si>
  <si>
    <t>ROAF7202076C4</t>
  </si>
  <si>
    <t>ROZS771114NG2</t>
  </si>
  <si>
    <t>PABA710131BI3</t>
  </si>
  <si>
    <t>MUAJ611220GR2</t>
  </si>
  <si>
    <t>HEJP870926J53</t>
  </si>
  <si>
    <t>BERD751109TS7</t>
  </si>
  <si>
    <t>HEES7305045N7</t>
  </si>
  <si>
    <t>CABD920629QZA</t>
  </si>
  <si>
    <t>AAPB890712AB5</t>
  </si>
  <si>
    <t>RIGB9011301R0</t>
  </si>
  <si>
    <t>ROZS900916632</t>
  </si>
  <si>
    <t>VARA620408MN6</t>
  </si>
  <si>
    <t>CUAC680311Q14</t>
  </si>
  <si>
    <t>ROPA930228DV8</t>
  </si>
  <si>
    <t>LAPF8704047P8</t>
  </si>
  <si>
    <t>GARR860914KKA</t>
  </si>
  <si>
    <t>CAMM931010C78</t>
  </si>
  <si>
    <t>RARF630827HM9</t>
  </si>
  <si>
    <t>ROPY850518HA1</t>
  </si>
  <si>
    <t>MESJ801218637</t>
  </si>
  <si>
    <t>EEGM850603NK8</t>
  </si>
  <si>
    <t>VIAL760715712</t>
  </si>
  <si>
    <t>RORE750921DW9</t>
  </si>
  <si>
    <t>GAAA820307VD9</t>
  </si>
  <si>
    <t>HEHG890502TY0</t>
  </si>
  <si>
    <t>JAEO950214NPA</t>
  </si>
  <si>
    <t>FAJL600125JR9</t>
  </si>
  <si>
    <t>GUAM640915IZ9</t>
  </si>
  <si>
    <t>GASM851228560</t>
  </si>
  <si>
    <t>MACL6901183C7</t>
  </si>
  <si>
    <t>JUPG840713Q35</t>
  </si>
  <si>
    <t>VASK850823UM1</t>
  </si>
  <si>
    <t>CUCS720907LQ4</t>
  </si>
  <si>
    <t>MECL930903958</t>
  </si>
  <si>
    <t>MERA840530Q32</t>
  </si>
  <si>
    <t>LAGY890209PH9</t>
  </si>
  <si>
    <t>FEDS711216G3A</t>
  </si>
  <si>
    <t>CINS730807NZ2</t>
  </si>
  <si>
    <t>MOQE620813RNA</t>
  </si>
  <si>
    <t>PAMA85103113A</t>
  </si>
  <si>
    <t>CARE5208298K3</t>
  </si>
  <si>
    <t>TEZE810901AS0</t>
  </si>
  <si>
    <t>NIGJ740922U38</t>
  </si>
  <si>
    <t>GOPH650325714</t>
  </si>
  <si>
    <t>LOGL910201SE9</t>
  </si>
  <si>
    <t>QUOR890216FF2</t>
  </si>
  <si>
    <t>CAVL830311H78</t>
  </si>
  <si>
    <t>VIGG791212LE6</t>
  </si>
  <si>
    <t>SAGV780925AK2</t>
  </si>
  <si>
    <t>AARJ880913983</t>
  </si>
  <si>
    <t>RALE8204082C5</t>
  </si>
  <si>
    <t>CABC751229N3A</t>
  </si>
  <si>
    <t>SIAK920606DQ2</t>
  </si>
  <si>
    <t>COHI8906124W6</t>
  </si>
  <si>
    <t>OECE790714951</t>
  </si>
  <si>
    <t>OIAR6605286Z4</t>
  </si>
  <si>
    <t>MAMD891203IN3</t>
  </si>
  <si>
    <t>MESS6212106G3</t>
  </si>
  <si>
    <t>VALR630819UB2</t>
  </si>
  <si>
    <t>CABJ720106A19</t>
  </si>
  <si>
    <t>MAGI680201E83</t>
  </si>
  <si>
    <t>MAEB890404EN4</t>
  </si>
  <si>
    <t>MEME760723CN7</t>
  </si>
  <si>
    <t>GOAE670424EC6</t>
  </si>
  <si>
    <t>SAPA880508EQ0</t>
  </si>
  <si>
    <t>VACA630707SS6</t>
  </si>
  <si>
    <t>SOAL860926G95</t>
  </si>
  <si>
    <t>GUGE890219PKA</t>
  </si>
  <si>
    <t>GAJM890122E79</t>
  </si>
  <si>
    <t>GUFJ940116P64</t>
  </si>
  <si>
    <t>MOVD681219CC3</t>
  </si>
  <si>
    <t>CAME691128TX4</t>
  </si>
  <si>
    <t>LOCS761026AQ1</t>
  </si>
  <si>
    <t>LIAL730507JE6</t>
  </si>
  <si>
    <t>GOPM770227FW4</t>
  </si>
  <si>
    <t>HIRE800711JX0</t>
  </si>
  <si>
    <t>VARC680914JFA</t>
  </si>
  <si>
    <t>CUCR8411264R7</t>
  </si>
  <si>
    <t>GUMA7911125N0</t>
  </si>
  <si>
    <t>HEBA920216DU9</t>
  </si>
  <si>
    <t>RAHV840216DD9</t>
  </si>
  <si>
    <t>GALD920917HQ1</t>
  </si>
  <si>
    <t>MOHC660826A20</t>
  </si>
  <si>
    <t>GACG820825U1A</t>
  </si>
  <si>
    <t>AAVS630122384</t>
  </si>
  <si>
    <t>SAMV7212056L6</t>
  </si>
  <si>
    <t>GUVA700728SC8</t>
  </si>
  <si>
    <t>GAMY790725IW7</t>
  </si>
  <si>
    <t>LUHE660516884</t>
  </si>
  <si>
    <t>PERD810325D86</t>
  </si>
  <si>
    <t>MOGM870227LX7</t>
  </si>
  <si>
    <t>AIRA8410167E3</t>
  </si>
  <si>
    <t>MABA730321C85</t>
  </si>
  <si>
    <t>ROME680202B71</t>
  </si>
  <si>
    <t>BAGL680314FI4</t>
  </si>
  <si>
    <t>CIPH8105145G6</t>
  </si>
  <si>
    <t>HEMD7805025G6</t>
  </si>
  <si>
    <t>RUVB750224T95</t>
  </si>
  <si>
    <t>BAZR910430RA6</t>
  </si>
  <si>
    <t>AARR751027K26</t>
  </si>
  <si>
    <t>VEPC9010146V7</t>
  </si>
  <si>
    <t>ZEAJ881106819</t>
  </si>
  <si>
    <t>MAHA8007196B3</t>
  </si>
  <si>
    <t>LEGD901108PL8</t>
  </si>
  <si>
    <t>VATR740912M36</t>
  </si>
  <si>
    <t>NAEC840809SD7</t>
  </si>
  <si>
    <t>GABK8906256F6</t>
  </si>
  <si>
    <t>AASE920613UT0</t>
  </si>
  <si>
    <t>VASE8208066I1</t>
  </si>
  <si>
    <t>REMI920212BSA</t>
  </si>
  <si>
    <t>VAPJ640324K24</t>
  </si>
  <si>
    <t>GACR611029L9A</t>
  </si>
  <si>
    <t>LUJG9012167A4</t>
  </si>
  <si>
    <t>RUCR781013AP5</t>
  </si>
  <si>
    <t>SAGR680102888</t>
  </si>
  <si>
    <t>GOLC870310F44</t>
  </si>
  <si>
    <t>MARE7910131W7</t>
  </si>
  <si>
    <t>OOVD950114G73</t>
  </si>
  <si>
    <t>LOAI901108BS9</t>
  </si>
  <si>
    <t>MAGE860101Q29</t>
  </si>
  <si>
    <t>VAOA950203E45</t>
  </si>
  <si>
    <t>SACC921231ILA</t>
  </si>
  <si>
    <t>VACA8312155R0</t>
  </si>
  <si>
    <t>GUMP700727EC7</t>
  </si>
  <si>
    <t>GAME900331JF9</t>
  </si>
  <si>
    <t>GUGG870310GM7</t>
  </si>
  <si>
    <t>CARA730114DX8</t>
  </si>
  <si>
    <t>LOMY910708A14</t>
  </si>
  <si>
    <t>MALR870722RL1</t>
  </si>
  <si>
    <t>COME641117PK1</t>
  </si>
  <si>
    <t>COCS910102E94</t>
  </si>
  <si>
    <t>GOSJ910625HT4</t>
  </si>
  <si>
    <t>SEPS710427PT5</t>
  </si>
  <si>
    <t>HEHP690322MV5</t>
  </si>
  <si>
    <t>HEHT601109RA6</t>
  </si>
  <si>
    <t>AUGM790716UF5</t>
  </si>
  <si>
    <t>MACD741103U77</t>
  </si>
  <si>
    <t>EIVJ930925ID1</t>
  </si>
  <si>
    <t>AACL840422RG4</t>
  </si>
  <si>
    <t>GAHM781123U78</t>
  </si>
  <si>
    <t>BACL880822NY0</t>
  </si>
  <si>
    <t>AEVG6203297V5</t>
  </si>
  <si>
    <t>CILL6012174S1</t>
  </si>
  <si>
    <t>AEJM870525D38</t>
  </si>
  <si>
    <t>VEHJ851203NK8</t>
  </si>
  <si>
    <t>SUCJ9507137M4</t>
  </si>
  <si>
    <t>BODM810829KC3</t>
  </si>
  <si>
    <t>AEMR610830B36</t>
  </si>
  <si>
    <t>EIVJ690313LIA</t>
  </si>
  <si>
    <t>LORS690518TB9</t>
  </si>
  <si>
    <t>RIRD9607072R8</t>
  </si>
  <si>
    <t>BEHM740527T75</t>
  </si>
  <si>
    <t>RUGE741010PS3</t>
  </si>
  <si>
    <t>MOMM970308CD1</t>
  </si>
  <si>
    <t>REBM831231LT3</t>
  </si>
  <si>
    <t>RUMC801205KM7</t>
  </si>
  <si>
    <t>RICK950318RR4</t>
  </si>
  <si>
    <t>AUCE900515TF4</t>
  </si>
  <si>
    <t>TOFI841106389</t>
  </si>
  <si>
    <t>HEMN6806123W8</t>
  </si>
  <si>
    <t>OUCC860719A81</t>
  </si>
  <si>
    <t>BUFA7007276S2</t>
  </si>
  <si>
    <t>VABG9103035T1</t>
  </si>
  <si>
    <t>JUGJ9012306Z9</t>
  </si>
  <si>
    <t>SASC650502FJ4</t>
  </si>
  <si>
    <t>JAAP9011214V3</t>
  </si>
  <si>
    <t>LOCY940810F69</t>
  </si>
  <si>
    <t>VALM920211TE9</t>
  </si>
  <si>
    <t>PIRL8709121J1</t>
  </si>
  <si>
    <t>DAGD940310RBA</t>
  </si>
  <si>
    <t>OEPG721015BD2</t>
  </si>
  <si>
    <t>BAGR620124A74</t>
  </si>
  <si>
    <t>MASE820318470</t>
  </si>
  <si>
    <t>PECW850908AZ8</t>
  </si>
  <si>
    <t>VAJG640114CA4</t>
  </si>
  <si>
    <t>GUML720211E89</t>
  </si>
  <si>
    <t>RARE700708KR3</t>
  </si>
  <si>
    <t>HECC861015C31</t>
  </si>
  <si>
    <t>AUMB930716HI5</t>
  </si>
  <si>
    <t>EUSK8702018M2</t>
  </si>
  <si>
    <t>ROAV910902S93</t>
  </si>
  <si>
    <t>MIJA8602147Q6</t>
  </si>
  <si>
    <t>VAMY940903827</t>
  </si>
  <si>
    <t>MOVM871217K93</t>
  </si>
  <si>
    <t>BUTA710717491</t>
  </si>
  <si>
    <t>MENL910606AM4</t>
  </si>
  <si>
    <t>AUOF781227D3A</t>
  </si>
  <si>
    <t>FOOD930511T69</t>
  </si>
  <si>
    <t>CUML791118NX7</t>
  </si>
  <si>
    <t>ROMB8312164Y1</t>
  </si>
  <si>
    <t>HEGA840829IK0</t>
  </si>
  <si>
    <t>RORF780727KM8</t>
  </si>
  <si>
    <t>ROGN800308MN5</t>
  </si>
  <si>
    <t>COMC680302J20</t>
  </si>
  <si>
    <t>MIJJ970706GT9</t>
  </si>
  <si>
    <t>RUCI7003193F1</t>
  </si>
  <si>
    <t>RAVG760710LS1</t>
  </si>
  <si>
    <t>TOCJ820702HU2</t>
  </si>
  <si>
    <t>SADK8705034Y8</t>
  </si>
  <si>
    <t>REVE920515BXA</t>
  </si>
  <si>
    <t>EIMJ681009GS3</t>
  </si>
  <si>
    <t>VAMJ7705036E2</t>
  </si>
  <si>
    <t>ROHC8004059N6</t>
  </si>
  <si>
    <t>HEGG850216886</t>
  </si>
  <si>
    <t>VARJ6503278J8</t>
  </si>
  <si>
    <t>FICA7806232SA</t>
  </si>
  <si>
    <t>AARE910226FR1</t>
  </si>
  <si>
    <t>GURE8612182A2</t>
  </si>
  <si>
    <t>PISD9611261Z0</t>
  </si>
  <si>
    <t>GAFM8309222S1</t>
  </si>
  <si>
    <t>PEBR700830C41</t>
  </si>
  <si>
    <t>MEPO9001174K4</t>
  </si>
  <si>
    <t>GAGT9010152Q2</t>
  </si>
  <si>
    <t>VAAC730121791</t>
  </si>
  <si>
    <t>GACE940124G42</t>
  </si>
  <si>
    <t>LULJ910306B10</t>
  </si>
  <si>
    <t>HEAL940401QR3</t>
  </si>
  <si>
    <t>SUOJ641208JZ5</t>
  </si>
  <si>
    <t>VEZL690530RA9</t>
  </si>
  <si>
    <t>MIFL9208151Q7</t>
  </si>
  <si>
    <t>FOFA640117I4A</t>
  </si>
  <si>
    <t>CAFG701026LE7</t>
  </si>
  <si>
    <t>AARG850114S37</t>
  </si>
  <si>
    <t>CAPA660812KB6</t>
  </si>
  <si>
    <t>VASJ880407MA1</t>
  </si>
  <si>
    <t>LEGS890228GF5</t>
  </si>
  <si>
    <t>RAPD811229P18</t>
  </si>
  <si>
    <t>MORM670718111</t>
  </si>
  <si>
    <t>MOPL710401QN1</t>
  </si>
  <si>
    <t>AURA9412235F2</t>
  </si>
  <si>
    <t>GOML6711149X0</t>
  </si>
  <si>
    <t>MAOM770815CR3</t>
  </si>
  <si>
    <t>VERK95073186A</t>
  </si>
  <si>
    <t>MEGA650520C96</t>
  </si>
  <si>
    <t>GOSR700921SKA</t>
  </si>
  <si>
    <t>MAHM8704228I2</t>
  </si>
  <si>
    <t>BOPB920817T12</t>
  </si>
  <si>
    <t>MOPS9008282R2</t>
  </si>
  <si>
    <t>ZAVS940602AE7</t>
  </si>
  <si>
    <t>CECY910609JU3</t>
  </si>
  <si>
    <t>DIBJ8006102X8</t>
  </si>
  <si>
    <t>LARM850310PT5</t>
  </si>
  <si>
    <t>EILP880728P87</t>
  </si>
  <si>
    <t>PASN7002287R9</t>
  </si>
  <si>
    <t>PICF7106159M6</t>
  </si>
  <si>
    <t>AOVA860117E14</t>
  </si>
  <si>
    <t>MAUX861215J36</t>
  </si>
  <si>
    <t>ROLR781208JP1</t>
  </si>
  <si>
    <t>CAGL650714LM9</t>
  </si>
  <si>
    <t>GAHA900829L21</t>
  </si>
  <si>
    <t>FUCJ870804IV0</t>
  </si>
  <si>
    <t>SAMM951228UGA</t>
  </si>
  <si>
    <t>PABA860817KX4</t>
  </si>
  <si>
    <t>GOHA701217CF3</t>
  </si>
  <si>
    <t>ROHN870326NB1</t>
  </si>
  <si>
    <t>GUVN790616622</t>
  </si>
  <si>
    <t>PITJ910309TE7</t>
  </si>
  <si>
    <t>EIPL791110KR3</t>
  </si>
  <si>
    <t>SARA7909127J0</t>
  </si>
  <si>
    <t>PEHH770603L15</t>
  </si>
  <si>
    <t>AOHD980225JZ4</t>
  </si>
  <si>
    <t>GARR6803179X8</t>
  </si>
  <si>
    <t>CAPR910606689</t>
  </si>
  <si>
    <t>LASD870719N19</t>
  </si>
  <si>
    <t>AACN721217MN3</t>
  </si>
  <si>
    <t>LAAD911102C37</t>
  </si>
  <si>
    <t>RUFM860528473</t>
  </si>
  <si>
    <t>HEJC950225LF5</t>
  </si>
  <si>
    <t>CUHA900212DK1</t>
  </si>
  <si>
    <t>MEEP630517CN9</t>
  </si>
  <si>
    <t>OODE861126FN0</t>
  </si>
  <si>
    <t>SAVT850331744</t>
  </si>
  <si>
    <t>GAGJ981129N36</t>
  </si>
  <si>
    <t>OIJV870306RM7</t>
  </si>
  <si>
    <t>SALJ870915UA5</t>
  </si>
  <si>
    <t>GOFG8111289X4</t>
  </si>
  <si>
    <t>VASD9505213I4</t>
  </si>
  <si>
    <t>JURM820103745</t>
  </si>
  <si>
    <t>PEMS631015CS1</t>
  </si>
  <si>
    <t>LOLP901021K73</t>
  </si>
  <si>
    <t>IEGC680825CS2</t>
  </si>
  <si>
    <t>CONM700822VE6</t>
  </si>
  <si>
    <t>AABS790527FP7</t>
  </si>
  <si>
    <t>HUSJ561031183</t>
  </si>
  <si>
    <t>OEGC850724QP9</t>
  </si>
  <si>
    <t>AAFC650311292</t>
  </si>
  <si>
    <t>EIMD900905HS0</t>
  </si>
  <si>
    <t>CUAL690704BK6</t>
  </si>
  <si>
    <t>BAGL860122ND3</t>
  </si>
  <si>
    <t>MAMA681207QI4</t>
  </si>
  <si>
    <t>AADA6503056KA</t>
  </si>
  <si>
    <t>CUOG931019AM9</t>
  </si>
  <si>
    <t>RORJ840718R95</t>
  </si>
  <si>
    <t>YERY910409FJ5</t>
  </si>
  <si>
    <t>ZEEL820608PQA</t>
  </si>
  <si>
    <t>RETE9704207Q6</t>
  </si>
  <si>
    <t>LAGS710723P57</t>
  </si>
  <si>
    <t>MELS790920JF4</t>
  </si>
  <si>
    <t>MAOM9206291V8</t>
  </si>
  <si>
    <t>CUBM861203VC4</t>
  </si>
  <si>
    <t>DIBJ6007023EA</t>
  </si>
  <si>
    <t>PAMF7704017ZA</t>
  </si>
  <si>
    <t>REGD8306272N7</t>
  </si>
  <si>
    <t>MAGO931022QG3</t>
  </si>
  <si>
    <t>GAAG950103JY5</t>
  </si>
  <si>
    <t>FOBD761214EN5</t>
  </si>
  <si>
    <t>OEBD980115489</t>
  </si>
  <si>
    <t>COAJ9202029B2</t>
  </si>
  <si>
    <t>NALB721205LJ0</t>
  </si>
  <si>
    <t>RODC761219KS5</t>
  </si>
  <si>
    <t>PEOF910216AI6</t>
  </si>
  <si>
    <t>AEAC9109228G3</t>
  </si>
  <si>
    <t>GISR7005111K9</t>
  </si>
  <si>
    <t>GAPA721004TQ8</t>
  </si>
  <si>
    <t>PAGM8803086Y5</t>
  </si>
  <si>
    <t>CERP980414IZ2</t>
  </si>
  <si>
    <t>GULA891228RWA</t>
  </si>
  <si>
    <t>PEMC7111259N1</t>
  </si>
  <si>
    <t>CACJ970719KU6</t>
  </si>
  <si>
    <t>PIRL781026AV8</t>
  </si>
  <si>
    <t>CUPA9109129U7</t>
  </si>
  <si>
    <t>CALJ821217ND3</t>
  </si>
  <si>
    <t>CAVJ7006205M4</t>
  </si>
  <si>
    <t>BECS9912181E6</t>
  </si>
  <si>
    <t>PEOJ7406244JA</t>
  </si>
  <si>
    <t>TILJ7502079Y9</t>
  </si>
  <si>
    <t>MEGE9006256A2</t>
  </si>
  <si>
    <t>MAGJ8911024G9</t>
  </si>
  <si>
    <t>DIRD730420T43</t>
  </si>
  <si>
    <t>COOM970731995</t>
  </si>
  <si>
    <t>BECL741126EI7</t>
  </si>
  <si>
    <t>ROBM8902013P6</t>
  </si>
  <si>
    <t>MEGE951013Q56</t>
  </si>
  <si>
    <t>ROIJ6411111R2</t>
  </si>
  <si>
    <t>HECH890928IS2</t>
  </si>
  <si>
    <t>GOVE840902HX2</t>
  </si>
  <si>
    <t>JAPH8709045B9</t>
  </si>
  <si>
    <t>CABA830609JB4</t>
  </si>
  <si>
    <t>HEGC851204FM3</t>
  </si>
  <si>
    <t>IIRP921105JJ0</t>
  </si>
  <si>
    <t>CISB640808CP1</t>
  </si>
  <si>
    <t>ZALR690805331</t>
  </si>
  <si>
    <t>LORM740620MU5</t>
  </si>
  <si>
    <t>VAMV7408181J1</t>
  </si>
  <si>
    <t>AERS830811TT0</t>
  </si>
  <si>
    <t>ROBZ89052248A</t>
  </si>
  <si>
    <t>MECL9109266F2</t>
  </si>
  <si>
    <t>MACD760720358</t>
  </si>
  <si>
    <t>RACH890407LI8</t>
  </si>
  <si>
    <t>BUHN980120QU7</t>
  </si>
  <si>
    <t>SAMM630705N25</t>
  </si>
  <si>
    <t>MAJE800224BJA</t>
  </si>
  <si>
    <t>PUML6301132E1</t>
  </si>
  <si>
    <t>SARS6907027T1</t>
  </si>
  <si>
    <t>RAEK980120C42</t>
  </si>
  <si>
    <t>POAM750624PZ4</t>
  </si>
  <si>
    <t>CALE710614DF3</t>
  </si>
  <si>
    <t>GAAL600823KJA</t>
  </si>
  <si>
    <t>TESE880507IX9</t>
  </si>
  <si>
    <t>SAAH781223T50</t>
  </si>
  <si>
    <t>VOJF841224T81</t>
  </si>
  <si>
    <t>HEJY860427PH1</t>
  </si>
  <si>
    <t>LARK890412V93</t>
  </si>
  <si>
    <t>FUMN910727PB1</t>
  </si>
  <si>
    <t>GOGN890606IX3</t>
  </si>
  <si>
    <t>AAAC910711U7A</t>
  </si>
  <si>
    <t>SATM850305TG1</t>
  </si>
  <si>
    <t>LODA8108053S3</t>
  </si>
  <si>
    <t>FAGG831212ST9</t>
  </si>
  <si>
    <t>OEMD891230DE1</t>
  </si>
  <si>
    <t>FEML960424BJ2</t>
  </si>
  <si>
    <t>PECA790906A33</t>
  </si>
  <si>
    <t>MOND920123LN7</t>
  </si>
  <si>
    <t>SACA871027VA5</t>
  </si>
  <si>
    <t>MOJI911106SF3</t>
  </si>
  <si>
    <t>LOMR610607UM6</t>
  </si>
  <si>
    <t>CUOL9710312Q7</t>
  </si>
  <si>
    <t>GIPG881224LX6</t>
  </si>
  <si>
    <t>GACF910529B73</t>
  </si>
  <si>
    <t>DIFM8608081UA</t>
  </si>
  <si>
    <t>ROAA730217DQ1</t>
  </si>
  <si>
    <t>FOQM930215Q16</t>
  </si>
  <si>
    <t>JIBO7703204R7</t>
  </si>
  <si>
    <t>HENY910816UV5</t>
  </si>
  <si>
    <t>PESN940214EL2</t>
  </si>
  <si>
    <t>LOSA920425CK2</t>
  </si>
  <si>
    <t>OIMI931009N75</t>
  </si>
  <si>
    <t>VAPA8703116B5</t>
  </si>
  <si>
    <t>ROCG000925A67</t>
  </si>
  <si>
    <t>AOOO781010TE9</t>
  </si>
  <si>
    <t>REMV8406074H1</t>
  </si>
  <si>
    <t>LUGM921024JX2</t>
  </si>
  <si>
    <t>MEAC811219QVA</t>
  </si>
  <si>
    <t>GORP970821F19</t>
  </si>
  <si>
    <t>DIPA8206014U6</t>
  </si>
  <si>
    <t>PIRT7407195GA</t>
  </si>
  <si>
    <t>PEGP911023BG8</t>
  </si>
  <si>
    <t>RITJ630327LU5</t>
  </si>
  <si>
    <t>MEVA771031PA6</t>
  </si>
  <si>
    <t>PEEC680811IE8</t>
  </si>
  <si>
    <t>EIGA781015MV5</t>
  </si>
  <si>
    <t>HEMS730728DV4</t>
  </si>
  <si>
    <t>MEGF960610E41</t>
  </si>
  <si>
    <t>RORA9510123Z4</t>
  </si>
  <si>
    <t>OICM760114UV0</t>
  </si>
  <si>
    <t>SUGC910917GR6</t>
  </si>
  <si>
    <t>CUAD9501092E3</t>
  </si>
  <si>
    <t>MUCH961231IV9</t>
  </si>
  <si>
    <t>AIVA780207FK6</t>
  </si>
  <si>
    <t>PERL8006174L2</t>
  </si>
  <si>
    <t>ROLC8805308K5</t>
  </si>
  <si>
    <t>HECA9108058R0</t>
  </si>
  <si>
    <t>AUGA9503144T2</t>
  </si>
  <si>
    <t>DIGG8705093M0</t>
  </si>
  <si>
    <t>SADR951013TQ1</t>
  </si>
  <si>
    <t>CUCM830605L72</t>
  </si>
  <si>
    <t>MARA940912GS0</t>
  </si>
  <si>
    <t>YICL641005TD1</t>
  </si>
  <si>
    <t>HUAJ981218DN9</t>
  </si>
  <si>
    <t>MUGT861121PW5</t>
  </si>
  <si>
    <t>SEPS910816M35</t>
  </si>
  <si>
    <t>CUJL741219S18</t>
  </si>
  <si>
    <t>COAM8904121I6</t>
  </si>
  <si>
    <t>ZACC8107148D1</t>
  </si>
  <si>
    <t>MECC7112089M3</t>
  </si>
  <si>
    <t>MOGZ9207177F8</t>
  </si>
  <si>
    <t>FAGA940820R1A</t>
  </si>
  <si>
    <t>ZEMG740701UV6</t>
  </si>
  <si>
    <t>CUCC790413G67</t>
  </si>
  <si>
    <t>LOAF670820N24</t>
  </si>
  <si>
    <t>EEMI8904218I9</t>
  </si>
  <si>
    <t>RAAA7801262Z7</t>
  </si>
  <si>
    <t>GARL740701EB5</t>
  </si>
  <si>
    <t>MUSV780208CP6</t>
  </si>
  <si>
    <t>PEGR650726GD4</t>
  </si>
  <si>
    <t>SAMG8602036N4</t>
  </si>
  <si>
    <t>RAAE870424KC5</t>
  </si>
  <si>
    <t>RUGM8507034E4</t>
  </si>
  <si>
    <t>RUAS930103TQ5</t>
  </si>
  <si>
    <t>MAMN9005189A5</t>
  </si>
  <si>
    <t>PAAC790224EI7</t>
  </si>
  <si>
    <t>TECF9210043S7</t>
  </si>
  <si>
    <t>GOCL940721GN9</t>
  </si>
  <si>
    <t>GOGX910629AH6</t>
  </si>
  <si>
    <t>CURL8605274M8</t>
  </si>
  <si>
    <t>JIRA950831H28</t>
  </si>
  <si>
    <t>GOMB951114GA6</t>
  </si>
  <si>
    <t>AAMV880302V59</t>
  </si>
  <si>
    <t>UAPG951019F64</t>
  </si>
  <si>
    <t>HESA910220633</t>
  </si>
  <si>
    <t>GALJ830407M3A</t>
  </si>
  <si>
    <t>GAMC690616BH9</t>
  </si>
  <si>
    <t>PACE9506208K7</t>
  </si>
  <si>
    <t>AEOG6608267D4</t>
  </si>
  <si>
    <t>LOLR920403HD4</t>
  </si>
  <si>
    <t>QUCR61102939A</t>
  </si>
  <si>
    <t>ROAS6811078M7</t>
  </si>
  <si>
    <t>SOAL950405GK4</t>
  </si>
  <si>
    <t>VANL901113SN0</t>
  </si>
  <si>
    <t>GOSH730703NH2</t>
  </si>
  <si>
    <t>GAGA840515I59</t>
  </si>
  <si>
    <t>GARI881004AJ2</t>
  </si>
  <si>
    <t>VASL910917DX5</t>
  </si>
  <si>
    <t>RECL8712146M7</t>
  </si>
  <si>
    <t>HEMO6501184Q5</t>
  </si>
  <si>
    <t>EIHA920204578</t>
  </si>
  <si>
    <t>PAHI670929RQ4</t>
  </si>
  <si>
    <t>POFA860602ID8</t>
  </si>
  <si>
    <t>AIMJ9606076J7</t>
  </si>
  <si>
    <t>AAMC700724GZ6</t>
  </si>
  <si>
    <t>PECB670604EU9</t>
  </si>
  <si>
    <t>VIGA671001SM6</t>
  </si>
  <si>
    <t>GOPM760924JM3</t>
  </si>
  <si>
    <t>BELX7612026H6</t>
  </si>
  <si>
    <t>ROGN750227H61</t>
  </si>
  <si>
    <t>SAEE870413679</t>
  </si>
  <si>
    <t>FOGG831119IL1</t>
  </si>
  <si>
    <t>OOMF8710216R3</t>
  </si>
  <si>
    <t>TOAF710502UYA</t>
  </si>
  <si>
    <t>DORA910702FL8</t>
  </si>
  <si>
    <t>LABM970403NYA</t>
  </si>
  <si>
    <t>VIRD9808307C8</t>
  </si>
  <si>
    <t>GOBA971219UU8</t>
  </si>
  <si>
    <t>CABO960502PK3</t>
  </si>
  <si>
    <t>COMC930302V78</t>
  </si>
  <si>
    <t>LEHS8709122H2</t>
  </si>
  <si>
    <t>OIOL9806134N5</t>
  </si>
  <si>
    <t>CUCG851123UN5</t>
  </si>
  <si>
    <t>MAFI710811P6A</t>
  </si>
  <si>
    <t>GOGA790115U7A</t>
  </si>
  <si>
    <t>MAGP630124J89</t>
  </si>
  <si>
    <t>RUZR721025BT7</t>
  </si>
  <si>
    <t>RIYL950724BJ6</t>
  </si>
  <si>
    <t>LOHL9112011Q5</t>
  </si>
  <si>
    <t>MAHA690305SR1</t>
  </si>
  <si>
    <t>MOJA940823BK4</t>
  </si>
  <si>
    <t>CERA940521568</t>
  </si>
  <si>
    <t>TACY800617RI1</t>
  </si>
  <si>
    <t>AAMJ880602MJ2</t>
  </si>
  <si>
    <t>GOVE731213H70</t>
  </si>
  <si>
    <t>GOOF820614BA2</t>
  </si>
  <si>
    <t>REZS9804115AA</t>
  </si>
  <si>
    <t>FOFS650725QZ7</t>
  </si>
  <si>
    <t>MEGC010517GJ6</t>
  </si>
  <si>
    <t>AAMR8902141Y1</t>
  </si>
  <si>
    <t>MEGK9605173H2</t>
  </si>
  <si>
    <t>CESA7312106P0</t>
  </si>
  <si>
    <t>GAMX960726F14</t>
  </si>
  <si>
    <t>DORI9810052F1</t>
  </si>
  <si>
    <t>OIOA940930MB2</t>
  </si>
  <si>
    <t>VECP0005254Y4</t>
  </si>
  <si>
    <t>OABJ950928545</t>
  </si>
  <si>
    <t>DIZL961213S27</t>
  </si>
  <si>
    <t>LOMJ970525M83</t>
  </si>
  <si>
    <t>CUAR870922IA7</t>
  </si>
  <si>
    <t>AOHR910621B5A</t>
  </si>
  <si>
    <t>RICJ920824R41</t>
  </si>
  <si>
    <t>POSJ860814AW9</t>
  </si>
  <si>
    <t>UUPJ960212V73</t>
  </si>
  <si>
    <t>MAAE901107L9A</t>
  </si>
  <si>
    <t>SAPE970613Q48</t>
  </si>
  <si>
    <t>ROVE950602NL9</t>
  </si>
  <si>
    <t>HEFJ960129182</t>
  </si>
  <si>
    <t>BAGE700311TU4</t>
  </si>
  <si>
    <t>AELM9606271G3</t>
  </si>
  <si>
    <t>RENV920404PP3</t>
  </si>
  <si>
    <t>SIML001101684</t>
  </si>
  <si>
    <t>LEMR670530B20</t>
  </si>
  <si>
    <t>MABM961019NS5</t>
  </si>
  <si>
    <t>FAAR880913HZA</t>
  </si>
  <si>
    <t>ROMJ770126AK6</t>
  </si>
  <si>
    <t>SOFA750513BVA</t>
  </si>
  <si>
    <t>GALO811118V18</t>
  </si>
  <si>
    <t>PERI840805LR2</t>
  </si>
  <si>
    <t>AEGB840928DSA</t>
  </si>
  <si>
    <t>MEHR000105D39</t>
  </si>
  <si>
    <t>GAGB940720DN5</t>
  </si>
  <si>
    <t>GABJ970511MY6</t>
  </si>
  <si>
    <t>CEHK951224G26</t>
  </si>
  <si>
    <t>GOCI8201257F6</t>
  </si>
  <si>
    <t>SACM820606U93</t>
  </si>
  <si>
    <t>AOCF981207NF9</t>
  </si>
  <si>
    <t>GONA9911109H7</t>
  </si>
  <si>
    <t>RILR8807078A1</t>
  </si>
  <si>
    <t>MIPD990329BS6</t>
  </si>
  <si>
    <t>MACR9207179X4</t>
  </si>
  <si>
    <t>TEMG8905131U5</t>
  </si>
  <si>
    <t>GARL880609N85</t>
  </si>
  <si>
    <t>MICE811209C60</t>
  </si>
  <si>
    <t>VAVD880417HF6</t>
  </si>
  <si>
    <t>HEAD991107SB3</t>
  </si>
  <si>
    <t>GUPA0006133R5</t>
  </si>
  <si>
    <t>CAVY990823NL8</t>
  </si>
  <si>
    <t>BEGG960127R92</t>
  </si>
  <si>
    <t>VEVB940617I99</t>
  </si>
  <si>
    <t>CAGB8401151Q5</t>
  </si>
  <si>
    <t>ROGR9207169N3</t>
  </si>
  <si>
    <t>GARK901127H20</t>
  </si>
  <si>
    <t>MALU900210IT7</t>
  </si>
  <si>
    <t>GAGG970224NJ0</t>
  </si>
  <si>
    <t>PEPI990226CC1</t>
  </si>
  <si>
    <t>CARR880816NV0</t>
  </si>
  <si>
    <t>LUTR960421N80</t>
  </si>
  <si>
    <t>BERR971020B38</t>
  </si>
  <si>
    <t>POGF910924EJ8</t>
  </si>
  <si>
    <t>MOGB961114BE4</t>
  </si>
  <si>
    <t>GACG930330338</t>
  </si>
  <si>
    <t>GABB9708195H2</t>
  </si>
  <si>
    <t>BALM930613RF4</t>
  </si>
  <si>
    <t>FECR850522QR6</t>
  </si>
  <si>
    <t>EICR800620HG1</t>
  </si>
  <si>
    <t>GADM981013DYA</t>
  </si>
  <si>
    <t>MAAJ650104BDA</t>
  </si>
  <si>
    <t>AEGF990625V66</t>
  </si>
  <si>
    <t>MORC8912083X1</t>
  </si>
  <si>
    <t>IAMA891031AP9</t>
  </si>
  <si>
    <t>SOSJ980605441</t>
  </si>
  <si>
    <t>RIVO8308303N1</t>
  </si>
  <si>
    <t>GARB960131T86</t>
  </si>
  <si>
    <t>ROCM990907372</t>
  </si>
  <si>
    <t>MOGJ960423M57</t>
  </si>
  <si>
    <t>MASR850106JD2</t>
  </si>
  <si>
    <t>DONK930205A43</t>
  </si>
  <si>
    <t>GUDJ980321TG9</t>
  </si>
  <si>
    <t>PEGS830706638</t>
  </si>
  <si>
    <t>HEDL961122M27</t>
  </si>
  <si>
    <t>ROCR941223169</t>
  </si>
  <si>
    <t>GAGA961026JW5</t>
  </si>
  <si>
    <t>BARC860423NQA</t>
  </si>
  <si>
    <t>RAME9108067H7</t>
  </si>
  <si>
    <t>GOFJ980907RW3</t>
  </si>
  <si>
    <t>RUSM931227JU6</t>
  </si>
  <si>
    <t>LATT960509232</t>
  </si>
  <si>
    <t>ZAAC971219MI5</t>
  </si>
  <si>
    <t>RAHM010502ANA</t>
  </si>
  <si>
    <t>AECF951015IG6</t>
  </si>
  <si>
    <t>VAMC8712117X1</t>
  </si>
  <si>
    <t>BAHA990308IK0</t>
  </si>
  <si>
    <t>CARA880128JS7</t>
  </si>
  <si>
    <t>CARA9512056A9</t>
  </si>
  <si>
    <t>SAPE830508AG1</t>
  </si>
  <si>
    <t>CABA9211251E3</t>
  </si>
  <si>
    <t>SACA941006UQ3</t>
  </si>
  <si>
    <t>MOMR900703LDA</t>
  </si>
  <si>
    <t>OOCM810605DT9</t>
  </si>
  <si>
    <t>RORA760321A25</t>
  </si>
  <si>
    <t>HEEA590522219</t>
  </si>
  <si>
    <t>SALU720818UYA</t>
  </si>
  <si>
    <t>AAPJ730716BK0</t>
  </si>
  <si>
    <t>PARF750310RJ2</t>
  </si>
  <si>
    <t>LAUV750221TG4</t>
  </si>
  <si>
    <t>CASA670424SD0</t>
  </si>
  <si>
    <t>AUBM8702271F2</t>
  </si>
  <si>
    <t>TOBM880102546</t>
  </si>
  <si>
    <t>MOGA721128B56</t>
  </si>
  <si>
    <t>PASA720805RS0</t>
  </si>
  <si>
    <t>DOGC740802P31</t>
  </si>
  <si>
    <t>CUGM880105NJ6</t>
  </si>
  <si>
    <t>AAGD890519SL2</t>
  </si>
  <si>
    <t>MAGM7303174T0</t>
  </si>
  <si>
    <t>GALA880104U97</t>
  </si>
  <si>
    <t>PEGL600430B3A</t>
  </si>
  <si>
    <t>CAHM630425QV8</t>
  </si>
  <si>
    <t>CUAV680728R93</t>
  </si>
  <si>
    <t>GUHR651021T45</t>
  </si>
  <si>
    <t>MOAP740126IY6</t>
  </si>
  <si>
    <t>MILC730916NLA</t>
  </si>
  <si>
    <t>ROLA8012129FA</t>
  </si>
  <si>
    <t>AAED951024FF7</t>
  </si>
  <si>
    <t>GUSA740506FY2</t>
  </si>
  <si>
    <t>MERJ9408267QA</t>
  </si>
  <si>
    <t>Número de Seguro Social (11 Dígitos)</t>
  </si>
  <si>
    <t>70886511255</t>
  </si>
  <si>
    <t>45927277983</t>
  </si>
  <si>
    <t>64866912112</t>
  </si>
  <si>
    <t>45947200825</t>
  </si>
  <si>
    <t>11886402442</t>
  </si>
  <si>
    <t>28957509293</t>
  </si>
  <si>
    <t>01805814892</t>
  </si>
  <si>
    <t>01987103247</t>
  </si>
  <si>
    <t>42836217499</t>
  </si>
  <si>
    <t>45996202714</t>
  </si>
  <si>
    <t>76007400534</t>
  </si>
  <si>
    <t>20816001067</t>
  </si>
  <si>
    <t>14926809337</t>
  </si>
  <si>
    <t>30947526080</t>
  </si>
  <si>
    <t>90917348667</t>
  </si>
  <si>
    <t>45026400866</t>
  </si>
  <si>
    <t>20927038453</t>
  </si>
  <si>
    <t>45977752059</t>
  </si>
  <si>
    <t>45016702503</t>
  </si>
  <si>
    <t>45896927964</t>
  </si>
  <si>
    <t>06795716668</t>
  </si>
  <si>
    <t>11917326750</t>
  </si>
  <si>
    <t>30906928368</t>
  </si>
  <si>
    <t>45927023247</t>
  </si>
  <si>
    <t>39998016990</t>
  </si>
  <si>
    <t>06856738734</t>
  </si>
  <si>
    <t>42866315833</t>
  </si>
  <si>
    <t>39896411723</t>
  </si>
  <si>
    <t>45967607552</t>
  </si>
  <si>
    <t>45996804048</t>
  </si>
  <si>
    <t>39977914256</t>
  </si>
  <si>
    <t>30927511979</t>
  </si>
  <si>
    <t>20015900853</t>
  </si>
  <si>
    <t>01058202746</t>
  </si>
  <si>
    <t>39968034544</t>
  </si>
  <si>
    <t>39927440840</t>
  </si>
  <si>
    <t>30047100224</t>
  </si>
  <si>
    <t>12048005875</t>
  </si>
  <si>
    <t>45068413702</t>
  </si>
  <si>
    <t>37028304519</t>
  </si>
  <si>
    <t>30927120169</t>
  </si>
  <si>
    <t>64866407766</t>
  </si>
  <si>
    <t>42816113940</t>
  </si>
  <si>
    <t>94076500365</t>
  </si>
  <si>
    <t>90917428287</t>
  </si>
  <si>
    <t>39977854197</t>
  </si>
  <si>
    <t>92028527627</t>
  </si>
  <si>
    <t>14068506121</t>
  </si>
  <si>
    <t>37998008868</t>
  </si>
  <si>
    <t>64826123669</t>
  </si>
  <si>
    <t>39957427550</t>
  </si>
  <si>
    <t>92917119106</t>
  </si>
  <si>
    <t>45986302219</t>
  </si>
  <si>
    <t>01947103162</t>
  </si>
  <si>
    <t>45058503595</t>
  </si>
  <si>
    <t>94907505617</t>
  </si>
  <si>
    <t>94087100189</t>
  </si>
  <si>
    <t>06856533994</t>
  </si>
  <si>
    <t>30886722393</t>
  </si>
  <si>
    <t>45057103108</t>
  </si>
  <si>
    <t>42997609864</t>
  </si>
  <si>
    <t>20927409167</t>
  </si>
  <si>
    <t>11977828141</t>
  </si>
  <si>
    <t>11048508417</t>
  </si>
  <si>
    <t>90068731273</t>
  </si>
  <si>
    <t>07946702607</t>
  </si>
  <si>
    <t>37987921253</t>
  </si>
  <si>
    <t>45876632097</t>
  </si>
  <si>
    <t>30917276948</t>
  </si>
  <si>
    <t>11927338753</t>
  </si>
  <si>
    <t>92068201604</t>
  </si>
  <si>
    <t>42866200241</t>
  </si>
  <si>
    <t>45947110081</t>
  </si>
  <si>
    <t>07957604726</t>
  </si>
  <si>
    <t>07856402644</t>
  </si>
  <si>
    <t>30028225321</t>
  </si>
  <si>
    <t>28097901442</t>
  </si>
  <si>
    <t>45078108565</t>
  </si>
  <si>
    <t>45977936256</t>
  </si>
  <si>
    <t>39967809250</t>
  </si>
  <si>
    <t>42038611366</t>
  </si>
  <si>
    <t>30916103135</t>
  </si>
  <si>
    <t>39937354627</t>
  </si>
  <si>
    <t>30926611713</t>
  </si>
  <si>
    <t>30007813576</t>
  </si>
  <si>
    <t>45107200342</t>
  </si>
  <si>
    <t>01046600787</t>
  </si>
  <si>
    <t>42997100690</t>
  </si>
  <si>
    <t>45917467800</t>
  </si>
  <si>
    <t>96056401399</t>
  </si>
  <si>
    <t>45917220654</t>
  </si>
  <si>
    <t>94108200851</t>
  </si>
  <si>
    <t>20866601139</t>
  </si>
  <si>
    <t>39977855806</t>
  </si>
  <si>
    <t>45108815759</t>
  </si>
  <si>
    <t>45108305959</t>
  </si>
  <si>
    <t>07086900110</t>
  </si>
  <si>
    <t>11886717344</t>
  </si>
  <si>
    <t>30946407092</t>
  </si>
  <si>
    <t>90108813008</t>
  </si>
  <si>
    <t>07936202071</t>
  </si>
  <si>
    <t>45987514903</t>
  </si>
  <si>
    <t>53958005745</t>
  </si>
  <si>
    <t>07108603379</t>
  </si>
  <si>
    <t>20057201046</t>
  </si>
  <si>
    <t>01107901462</t>
  </si>
  <si>
    <t>45108824728</t>
  </si>
  <si>
    <t>12068007371</t>
  </si>
  <si>
    <t>28028213602</t>
  </si>
  <si>
    <t>92068732111</t>
  </si>
  <si>
    <t>92118400958</t>
  </si>
  <si>
    <t>20007703208</t>
  </si>
  <si>
    <t>92078621312</t>
  </si>
  <si>
    <t>16068620521</t>
  </si>
  <si>
    <t>16076900907</t>
  </si>
  <si>
    <t>68957911891</t>
  </si>
  <si>
    <t>39007901935</t>
  </si>
  <si>
    <t>45038533464</t>
  </si>
  <si>
    <t>11735430222</t>
  </si>
  <si>
    <t>92028323126</t>
  </si>
  <si>
    <t>03584107977</t>
  </si>
  <si>
    <t>96117201606</t>
  </si>
  <si>
    <t>94118002099</t>
  </si>
  <si>
    <t>20118503257</t>
  </si>
  <si>
    <t>10806361175</t>
  </si>
  <si>
    <t>07986000623</t>
  </si>
  <si>
    <t>45987830093</t>
  </si>
  <si>
    <t>94017808695</t>
  </si>
  <si>
    <t>92119292123</t>
  </si>
  <si>
    <t>96118723830</t>
  </si>
  <si>
    <t>39927693562</t>
  </si>
  <si>
    <t>42987512342</t>
  </si>
  <si>
    <t>01976200707</t>
  </si>
  <si>
    <t>11967812238</t>
  </si>
  <si>
    <t>92966902618</t>
  </si>
  <si>
    <t>01826218362</t>
  </si>
  <si>
    <t>28937532530</t>
  </si>
  <si>
    <t>96917254557</t>
  </si>
  <si>
    <t>39987624507</t>
  </si>
  <si>
    <t>30947004773</t>
  </si>
  <si>
    <t>24967846411</t>
  </si>
  <si>
    <t>28088507117</t>
  </si>
  <si>
    <t>01866201591</t>
  </si>
  <si>
    <t>06856505638</t>
  </si>
  <si>
    <t>39997714967</t>
  </si>
  <si>
    <t>90017903312</t>
  </si>
  <si>
    <t>11058112712</t>
  </si>
  <si>
    <t>42068704107</t>
  </si>
  <si>
    <t>94128809228</t>
  </si>
  <si>
    <t>20946708094</t>
  </si>
  <si>
    <t>45917531738</t>
  </si>
  <si>
    <t>94068837783</t>
  </si>
  <si>
    <t>16128812340</t>
  </si>
  <si>
    <t>94897029693</t>
  </si>
  <si>
    <t>94128708081</t>
  </si>
  <si>
    <t>94109309677</t>
  </si>
  <si>
    <t>16816211128</t>
  </si>
  <si>
    <t>94119004573</t>
  </si>
  <si>
    <t>30057904523</t>
  </si>
  <si>
    <t>06856806994</t>
  </si>
  <si>
    <t>45087803016</t>
  </si>
  <si>
    <t>11118805875</t>
  </si>
  <si>
    <t>11038103815</t>
  </si>
  <si>
    <t>20088902372</t>
  </si>
  <si>
    <t>60856700467</t>
  </si>
  <si>
    <t>37127400390</t>
  </si>
  <si>
    <t>72927521822</t>
  </si>
  <si>
    <t>45927536347</t>
  </si>
  <si>
    <t>07007606283</t>
  </si>
  <si>
    <t>92116100188</t>
  </si>
  <si>
    <t>45977739569</t>
  </si>
  <si>
    <t>30018505831</t>
  </si>
  <si>
    <t>12998186956</t>
  </si>
  <si>
    <t>12896507956</t>
  </si>
  <si>
    <t>07068300636</t>
  </si>
  <si>
    <t>45078727059</t>
  </si>
  <si>
    <t>13128908608</t>
  </si>
  <si>
    <t>94057803572</t>
  </si>
  <si>
    <t>16967806833</t>
  </si>
  <si>
    <t>12896901340</t>
  </si>
  <si>
    <t>42088604469</t>
  </si>
  <si>
    <t>28936201145</t>
  </si>
  <si>
    <t>63816502676</t>
  </si>
  <si>
    <t>28028001791</t>
  </si>
  <si>
    <t>96058634955</t>
  </si>
  <si>
    <t>39116400068</t>
  </si>
  <si>
    <t>16058722790</t>
  </si>
  <si>
    <t>42947701738</t>
  </si>
  <si>
    <t>12129027608</t>
  </si>
  <si>
    <t>45048537984</t>
  </si>
  <si>
    <t>30947619950</t>
  </si>
  <si>
    <t>45977848162</t>
  </si>
  <si>
    <t>07806402025</t>
  </si>
  <si>
    <t>45028210362</t>
  </si>
  <si>
    <t>28068817635</t>
  </si>
  <si>
    <t>90129230646</t>
  </si>
  <si>
    <t>11038206527</t>
  </si>
  <si>
    <t>37018106106</t>
  </si>
  <si>
    <t>39926822493</t>
  </si>
  <si>
    <t>39957319096</t>
  </si>
  <si>
    <t>94128102020</t>
  </si>
  <si>
    <t>06776048628</t>
  </si>
  <si>
    <t>37137100493</t>
  </si>
  <si>
    <t>65007604492</t>
  </si>
  <si>
    <t>45048507839</t>
  </si>
  <si>
    <t>37977312091</t>
  </si>
  <si>
    <t>20139212631</t>
  </si>
  <si>
    <t>01866613894</t>
  </si>
  <si>
    <t>12846217904</t>
  </si>
  <si>
    <t>12058123683</t>
  </si>
  <si>
    <t>30987818785</t>
  </si>
  <si>
    <t>11016500669</t>
  </si>
  <si>
    <t>92997401838</t>
  </si>
  <si>
    <t>20977711942</t>
  </si>
  <si>
    <t>03147812311</t>
  </si>
  <si>
    <t>89846636580</t>
  </si>
  <si>
    <t>20917439976</t>
  </si>
  <si>
    <t>90038002995</t>
  </si>
  <si>
    <t>19148510662</t>
  </si>
  <si>
    <t>42129001196</t>
  </si>
  <si>
    <t>37138802246</t>
  </si>
  <si>
    <t>01765956485</t>
  </si>
  <si>
    <t>01128904941</t>
  </si>
  <si>
    <t>39067401396</t>
  </si>
  <si>
    <t>11139506064</t>
  </si>
  <si>
    <t>11786034584</t>
  </si>
  <si>
    <t>19149072225</t>
  </si>
  <si>
    <t>39927224772</t>
  </si>
  <si>
    <t>07067700125</t>
  </si>
  <si>
    <t>42917101315</t>
  </si>
  <si>
    <t>37896104983</t>
  </si>
  <si>
    <t>20128700208</t>
  </si>
  <si>
    <t>12927529755</t>
  </si>
  <si>
    <t>42907334249</t>
  </si>
  <si>
    <t>08149209010</t>
  </si>
  <si>
    <t>11058905180</t>
  </si>
  <si>
    <t>11129002926</t>
  </si>
  <si>
    <t>94099005657</t>
  </si>
  <si>
    <t>06806205909</t>
  </si>
  <si>
    <t>17866810421</t>
  </si>
  <si>
    <t>17149360012</t>
  </si>
  <si>
    <t>30078705560</t>
  </si>
  <si>
    <t>96088602063</t>
  </si>
  <si>
    <t>93119318686</t>
  </si>
  <si>
    <t>06836303427</t>
  </si>
  <si>
    <t>16048528448</t>
  </si>
  <si>
    <t>08148000857</t>
  </si>
  <si>
    <t>94088513174</t>
  </si>
  <si>
    <t>39927631877</t>
  </si>
  <si>
    <t>11077501051</t>
  </si>
  <si>
    <t>16048219584</t>
  </si>
  <si>
    <t>07048900398</t>
  </si>
  <si>
    <t>42109543894</t>
  </si>
  <si>
    <t>01786048353</t>
  </si>
  <si>
    <t>42886403080</t>
  </si>
  <si>
    <t>08148591129</t>
  </si>
  <si>
    <t>55876917091</t>
  </si>
  <si>
    <t>01038410948</t>
  </si>
  <si>
    <t>37098507215</t>
  </si>
  <si>
    <t>39007203993</t>
  </si>
  <si>
    <t>25149374321</t>
  </si>
  <si>
    <t>16078413834</t>
  </si>
  <si>
    <t>42098921754</t>
  </si>
  <si>
    <t>01897150585</t>
  </si>
  <si>
    <t>12077303498</t>
  </si>
  <si>
    <t>63806225361</t>
  </si>
  <si>
    <t>30048518259</t>
  </si>
  <si>
    <t>01715256564</t>
  </si>
  <si>
    <t>07008114527</t>
  </si>
  <si>
    <t>01937428421</t>
  </si>
  <si>
    <t>07926501151</t>
  </si>
  <si>
    <t>02159163951</t>
  </si>
  <si>
    <t>45108927497</t>
  </si>
  <si>
    <t>45038302159</t>
  </si>
  <si>
    <t>07067901244</t>
  </si>
  <si>
    <t>45047804112</t>
  </si>
  <si>
    <t>02158860318</t>
  </si>
  <si>
    <t>45028211303</t>
  </si>
  <si>
    <t>39937505889</t>
  </si>
  <si>
    <t>96119222204</t>
  </si>
  <si>
    <t>92068911301</t>
  </si>
  <si>
    <t>01087902159</t>
  </si>
  <si>
    <t>16976600748</t>
  </si>
  <si>
    <t>03158947766</t>
  </si>
  <si>
    <t>17806257485</t>
  </si>
  <si>
    <t>63816306045</t>
  </si>
  <si>
    <t>39137200018</t>
  </si>
  <si>
    <t>64856815515</t>
  </si>
  <si>
    <t>03158969877</t>
  </si>
  <si>
    <t>45977602098</t>
  </si>
  <si>
    <t>30876706950</t>
  </si>
  <si>
    <t>01078822028</t>
  </si>
  <si>
    <t>75836309114</t>
  </si>
  <si>
    <t>94068648834</t>
  </si>
  <si>
    <t>92078944011</t>
  </si>
  <si>
    <t>30108901643</t>
  </si>
  <si>
    <t>17159466360</t>
  </si>
  <si>
    <t>30006802976</t>
  </si>
  <si>
    <t>45996902776</t>
  </si>
  <si>
    <t>42937304691</t>
  </si>
  <si>
    <t>39937329256</t>
  </si>
  <si>
    <t>02157771029</t>
  </si>
  <si>
    <t>45118001044</t>
  </si>
  <si>
    <t>92106800797</t>
  </si>
  <si>
    <t>11118400115</t>
  </si>
  <si>
    <t>45047911081</t>
  </si>
  <si>
    <t>45089207703</t>
  </si>
  <si>
    <t>20008400994</t>
  </si>
  <si>
    <t>92109256484</t>
  </si>
  <si>
    <t>90936602334</t>
  </si>
  <si>
    <t>48988283403</t>
  </si>
  <si>
    <t>75816301578</t>
  </si>
  <si>
    <t>12907314392</t>
  </si>
  <si>
    <t>07907021427</t>
  </si>
  <si>
    <t>33057909427</t>
  </si>
  <si>
    <t>63856602402</t>
  </si>
  <si>
    <t>20988110449</t>
  </si>
  <si>
    <t>08148747416</t>
  </si>
  <si>
    <t>96028404034</t>
  </si>
  <si>
    <t>39087300172</t>
  </si>
  <si>
    <t>02156873958</t>
  </si>
  <si>
    <t>30906801714</t>
  </si>
  <si>
    <t>92098102962</t>
  </si>
  <si>
    <t>45967804803</t>
  </si>
  <si>
    <t>90937513761</t>
  </si>
  <si>
    <t>21109157665</t>
  </si>
  <si>
    <t>02167506720</t>
  </si>
  <si>
    <t>94109004625</t>
  </si>
  <si>
    <t>94108823702</t>
  </si>
  <si>
    <t>92048012238</t>
  </si>
  <si>
    <t>94119029604</t>
  </si>
  <si>
    <t>02157495280</t>
  </si>
  <si>
    <t>02168433940</t>
  </si>
  <si>
    <t>72128917597</t>
  </si>
  <si>
    <t>01119229241</t>
  </si>
  <si>
    <t>28058205767</t>
  </si>
  <si>
    <t>90109247933</t>
  </si>
  <si>
    <t>45977431670</t>
  </si>
  <si>
    <t>10826244567</t>
  </si>
  <si>
    <t>96089081416</t>
  </si>
  <si>
    <t>11977837027</t>
  </si>
  <si>
    <t>12086802258</t>
  </si>
  <si>
    <t>12068762181</t>
  </si>
  <si>
    <t>94017902936</t>
  </si>
  <si>
    <t>44159509338</t>
  </si>
  <si>
    <t>96139020604</t>
  </si>
  <si>
    <t>28048612684</t>
  </si>
  <si>
    <t>94139514734</t>
  </si>
  <si>
    <t>45129232661</t>
  </si>
  <si>
    <t>90028308733</t>
  </si>
  <si>
    <t>11907025644</t>
  </si>
  <si>
    <t>02159051313</t>
  </si>
  <si>
    <t>20068719267</t>
  </si>
  <si>
    <t>37937303800</t>
  </si>
  <si>
    <t>94089103272</t>
  </si>
  <si>
    <t>48058754994</t>
  </si>
  <si>
    <t>37926406077</t>
  </si>
  <si>
    <t>45129105032</t>
  </si>
  <si>
    <t>16109140901</t>
  </si>
  <si>
    <t>02157181732</t>
  </si>
  <si>
    <t>02156937142</t>
  </si>
  <si>
    <t>20096000474</t>
  </si>
  <si>
    <t>94017903298</t>
  </si>
  <si>
    <t>45977419238</t>
  </si>
  <si>
    <t>19169334042</t>
  </si>
  <si>
    <t>94098410809</t>
  </si>
  <si>
    <t>39967800473</t>
  </si>
  <si>
    <t>01128809793</t>
  </si>
  <si>
    <t>12826236221</t>
  </si>
  <si>
    <t>10826026386</t>
  </si>
  <si>
    <t>42098705694</t>
  </si>
  <si>
    <t>96078523964</t>
  </si>
  <si>
    <t>35169505340</t>
  </si>
  <si>
    <t>45028116841</t>
  </si>
  <si>
    <t>75836106841</t>
  </si>
  <si>
    <t>45906970194</t>
  </si>
  <si>
    <t>01886936879</t>
  </si>
  <si>
    <t>59159633292</t>
  </si>
  <si>
    <t>30967408615</t>
  </si>
  <si>
    <t>01927430171</t>
  </si>
  <si>
    <t>85169737922</t>
  </si>
  <si>
    <t>45058312708</t>
  </si>
  <si>
    <t>39978079737</t>
  </si>
  <si>
    <t>38169525953</t>
  </si>
  <si>
    <t>18159016585</t>
  </si>
  <si>
    <t>42118404542</t>
  </si>
  <si>
    <t>20906829153</t>
  </si>
  <si>
    <t>92058635290</t>
  </si>
  <si>
    <t>94917006556</t>
  </si>
  <si>
    <t>18149104707</t>
  </si>
  <si>
    <t>05169085296</t>
  </si>
  <si>
    <t>64846519268</t>
  </si>
  <si>
    <t>45089000132</t>
  </si>
  <si>
    <t>96109426708</t>
  </si>
  <si>
    <t>96129265326</t>
  </si>
  <si>
    <t>12088703900</t>
  </si>
  <si>
    <t>02179447087</t>
  </si>
  <si>
    <t>66887101096</t>
  </si>
  <si>
    <t>30896203590</t>
  </si>
  <si>
    <t>96968204279</t>
  </si>
  <si>
    <t>11128501829</t>
  </si>
  <si>
    <t>42816122685</t>
  </si>
  <si>
    <t>42137200335</t>
  </si>
  <si>
    <t>20897041362</t>
  </si>
  <si>
    <t>92048636408</t>
  </si>
  <si>
    <t>42129320430</t>
  </si>
  <si>
    <t>11098700260</t>
  </si>
  <si>
    <t>39109116606</t>
  </si>
  <si>
    <t>28108605180</t>
  </si>
  <si>
    <t>35159498092</t>
  </si>
  <si>
    <t>20078700182</t>
  </si>
  <si>
    <t>42907113171</t>
  </si>
  <si>
    <t>03179130772</t>
  </si>
  <si>
    <t>16987816820</t>
  </si>
  <si>
    <t>42129313807</t>
  </si>
  <si>
    <t>07997905406</t>
  </si>
  <si>
    <t>02178354169</t>
  </si>
  <si>
    <t>45038410838</t>
  </si>
  <si>
    <t>12037806317</t>
  </si>
  <si>
    <t>07998015809</t>
  </si>
  <si>
    <t>17866835139</t>
  </si>
  <si>
    <t>26169701369</t>
  </si>
  <si>
    <t>37897047561</t>
  </si>
  <si>
    <t>45037605875</t>
  </si>
  <si>
    <t>90038207735</t>
  </si>
  <si>
    <t>39128702923</t>
  </si>
  <si>
    <t>95119203891</t>
  </si>
  <si>
    <t>28896821056</t>
  </si>
  <si>
    <t>20117701373</t>
  </si>
  <si>
    <t>07008001013</t>
  </si>
  <si>
    <t>45058517934</t>
  </si>
  <si>
    <t>20896507439</t>
  </si>
  <si>
    <t>16047808692</t>
  </si>
  <si>
    <t>37109103848</t>
  </si>
  <si>
    <t>16098624477</t>
  </si>
  <si>
    <t>20129623805</t>
  </si>
  <si>
    <t>42058305337</t>
  </si>
  <si>
    <t>94077000506</t>
  </si>
  <si>
    <t>05159043966</t>
  </si>
  <si>
    <t>16119014229</t>
  </si>
  <si>
    <t>20957322447</t>
  </si>
  <si>
    <t>45109426846</t>
  </si>
  <si>
    <t>92109103868</t>
  </si>
  <si>
    <t>45099402963</t>
  </si>
  <si>
    <t>11876404010</t>
  </si>
  <si>
    <t>94936903627</t>
  </si>
  <si>
    <t>03179243872</t>
  </si>
  <si>
    <t>28956401344</t>
  </si>
  <si>
    <t>02157017696</t>
  </si>
  <si>
    <t>42058506553</t>
  </si>
  <si>
    <t>45906660670</t>
  </si>
  <si>
    <t>02168886840</t>
  </si>
  <si>
    <t>16098939453</t>
  </si>
  <si>
    <t>48038125703</t>
  </si>
  <si>
    <t>45876769790</t>
  </si>
  <si>
    <t>11907173030</t>
  </si>
  <si>
    <t>30109410230</t>
  </si>
  <si>
    <t>45886763726</t>
  </si>
  <si>
    <t>92927716180</t>
  </si>
  <si>
    <t>18179524527</t>
  </si>
  <si>
    <t>64866532530</t>
  </si>
  <si>
    <t>28907012745</t>
  </si>
  <si>
    <t>39068728540</t>
  </si>
  <si>
    <t>28099205107</t>
  </si>
  <si>
    <t>45109000179</t>
  </si>
  <si>
    <t>92129411440</t>
  </si>
  <si>
    <t>37139106332</t>
  </si>
  <si>
    <t>45018008537</t>
  </si>
  <si>
    <t>92088504128</t>
  </si>
  <si>
    <t>39128805544</t>
  </si>
  <si>
    <t>96887000873</t>
  </si>
  <si>
    <t>11937123534</t>
  </si>
  <si>
    <t>45128611089</t>
  </si>
  <si>
    <t>42138601101</t>
  </si>
  <si>
    <t>28977831057</t>
  </si>
  <si>
    <t>28916504872</t>
  </si>
  <si>
    <t>92129015993</t>
  </si>
  <si>
    <t>07088706168</t>
  </si>
  <si>
    <t>17149583472</t>
  </si>
  <si>
    <t>42048608964</t>
  </si>
  <si>
    <t>45037000309</t>
  </si>
  <si>
    <t>94078714949</t>
  </si>
  <si>
    <t>42997914298</t>
  </si>
  <si>
    <t>64169132723</t>
  </si>
  <si>
    <t>11997926305</t>
  </si>
  <si>
    <t>07027903926</t>
  </si>
  <si>
    <t>94987707414</t>
  </si>
  <si>
    <t>54169847784</t>
  </si>
  <si>
    <t>28896826329</t>
  </si>
  <si>
    <t>82099101972</t>
  </si>
  <si>
    <t>96108722701</t>
  </si>
  <si>
    <t>94907227378</t>
  </si>
  <si>
    <t>28119115534</t>
  </si>
  <si>
    <t>94078612465</t>
  </si>
  <si>
    <t>30119500566</t>
  </si>
  <si>
    <t>92089062951</t>
  </si>
  <si>
    <t>06816324575</t>
  </si>
  <si>
    <t>01088605918</t>
  </si>
  <si>
    <t>45088506279</t>
  </si>
  <si>
    <t>01169880091</t>
  </si>
  <si>
    <t>26148795151</t>
  </si>
  <si>
    <t>96078761200</t>
  </si>
  <si>
    <t>15088102312</t>
  </si>
  <si>
    <t>19169527967</t>
  </si>
  <si>
    <t>96968210292</t>
  </si>
  <si>
    <t>30906310146</t>
  </si>
  <si>
    <t>39119010161</t>
  </si>
  <si>
    <t>39956803306</t>
  </si>
  <si>
    <t>01897057038</t>
  </si>
  <si>
    <t>92957908061</t>
  </si>
  <si>
    <t>11825602490</t>
  </si>
  <si>
    <t>45058533790</t>
  </si>
  <si>
    <t>37036500835</t>
  </si>
  <si>
    <t>96099074112</t>
  </si>
  <si>
    <t>90896918340</t>
  </si>
  <si>
    <t>96098621145</t>
  </si>
  <si>
    <t>12876813150</t>
  </si>
  <si>
    <t>11816502261</t>
  </si>
  <si>
    <t>94139315934</t>
  </si>
  <si>
    <t>07058405965</t>
  </si>
  <si>
    <t>16099150159</t>
  </si>
  <si>
    <t>03148225752</t>
  </si>
  <si>
    <t>84139701571</t>
  </si>
  <si>
    <t>42897140291</t>
  </si>
  <si>
    <t>28997904983</t>
  </si>
  <si>
    <t>07119206063</t>
  </si>
  <si>
    <t>30088608564</t>
  </si>
  <si>
    <t>01786070845</t>
  </si>
  <si>
    <t>39967728989</t>
  </si>
  <si>
    <t>11068301610</t>
  </si>
  <si>
    <t>19159394386</t>
  </si>
  <si>
    <t>64149561280</t>
  </si>
  <si>
    <t>92987613517</t>
  </si>
  <si>
    <t>20139820532</t>
  </si>
  <si>
    <t>38159233667</t>
  </si>
  <si>
    <t>90967205841</t>
  </si>
  <si>
    <t>30977621900</t>
  </si>
  <si>
    <t>28109119736</t>
  </si>
  <si>
    <t>39119126579</t>
  </si>
  <si>
    <t>72927011733</t>
  </si>
  <si>
    <t>45087200346</t>
  </si>
  <si>
    <t>90048806369</t>
  </si>
  <si>
    <t>54169851588</t>
  </si>
  <si>
    <t>08148969671</t>
  </si>
  <si>
    <t>45967100871</t>
  </si>
  <si>
    <t>16099701159</t>
  </si>
  <si>
    <t>30047807240</t>
  </si>
  <si>
    <t>90099141823</t>
  </si>
  <si>
    <t>96988206908</t>
  </si>
  <si>
    <t>01017000314</t>
  </si>
  <si>
    <t>02189916410</t>
  </si>
  <si>
    <t>39967407618</t>
  </si>
  <si>
    <t>07937516701</t>
  </si>
  <si>
    <t>39149000984</t>
  </si>
  <si>
    <t>05158961861</t>
  </si>
  <si>
    <t>45917316205</t>
  </si>
  <si>
    <t>25179759615</t>
  </si>
  <si>
    <t>30987412571</t>
  </si>
  <si>
    <t>05188930217</t>
  </si>
  <si>
    <t>12129537457</t>
  </si>
  <si>
    <t>06846415336</t>
  </si>
  <si>
    <t>13078935056</t>
  </si>
  <si>
    <t>01138401953</t>
  </si>
  <si>
    <t>94138701308</t>
  </si>
  <si>
    <t>03168310757</t>
  </si>
  <si>
    <t>42088501616</t>
  </si>
  <si>
    <t>27159241309</t>
  </si>
  <si>
    <t>30886418588</t>
  </si>
  <si>
    <t>39926900042</t>
  </si>
  <si>
    <t>11967402543</t>
  </si>
  <si>
    <t>28907408794</t>
  </si>
  <si>
    <t>94088301109</t>
  </si>
  <si>
    <t>11098905430</t>
  </si>
  <si>
    <t>45139102284</t>
  </si>
  <si>
    <t>39927601276</t>
  </si>
  <si>
    <t>07078907354</t>
  </si>
  <si>
    <t>01169833736</t>
  </si>
  <si>
    <t>75816301289</t>
  </si>
  <si>
    <t>11978021738</t>
  </si>
  <si>
    <t>30816354481</t>
  </si>
  <si>
    <t>02186992760</t>
  </si>
  <si>
    <t>45139849330</t>
  </si>
  <si>
    <t>39947534408</t>
  </si>
  <si>
    <t>07977103758</t>
  </si>
  <si>
    <t>11796079074</t>
  </si>
  <si>
    <t>96088806003</t>
  </si>
  <si>
    <t>20977827532</t>
  </si>
  <si>
    <t>39068404159</t>
  </si>
  <si>
    <t>94098623583</t>
  </si>
  <si>
    <t>94088960615</t>
  </si>
  <si>
    <t>01099107151</t>
  </si>
  <si>
    <t>96078941687</t>
  </si>
  <si>
    <t>42129107803</t>
  </si>
  <si>
    <t>90088503454</t>
  </si>
  <si>
    <t>39978177275</t>
  </si>
  <si>
    <t>02198328441</t>
  </si>
  <si>
    <t>30088910309</t>
  </si>
  <si>
    <t>30119615729</t>
  </si>
  <si>
    <t>45967934733</t>
  </si>
  <si>
    <t>94119249764</t>
  </si>
  <si>
    <t>20108701721</t>
  </si>
  <si>
    <t>45129112079</t>
  </si>
  <si>
    <t>11816127168</t>
  </si>
  <si>
    <t>02199787561</t>
  </si>
  <si>
    <t>11068806451</t>
  </si>
  <si>
    <t>92079110000</t>
  </si>
  <si>
    <t>42068600404</t>
  </si>
  <si>
    <t>42947318350</t>
  </si>
  <si>
    <t>96129328744</t>
  </si>
  <si>
    <t>07037702649</t>
  </si>
  <si>
    <t>02199163391</t>
  </si>
  <si>
    <t>45119411358</t>
  </si>
  <si>
    <t>16109261715</t>
  </si>
  <si>
    <t>96129310395</t>
  </si>
  <si>
    <t>20048700486</t>
  </si>
  <si>
    <t>10190051887</t>
  </si>
  <si>
    <t>90997804209</t>
  </si>
  <si>
    <t>96048415028</t>
  </si>
  <si>
    <t>26149250354</t>
  </si>
  <si>
    <t>30028109277</t>
  </si>
  <si>
    <t>96129746655</t>
  </si>
  <si>
    <t>03158266050</t>
  </si>
  <si>
    <t>39927492684</t>
  </si>
  <si>
    <t>27149107180</t>
  </si>
  <si>
    <t>42896303130</t>
  </si>
  <si>
    <t>68957728428</t>
  </si>
  <si>
    <t>90876853442</t>
  </si>
  <si>
    <t>37977832924</t>
  </si>
  <si>
    <t>07947308925</t>
  </si>
  <si>
    <t>44159646411</t>
  </si>
  <si>
    <t>03159592629</t>
  </si>
  <si>
    <t>92027605978</t>
  </si>
  <si>
    <t>90129123494</t>
  </si>
  <si>
    <t>45109565718</t>
  </si>
  <si>
    <t>03199661715</t>
  </si>
  <si>
    <t>42137800522</t>
  </si>
  <si>
    <t>96968045904</t>
  </si>
  <si>
    <t>01088810856</t>
  </si>
  <si>
    <t>45099165198</t>
  </si>
  <si>
    <t>01109512754</t>
  </si>
  <si>
    <t>94078703660</t>
  </si>
  <si>
    <t>45129520495</t>
  </si>
  <si>
    <t>11128300024</t>
  </si>
  <si>
    <t>20139406050</t>
  </si>
  <si>
    <t>03146421528</t>
  </si>
  <si>
    <t>09169824118</t>
  </si>
  <si>
    <t>02198683977</t>
  </si>
  <si>
    <t>96129104004</t>
  </si>
  <si>
    <t>12937419237</t>
  </si>
  <si>
    <t>92098932194</t>
  </si>
  <si>
    <t>45968111018</t>
  </si>
  <si>
    <t>45907148824</t>
  </si>
  <si>
    <t>39109202976</t>
  </si>
  <si>
    <t>19169421310</t>
  </si>
  <si>
    <t>12007402477</t>
  </si>
  <si>
    <t>90067905548</t>
  </si>
  <si>
    <t>28886719005</t>
  </si>
  <si>
    <t>39118911807</t>
  </si>
  <si>
    <t>20037803382</t>
  </si>
  <si>
    <t>92137401201</t>
  </si>
  <si>
    <t>02167836614</t>
  </si>
  <si>
    <t>07926504460</t>
  </si>
  <si>
    <t>07038608571</t>
  </si>
  <si>
    <t>03198706867</t>
  </si>
  <si>
    <t>11078503056</t>
  </si>
  <si>
    <t>45119308091</t>
  </si>
  <si>
    <t>45089021625</t>
  </si>
  <si>
    <t>42067901910</t>
  </si>
  <si>
    <t>98119241879</t>
  </si>
  <si>
    <t>66169498855</t>
  </si>
  <si>
    <t>16099140614</t>
  </si>
  <si>
    <t>42118601741</t>
  </si>
  <si>
    <t>37139503231</t>
  </si>
  <si>
    <t>16169514797</t>
  </si>
  <si>
    <t>16078811680</t>
  </si>
  <si>
    <t>90139538939</t>
  </si>
  <si>
    <t>16109126876</t>
  </si>
  <si>
    <t>24068328913</t>
  </si>
  <si>
    <t>30906903908</t>
  </si>
  <si>
    <t>63149512749</t>
  </si>
  <si>
    <t>17846603177</t>
  </si>
  <si>
    <t>03159285612</t>
  </si>
  <si>
    <t>02196152041</t>
  </si>
  <si>
    <t>07966800505</t>
  </si>
  <si>
    <t>92139567488</t>
  </si>
  <si>
    <t>90119017318</t>
  </si>
  <si>
    <t>02197385053</t>
  </si>
  <si>
    <t>42028416446</t>
  </si>
  <si>
    <t>03198860136</t>
  </si>
  <si>
    <t>96119116240</t>
  </si>
  <si>
    <t>45078735417</t>
  </si>
  <si>
    <t>42816502951</t>
  </si>
  <si>
    <t>63169278239</t>
  </si>
  <si>
    <t>20136700125</t>
  </si>
  <si>
    <t>45108600565</t>
  </si>
  <si>
    <t>45119602402</t>
  </si>
  <si>
    <t>39027002599</t>
  </si>
  <si>
    <t>75846602276</t>
  </si>
  <si>
    <t>88856718056</t>
  </si>
  <si>
    <t>39927664886</t>
  </si>
  <si>
    <t>42977622119</t>
  </si>
  <si>
    <t>39947544555</t>
  </si>
  <si>
    <t>94108706048</t>
  </si>
  <si>
    <t>96098302357</t>
  </si>
  <si>
    <t>37058719230</t>
  </si>
  <si>
    <t>12917116407</t>
  </si>
  <si>
    <t>96139129025</t>
  </si>
  <si>
    <t>42129740710</t>
  </si>
  <si>
    <t>63169876438</t>
  </si>
  <si>
    <t>96159707288</t>
  </si>
  <si>
    <t>20129610174</t>
  </si>
  <si>
    <t>28119315183</t>
  </si>
  <si>
    <t>94068721953</t>
  </si>
  <si>
    <t>30139804790</t>
  </si>
  <si>
    <t>03198570131</t>
  </si>
  <si>
    <t>37907139010</t>
  </si>
  <si>
    <t>94087903871</t>
  </si>
  <si>
    <t>28976300732</t>
  </si>
  <si>
    <t>13997205383</t>
  </si>
  <si>
    <t>39139542870</t>
  </si>
  <si>
    <t>94109187636</t>
  </si>
  <si>
    <t>94906921419</t>
  </si>
  <si>
    <t>62169436946</t>
  </si>
  <si>
    <t>05199441733</t>
  </si>
  <si>
    <t>42058002439</t>
  </si>
  <si>
    <t>45068818314</t>
  </si>
  <si>
    <t>03197322849</t>
  </si>
  <si>
    <t>37058206147</t>
  </si>
  <si>
    <t>17199849930</t>
  </si>
  <si>
    <t>96106500919</t>
  </si>
  <si>
    <t>19190156265</t>
  </si>
  <si>
    <t>45088958546</t>
  </si>
  <si>
    <t>58159636941</t>
  </si>
  <si>
    <t>07997302349</t>
  </si>
  <si>
    <t>18189673850</t>
  </si>
  <si>
    <t>42149809271</t>
  </si>
  <si>
    <t>96139411399</t>
  </si>
  <si>
    <t>03150070583</t>
  </si>
  <si>
    <t>01199581446</t>
  </si>
  <si>
    <t>69159627319</t>
  </si>
  <si>
    <t>02209707872</t>
  </si>
  <si>
    <t>92108721629</t>
  </si>
  <si>
    <t>90099108574</t>
  </si>
  <si>
    <t>42119209452</t>
  </si>
  <si>
    <t>72048625494</t>
  </si>
  <si>
    <t>20119644720</t>
  </si>
  <si>
    <t>42109003766</t>
  </si>
  <si>
    <t>17189700226</t>
  </si>
  <si>
    <t>20109547446</t>
  </si>
  <si>
    <t>96119673661</t>
  </si>
  <si>
    <t>94967003446</t>
  </si>
  <si>
    <t>62169603669</t>
  </si>
  <si>
    <t>96109296754</t>
  </si>
  <si>
    <t>62160066791</t>
  </si>
  <si>
    <t>01056700717</t>
  </si>
  <si>
    <t>92119670906</t>
  </si>
  <si>
    <t>45078867186</t>
  </si>
  <si>
    <t>12077703796</t>
  </si>
  <si>
    <t>07937509722</t>
  </si>
  <si>
    <t>92118102026</t>
  </si>
  <si>
    <t>30088400293</t>
  </si>
  <si>
    <t>90038411162</t>
  </si>
  <si>
    <t>08190073273</t>
  </si>
  <si>
    <t>42119403584</t>
  </si>
  <si>
    <t>01199738996</t>
  </si>
  <si>
    <t>90119505114</t>
  </si>
  <si>
    <t>30058201093</t>
  </si>
  <si>
    <t>42028200816</t>
  </si>
  <si>
    <t>26169863722</t>
  </si>
  <si>
    <t>20159910437</t>
  </si>
  <si>
    <t>37078802941</t>
  </si>
  <si>
    <t>11169947865</t>
  </si>
  <si>
    <t>03169216979</t>
  </si>
  <si>
    <t>45148902906</t>
  </si>
  <si>
    <t>37138803095</t>
  </si>
  <si>
    <t>28118101394</t>
  </si>
  <si>
    <t>45118809446</t>
  </si>
  <si>
    <t>62169962800</t>
  </si>
  <si>
    <t>25160022213</t>
  </si>
  <si>
    <t>01179933799</t>
  </si>
  <si>
    <t>25159699443</t>
  </si>
  <si>
    <t>20139417164</t>
  </si>
  <si>
    <t>02208489175</t>
  </si>
  <si>
    <t>90129223336</t>
  </si>
  <si>
    <t>01099027904</t>
  </si>
  <si>
    <t>39079003131</t>
  </si>
  <si>
    <t>02209748736</t>
  </si>
  <si>
    <t>30149911098</t>
  </si>
  <si>
    <t>96048802043</t>
  </si>
  <si>
    <t>42119612929</t>
  </si>
  <si>
    <t>45139713312</t>
  </si>
  <si>
    <t>20109110450</t>
  </si>
  <si>
    <t>04169623875</t>
  </si>
  <si>
    <t>07119303357</t>
  </si>
  <si>
    <t>10159728723</t>
  </si>
  <si>
    <t>94119330994</t>
  </si>
  <si>
    <t>94098502480</t>
  </si>
  <si>
    <t>28008012867</t>
  </si>
  <si>
    <t>38179823315</t>
  </si>
  <si>
    <t>01826512798</t>
  </si>
  <si>
    <t>05209973931</t>
  </si>
  <si>
    <t>20098913849</t>
  </si>
  <si>
    <t>94098950622</t>
  </si>
  <si>
    <t>08159897027</t>
  </si>
  <si>
    <t>45068307839</t>
  </si>
  <si>
    <t>96119639175</t>
  </si>
  <si>
    <t>47169922888</t>
  </si>
  <si>
    <t>05179621957</t>
  </si>
  <si>
    <t>90068520023</t>
  </si>
  <si>
    <t>45129352873</t>
  </si>
  <si>
    <t>62169865680</t>
  </si>
  <si>
    <t>39038320253</t>
  </si>
  <si>
    <t>62169648292</t>
  </si>
  <si>
    <t>18159449307</t>
  </si>
  <si>
    <t>56169673367</t>
  </si>
  <si>
    <t>39018600237</t>
  </si>
  <si>
    <t>96139123796</t>
  </si>
  <si>
    <t>18169863711</t>
  </si>
  <si>
    <t>03149392114</t>
  </si>
  <si>
    <t>02179659277</t>
  </si>
  <si>
    <t>63169756960</t>
  </si>
  <si>
    <t>17130174836</t>
  </si>
  <si>
    <t>96119504072</t>
  </si>
  <si>
    <t>45118720858</t>
  </si>
  <si>
    <t>01169922497</t>
  </si>
  <si>
    <t>02188823039</t>
  </si>
  <si>
    <t>08189594974</t>
  </si>
  <si>
    <t>90018332495</t>
  </si>
  <si>
    <t>90119202233</t>
  </si>
  <si>
    <t>92129427800</t>
  </si>
  <si>
    <t>94099024773</t>
  </si>
  <si>
    <t>68978176995</t>
  </si>
  <si>
    <t>12977347751</t>
  </si>
  <si>
    <t>88835906012</t>
  </si>
  <si>
    <t>90047202099</t>
  </si>
  <si>
    <t>39927339398</t>
  </si>
  <si>
    <t>90897500451</t>
  </si>
  <si>
    <t>07997502146</t>
  </si>
  <si>
    <t>45936714497</t>
  </si>
  <si>
    <t>94098721007</t>
  </si>
  <si>
    <t>28098803191</t>
  </si>
  <si>
    <t>28047200713</t>
  </si>
  <si>
    <t>30917212927</t>
  </si>
  <si>
    <t>30977418794</t>
  </si>
  <si>
    <t>45078816407</t>
  </si>
  <si>
    <t>45128902611</t>
  </si>
  <si>
    <t>37967310519</t>
  </si>
  <si>
    <t>02178827750</t>
  </si>
  <si>
    <t>10796045606</t>
  </si>
  <si>
    <t>10826341330</t>
  </si>
  <si>
    <t>65886842825</t>
  </si>
  <si>
    <t>39996501662</t>
  </si>
  <si>
    <t>30967419919</t>
  </si>
  <si>
    <t>30917333962</t>
  </si>
  <si>
    <t>02198088854</t>
  </si>
  <si>
    <t>94109504715</t>
  </si>
  <si>
    <t>01917314765</t>
  </si>
  <si>
    <t>02189474584</t>
  </si>
  <si>
    <t>Fecha de Ingreso Reconocida (dd/mm/aaaa)</t>
  </si>
  <si>
    <t>04/02/1992</t>
  </si>
  <si>
    <t>01/07/1992</t>
  </si>
  <si>
    <t>15/11/1992</t>
  </si>
  <si>
    <t>18/07/1994</t>
  </si>
  <si>
    <t>28/11/1996</t>
  </si>
  <si>
    <t>04/05/1998</t>
  </si>
  <si>
    <t>26/04/1999</t>
  </si>
  <si>
    <t>01/11/1999</t>
  </si>
  <si>
    <t>05/04/2000</t>
  </si>
  <si>
    <t>15/02/2001</t>
  </si>
  <si>
    <t>11/03/2002</t>
  </si>
  <si>
    <t>16/06/2002</t>
  </si>
  <si>
    <t>17/07/2002</t>
  </si>
  <si>
    <t>03/07/2003</t>
  </si>
  <si>
    <t>21/07/2003</t>
  </si>
  <si>
    <t>07/08/2003</t>
  </si>
  <si>
    <t>28/08/2003</t>
  </si>
  <si>
    <t>01/09/2003</t>
  </si>
  <si>
    <t>18/09/2003</t>
  </si>
  <si>
    <t>06/10/2003</t>
  </si>
  <si>
    <t>25/05/2004</t>
  </si>
  <si>
    <t>22/11/2004</t>
  </si>
  <si>
    <t>02/02/2005</t>
  </si>
  <si>
    <t>22/02/2005</t>
  </si>
  <si>
    <t>16/03/2005</t>
  </si>
  <si>
    <t>06/04/2005</t>
  </si>
  <si>
    <t>02/05/2005</t>
  </si>
  <si>
    <t>0000072</t>
  </si>
  <si>
    <t>45006201615</t>
  </si>
  <si>
    <t>RADF621028F48</t>
  </si>
  <si>
    <t>621028</t>
  </si>
  <si>
    <t>10/01/2022</t>
  </si>
  <si>
    <t>31/05/2006</t>
  </si>
  <si>
    <t>01/06/2006</t>
  </si>
  <si>
    <t>12/06/2006</t>
  </si>
  <si>
    <t>17/07/2006</t>
  </si>
  <si>
    <t>30/10/2006</t>
  </si>
  <si>
    <t>05/03/2007</t>
  </si>
  <si>
    <t>12/03/2007</t>
  </si>
  <si>
    <t>02/05/2007</t>
  </si>
  <si>
    <t>28/05/2007</t>
  </si>
  <si>
    <t>16/07/2007</t>
  </si>
  <si>
    <t>24/09/2007</t>
  </si>
  <si>
    <t>23/01/2008</t>
  </si>
  <si>
    <t>07/04/2008</t>
  </si>
  <si>
    <t>02/06/2008</t>
  </si>
  <si>
    <t>07/07/2008</t>
  </si>
  <si>
    <t>21/07/2008</t>
  </si>
  <si>
    <t>06/08/2008</t>
  </si>
  <si>
    <t>18/08/2008</t>
  </si>
  <si>
    <t>19/09/2008</t>
  </si>
  <si>
    <t>16/10/2008</t>
  </si>
  <si>
    <t>0000122</t>
  </si>
  <si>
    <t>92088519480</t>
  </si>
  <si>
    <t>YAMI8509157F4</t>
  </si>
  <si>
    <t>850915</t>
  </si>
  <si>
    <t>06/07/2021</t>
  </si>
  <si>
    <t>01/01/2009</t>
  </si>
  <si>
    <t>22/01/2009</t>
  </si>
  <si>
    <t>16/02/2009</t>
  </si>
  <si>
    <t>17/02/2009</t>
  </si>
  <si>
    <t>23/02/2009</t>
  </si>
  <si>
    <t>24/03/2009</t>
  </si>
  <si>
    <t>01/07/2009</t>
  </si>
  <si>
    <t>08/09/2009</t>
  </si>
  <si>
    <t>05/10/2009</t>
  </si>
  <si>
    <t>08/10/2009</t>
  </si>
  <si>
    <t>09/11/2009</t>
  </si>
  <si>
    <t>16/11/2009</t>
  </si>
  <si>
    <t>22/01/2010</t>
  </si>
  <si>
    <t>25/01/2010</t>
  </si>
  <si>
    <t>08/02/2010</t>
  </si>
  <si>
    <t>23/02/2010</t>
  </si>
  <si>
    <t>24/02/2010</t>
  </si>
  <si>
    <t>08/03/2010</t>
  </si>
  <si>
    <t>05/04/2010</t>
  </si>
  <si>
    <t>03/05/2010</t>
  </si>
  <si>
    <t>20/05/2010</t>
  </si>
  <si>
    <t>01/06/2010</t>
  </si>
  <si>
    <t>28/06/2010</t>
  </si>
  <si>
    <t>05/07/2010</t>
  </si>
  <si>
    <t>26/07/2010</t>
  </si>
  <si>
    <t>27/07/2010</t>
  </si>
  <si>
    <t>23/08/2010</t>
  </si>
  <si>
    <t>01/09/2010</t>
  </si>
  <si>
    <t>30/09/2010</t>
  </si>
  <si>
    <t>13/10/2010</t>
  </si>
  <si>
    <t>20/10/2010</t>
  </si>
  <si>
    <t>26/10/2010</t>
  </si>
  <si>
    <t>16/11/2010</t>
  </si>
  <si>
    <t>06/01/2011</t>
  </si>
  <si>
    <t>25/01/2011</t>
  </si>
  <si>
    <t>14/02/2011</t>
  </si>
  <si>
    <t>21/02/2011</t>
  </si>
  <si>
    <t>07/03/2011</t>
  </si>
  <si>
    <t>11/03/2011</t>
  </si>
  <si>
    <t>04/04/2011</t>
  </si>
  <si>
    <t>13/06/2011</t>
  </si>
  <si>
    <t>22/06/2011</t>
  </si>
  <si>
    <t>29/06/2011</t>
  </si>
  <si>
    <t>04/07/2011</t>
  </si>
  <si>
    <t>07/10/2011</t>
  </si>
  <si>
    <t>17/10/2011</t>
  </si>
  <si>
    <t>01/11/2011</t>
  </si>
  <si>
    <t>17/01/2012</t>
  </si>
  <si>
    <t>21/01/2012</t>
  </si>
  <si>
    <t>24/01/2012</t>
  </si>
  <si>
    <t>05/03/2012</t>
  </si>
  <si>
    <t>08/03/2012</t>
  </si>
  <si>
    <t>13/03/2012</t>
  </si>
  <si>
    <t>16/03/2012</t>
  </si>
  <si>
    <t>26/03/2012</t>
  </si>
  <si>
    <t>10/04/2012</t>
  </si>
  <si>
    <t>07/05/2012</t>
  </si>
  <si>
    <t>21/05/2012</t>
  </si>
  <si>
    <t>28/05/2012</t>
  </si>
  <si>
    <t>04/06/2012</t>
  </si>
  <si>
    <t>06/06/2012</t>
  </si>
  <si>
    <t>11/06/2012</t>
  </si>
  <si>
    <t>19/06/2012</t>
  </si>
  <si>
    <t>09/07/2012</t>
  </si>
  <si>
    <t>24/07/2012</t>
  </si>
  <si>
    <t>08/08/2012</t>
  </si>
  <si>
    <t>16/08/2012</t>
  </si>
  <si>
    <t>23/08/2012</t>
  </si>
  <si>
    <t>10/09/2012</t>
  </si>
  <si>
    <t>12/09/2012</t>
  </si>
  <si>
    <t>17/09/2012</t>
  </si>
  <si>
    <t>21/09/2012</t>
  </si>
  <si>
    <t>03/10/2012</t>
  </si>
  <si>
    <t>15/10/2012</t>
  </si>
  <si>
    <t>07/11/2012</t>
  </si>
  <si>
    <t>12/11/2012</t>
  </si>
  <si>
    <t>15/11/2012</t>
  </si>
  <si>
    <t>03/01/2013</t>
  </si>
  <si>
    <t>15/01/2013</t>
  </si>
  <si>
    <t>17/01/2013</t>
  </si>
  <si>
    <t>28/01/2013</t>
  </si>
  <si>
    <t>27/02/2013</t>
  </si>
  <si>
    <t>11/03/2013</t>
  </si>
  <si>
    <t>20/03/2013</t>
  </si>
  <si>
    <t>05/04/2013</t>
  </si>
  <si>
    <t>22/04/2013</t>
  </si>
  <si>
    <t>09/05/2013</t>
  </si>
  <si>
    <t>10/06/2013</t>
  </si>
  <si>
    <t>01/07/2013</t>
  </si>
  <si>
    <t>06/09/2021</t>
  </si>
  <si>
    <t>18/07/2013</t>
  </si>
  <si>
    <t>22/07/2013</t>
  </si>
  <si>
    <t>12/08/2013</t>
  </si>
  <si>
    <t>03/09/2013</t>
  </si>
  <si>
    <t>01/10/2013</t>
  </si>
  <si>
    <t>10/10/2013</t>
  </si>
  <si>
    <t>22/10/2013</t>
  </si>
  <si>
    <t>08/11/2013</t>
  </si>
  <si>
    <t>20/11/2013</t>
  </si>
  <si>
    <t>02/12/2013</t>
  </si>
  <si>
    <t>01/01/2014</t>
  </si>
  <si>
    <t>16/01/2014</t>
  </si>
  <si>
    <t>17/01/2014</t>
  </si>
  <si>
    <t>04/02/2014</t>
  </si>
  <si>
    <t>14/02/2014</t>
  </si>
  <si>
    <t>24/02/2014</t>
  </si>
  <si>
    <t>26/02/2014</t>
  </si>
  <si>
    <t>04/03/2014</t>
  </si>
  <si>
    <t>13/03/2014</t>
  </si>
  <si>
    <t>31/03/2014</t>
  </si>
  <si>
    <t>07/04/2014</t>
  </si>
  <si>
    <t>02/05/2014</t>
  </si>
  <si>
    <t>19/05/2014</t>
  </si>
  <si>
    <t>22/05/2014</t>
  </si>
  <si>
    <t>29/05/2014</t>
  </si>
  <si>
    <t>11/06/2014</t>
  </si>
  <si>
    <t>0000414</t>
  </si>
  <si>
    <t>08149364112</t>
  </si>
  <si>
    <t>OOVO930617CQ5</t>
  </si>
  <si>
    <t>930617</t>
  </si>
  <si>
    <t>13/09/2021</t>
  </si>
  <si>
    <t>0000415</t>
  </si>
  <si>
    <t>20937213195</t>
  </si>
  <si>
    <t>TECO7204174H0</t>
  </si>
  <si>
    <t>720417</t>
  </si>
  <si>
    <t>05/10/2022</t>
  </si>
  <si>
    <t>16/06/2014</t>
  </si>
  <si>
    <t>18/06/2014</t>
  </si>
  <si>
    <t>02/07/2014</t>
  </si>
  <si>
    <t>08/07/2014</t>
  </si>
  <si>
    <t>18/07/2014</t>
  </si>
  <si>
    <t>05/08/2014</t>
  </si>
  <si>
    <t>09/08/2014</t>
  </si>
  <si>
    <t>11/08/2014</t>
  </si>
  <si>
    <t>18/08/2014</t>
  </si>
  <si>
    <t>26/08/2014</t>
  </si>
  <si>
    <t>17/09/2014</t>
  </si>
  <si>
    <t>18/09/2014</t>
  </si>
  <si>
    <t>23/09/2014</t>
  </si>
  <si>
    <t>30/09/2014</t>
  </si>
  <si>
    <t>06/10/2014</t>
  </si>
  <si>
    <t>13/10/2014</t>
  </si>
  <si>
    <t>14/10/2014</t>
  </si>
  <si>
    <t>20/10/2014</t>
  </si>
  <si>
    <t>28/10/2014</t>
  </si>
  <si>
    <t>15/11/2014</t>
  </si>
  <si>
    <t>03/01/2015</t>
  </si>
  <si>
    <t>14/01/2015</t>
  </si>
  <si>
    <t>16/01/2015</t>
  </si>
  <si>
    <t>19/01/2015</t>
  </si>
  <si>
    <t>21/01/2015</t>
  </si>
  <si>
    <t>22/01/2015</t>
  </si>
  <si>
    <t>05/02/2015</t>
  </si>
  <si>
    <t>06/02/2015</t>
  </si>
  <si>
    <t>16/02/2015</t>
  </si>
  <si>
    <t>24/02/2015</t>
  </si>
  <si>
    <t>26/02/2015</t>
  </si>
  <si>
    <t>07/03/2015</t>
  </si>
  <si>
    <t>06/04/2015</t>
  </si>
  <si>
    <t>04/04/2022</t>
  </si>
  <si>
    <t>08/04/2015</t>
  </si>
  <si>
    <t>14/04/2015</t>
  </si>
  <si>
    <t>28/04/2015</t>
  </si>
  <si>
    <t>11/05/2015</t>
  </si>
  <si>
    <t>28/05/2015</t>
  </si>
  <si>
    <t>29/05/2015</t>
  </si>
  <si>
    <t>08/06/2015</t>
  </si>
  <si>
    <t>19/06/2015</t>
  </si>
  <si>
    <t>01/07/2015</t>
  </si>
  <si>
    <t>24/07/2015</t>
  </si>
  <si>
    <t>07/08/2015</t>
  </si>
  <si>
    <t>08/09/2015</t>
  </si>
  <si>
    <t>17/09/2015</t>
  </si>
  <si>
    <t>22/09/2015</t>
  </si>
  <si>
    <t>24/09/2015</t>
  </si>
  <si>
    <t>28/10/2015</t>
  </si>
  <si>
    <t>03/11/2015</t>
  </si>
  <si>
    <t>06/11/2015</t>
  </si>
  <si>
    <t>11/11/2015</t>
  </si>
  <si>
    <t>19/01/2016</t>
  </si>
  <si>
    <t>20/01/2016</t>
  </si>
  <si>
    <t>25/01/2016</t>
  </si>
  <si>
    <t>09/02/2016</t>
  </si>
  <si>
    <t>15/02/2016</t>
  </si>
  <si>
    <t>22/02/2016</t>
  </si>
  <si>
    <t>24/02/2016</t>
  </si>
  <si>
    <t>07/03/2016</t>
  </si>
  <si>
    <t>15/03/2016</t>
  </si>
  <si>
    <t>17/03/2016</t>
  </si>
  <si>
    <t>18/03/2016</t>
  </si>
  <si>
    <t>31/03/2016</t>
  </si>
  <si>
    <t>01/04/2016</t>
  </si>
  <si>
    <t>13/04/2016</t>
  </si>
  <si>
    <t>20/04/2016</t>
  </si>
  <si>
    <t>18/05/2016</t>
  </si>
  <si>
    <t>25/05/2016</t>
  </si>
  <si>
    <t>31/05/2016</t>
  </si>
  <si>
    <t>08/06/2016</t>
  </si>
  <si>
    <t>27/06/2016</t>
  </si>
  <si>
    <t>30/06/2016</t>
  </si>
  <si>
    <t>17/06/2022</t>
  </si>
  <si>
    <t>04/07/2016</t>
  </si>
  <si>
    <t>14/07/2016</t>
  </si>
  <si>
    <t>15/07/2016</t>
  </si>
  <si>
    <t>18/07/2016</t>
  </si>
  <si>
    <t>20/07/2016</t>
  </si>
  <si>
    <t>01/08/2016</t>
  </si>
  <si>
    <t>03/08/2016</t>
  </si>
  <si>
    <t>09/08/2016</t>
  </si>
  <si>
    <t>11/08/2016</t>
  </si>
  <si>
    <t>18/08/2016</t>
  </si>
  <si>
    <t>01/09/2016</t>
  </si>
  <si>
    <t>14/09/2016</t>
  </si>
  <si>
    <t>19/09/2016</t>
  </si>
  <si>
    <t>20/09/2016</t>
  </si>
  <si>
    <t>11/02/2020</t>
  </si>
  <si>
    <t>17/10/2016</t>
  </si>
  <si>
    <t>19/10/2016</t>
  </si>
  <si>
    <t>26/10/2016</t>
  </si>
  <si>
    <t>01/11/2016</t>
  </si>
  <si>
    <t>11/11/2016</t>
  </si>
  <si>
    <t>10/01/2017</t>
  </si>
  <si>
    <t>24/01/2017</t>
  </si>
  <si>
    <t>25/01/2017</t>
  </si>
  <si>
    <t>02/02/2017</t>
  </si>
  <si>
    <t>10/02/2017</t>
  </si>
  <si>
    <t>13/02/2017</t>
  </si>
  <si>
    <t>28/02/2017</t>
  </si>
  <si>
    <t>01/03/2017</t>
  </si>
  <si>
    <t>13/03/2017</t>
  </si>
  <si>
    <t>15/03/2017</t>
  </si>
  <si>
    <t>24/03/2017</t>
  </si>
  <si>
    <t>25/03/2017</t>
  </si>
  <si>
    <t>27/03/2017</t>
  </si>
  <si>
    <t>24/04/2017</t>
  </si>
  <si>
    <t>02/05/2017</t>
  </si>
  <si>
    <t>03/05/2017</t>
  </si>
  <si>
    <t>29/05/2017</t>
  </si>
  <si>
    <t>31/05/2017</t>
  </si>
  <si>
    <t>01/06/2017</t>
  </si>
  <si>
    <t>09/06/2017</t>
  </si>
  <si>
    <t>20/06/2017</t>
  </si>
  <si>
    <t>22/06/2017</t>
  </si>
  <si>
    <t>28/06/2017</t>
  </si>
  <si>
    <t>30/06/2017</t>
  </si>
  <si>
    <t>04/07/2017</t>
  </si>
  <si>
    <t>05/07/2017</t>
  </si>
  <si>
    <t>18/07/2017</t>
  </si>
  <si>
    <t>19/07/2017</t>
  </si>
  <si>
    <t>20/07/2017</t>
  </si>
  <si>
    <t>08/08/2017</t>
  </si>
  <si>
    <t>11/08/2017</t>
  </si>
  <si>
    <t>22/08/2017</t>
  </si>
  <si>
    <t>25/08/2017</t>
  </si>
  <si>
    <t>01/09/2017</t>
  </si>
  <si>
    <t>04/09/2017</t>
  </si>
  <si>
    <t>11/09/2017</t>
  </si>
  <si>
    <t>18/09/2017</t>
  </si>
  <si>
    <t>28/09/2017</t>
  </si>
  <si>
    <t>03/10/2017</t>
  </si>
  <si>
    <t>05/10/2017</t>
  </si>
  <si>
    <t>09/10/2017</t>
  </si>
  <si>
    <t>19/10/2017</t>
  </si>
  <si>
    <t>24/10/2017</t>
  </si>
  <si>
    <t>07/11/2017</t>
  </si>
  <si>
    <t>14/11/2017</t>
  </si>
  <si>
    <t>28/11/2017</t>
  </si>
  <si>
    <t>04/12/2017</t>
  </si>
  <si>
    <t>15/01/2018</t>
  </si>
  <si>
    <t>27/01/2018</t>
  </si>
  <si>
    <t>0000907</t>
  </si>
  <si>
    <t>40927415477</t>
  </si>
  <si>
    <t>MAGM740920QW9</t>
  </si>
  <si>
    <t>740920</t>
  </si>
  <si>
    <t>18/04/2022</t>
  </si>
  <si>
    <t>29/01/2018</t>
  </si>
  <si>
    <t>01/02/2018</t>
  </si>
  <si>
    <t>02/02/2018</t>
  </si>
  <si>
    <t>0000935</t>
  </si>
  <si>
    <t>01937615779</t>
  </si>
  <si>
    <t>VIHS760703DN5</t>
  </si>
  <si>
    <t>760703</t>
  </si>
  <si>
    <t>25/03/2022</t>
  </si>
  <si>
    <t>16/02/2018</t>
  </si>
  <si>
    <t>20/02/2018</t>
  </si>
  <si>
    <t>26/02/2018</t>
  </si>
  <si>
    <t>05/03/2018</t>
  </si>
  <si>
    <t>06/03/2018</t>
  </si>
  <si>
    <t>15/03/2018</t>
  </si>
  <si>
    <t>02/04/2018</t>
  </si>
  <si>
    <t>0000970</t>
  </si>
  <si>
    <t>03/04/2018</t>
  </si>
  <si>
    <t>05/04/2018</t>
  </si>
  <si>
    <t>17/04/2018</t>
  </si>
  <si>
    <t>0000985</t>
  </si>
  <si>
    <t>94119028002</t>
  </si>
  <si>
    <t>AUHK9002231P8</t>
  </si>
  <si>
    <t>900223</t>
  </si>
  <si>
    <t>20/07/2021</t>
  </si>
  <si>
    <t>02/05/2018</t>
  </si>
  <si>
    <t>03/05/2018</t>
  </si>
  <si>
    <t>04/05/2018</t>
  </si>
  <si>
    <t>07/05/2018</t>
  </si>
  <si>
    <t>08/05/2018</t>
  </si>
  <si>
    <t>14/05/2018</t>
  </si>
  <si>
    <t>29/08/2022</t>
  </si>
  <si>
    <t>17/05/2018</t>
  </si>
  <si>
    <t>21/05/2018</t>
  </si>
  <si>
    <t>23/05/2018</t>
  </si>
  <si>
    <t>26/05/2018</t>
  </si>
  <si>
    <t>01/06/2018</t>
  </si>
  <si>
    <t>08/08/2022</t>
  </si>
  <si>
    <t>04/06/2018</t>
  </si>
  <si>
    <t>06/06/2018</t>
  </si>
  <si>
    <t>07/06/2018</t>
  </si>
  <si>
    <t>14/06/2018</t>
  </si>
  <si>
    <t>15/06/2018</t>
  </si>
  <si>
    <t>19/06/2018</t>
  </si>
  <si>
    <t>25/06/2018</t>
  </si>
  <si>
    <t>03/07/2018</t>
  </si>
  <si>
    <t>16/07/2018</t>
  </si>
  <si>
    <t>23/07/2018</t>
  </si>
  <si>
    <t>25/07/2018</t>
  </si>
  <si>
    <t>30/07/2018</t>
  </si>
  <si>
    <t>01/08/2018</t>
  </si>
  <si>
    <t>08/08/2018</t>
  </si>
  <si>
    <t>17/08/2018</t>
  </si>
  <si>
    <t>27/08/2018</t>
  </si>
  <si>
    <t>28/08/2018</t>
  </si>
  <si>
    <t>03/09/2018</t>
  </si>
  <si>
    <t>13/09/2018</t>
  </si>
  <si>
    <t>25/10/2021</t>
  </si>
  <si>
    <t>17/09/2018</t>
  </si>
  <si>
    <t>19/09/2018</t>
  </si>
  <si>
    <t>0001609</t>
  </si>
  <si>
    <t>39927558708</t>
  </si>
  <si>
    <t>LOMV750516BF4</t>
  </si>
  <si>
    <t>750516</t>
  </si>
  <si>
    <t>17/01/2022</t>
  </si>
  <si>
    <t>0001723</t>
  </si>
  <si>
    <t>68958002112</t>
  </si>
  <si>
    <t>AASR800111IZ5</t>
  </si>
  <si>
    <t>800111</t>
  </si>
  <si>
    <t>04/02/2021</t>
  </si>
  <si>
    <t>0001747</t>
  </si>
  <si>
    <t>02179066358</t>
  </si>
  <si>
    <t>AAMC900819D20</t>
  </si>
  <si>
    <t>900819</t>
  </si>
  <si>
    <t>22/08/2022</t>
  </si>
  <si>
    <t>0001822</t>
  </si>
  <si>
    <t>39967717800</t>
  </si>
  <si>
    <t>EEVA770322ED9</t>
  </si>
  <si>
    <t>770322</t>
  </si>
  <si>
    <t>29/05/2021</t>
  </si>
  <si>
    <t>0001860</t>
  </si>
  <si>
    <t>30947804883</t>
  </si>
  <si>
    <t>RASE7810308KA</t>
  </si>
  <si>
    <t>781030</t>
  </si>
  <si>
    <t>01/06/2021</t>
  </si>
  <si>
    <t>01/06/2020</t>
  </si>
  <si>
    <t>20/09/2018</t>
  </si>
  <si>
    <t>22/09/2018</t>
  </si>
  <si>
    <t>24/09/2018</t>
  </si>
  <si>
    <t>21/06/2021</t>
  </si>
  <si>
    <t>29/09/2020</t>
  </si>
  <si>
    <t>05/10/2018</t>
  </si>
  <si>
    <t>08/10/2018</t>
  </si>
  <si>
    <t>02/08/2021</t>
  </si>
  <si>
    <t>16/10/2018</t>
  </si>
  <si>
    <t>16/11/2018</t>
  </si>
  <si>
    <t>16/01/2019</t>
  </si>
  <si>
    <t>08/02/2019</t>
  </si>
  <si>
    <t>01/02/2019</t>
  </si>
  <si>
    <t>18/02/2019</t>
  </si>
  <si>
    <t>19/02/2019</t>
  </si>
  <si>
    <t>12/02/2019</t>
  </si>
  <si>
    <t>28/02/2019</t>
  </si>
  <si>
    <t>26/02/2019</t>
  </si>
  <si>
    <t>25/02/2019</t>
  </si>
  <si>
    <t>12/03/2019</t>
  </si>
  <si>
    <t>01/03/2019</t>
  </si>
  <si>
    <t>15/03/2019</t>
  </si>
  <si>
    <t>20/03/2019</t>
  </si>
  <si>
    <t>21/03/2019</t>
  </si>
  <si>
    <t>13/03/2019</t>
  </si>
  <si>
    <t>11/03/2019</t>
  </si>
  <si>
    <t>01/04/2019</t>
  </si>
  <si>
    <t>03/04/2019</t>
  </si>
  <si>
    <t>02/04/2019</t>
  </si>
  <si>
    <t>28/03/2019</t>
  </si>
  <si>
    <t>09/04/2019</t>
  </si>
  <si>
    <t>22/04/2019</t>
  </si>
  <si>
    <t>11/04/2019</t>
  </si>
  <si>
    <t>15/04/2019</t>
  </si>
  <si>
    <t>29/04/2019</t>
  </si>
  <si>
    <t>03/05/2019</t>
  </si>
  <si>
    <t>13/05/2019</t>
  </si>
  <si>
    <t>21/05/2019</t>
  </si>
  <si>
    <t>0002967</t>
  </si>
  <si>
    <t>10169027736</t>
  </si>
  <si>
    <t>ROOD901011A11</t>
  </si>
  <si>
    <t>901011</t>
  </si>
  <si>
    <t>21/05/2022</t>
  </si>
  <si>
    <t>01/06/2019</t>
  </si>
  <si>
    <t>01/10/2020</t>
  </si>
  <si>
    <t>05/06/2019</t>
  </si>
  <si>
    <t>27/05/2019</t>
  </si>
  <si>
    <t>28/09/2020</t>
  </si>
  <si>
    <t>17/05/2022</t>
  </si>
  <si>
    <t>17/06/2019</t>
  </si>
  <si>
    <t>03/07/2019</t>
  </si>
  <si>
    <t>26/06/2019</t>
  </si>
  <si>
    <t>08/07/2019</t>
  </si>
  <si>
    <t>10/07/2019</t>
  </si>
  <si>
    <t>16/07/2019</t>
  </si>
  <si>
    <t>03/11/2021</t>
  </si>
  <si>
    <t>17/07/2019</t>
  </si>
  <si>
    <t>18/07/2019</t>
  </si>
  <si>
    <t>23/07/2019</t>
  </si>
  <si>
    <t>07/08/2019</t>
  </si>
  <si>
    <t>06/08/2019</t>
  </si>
  <si>
    <t>01/06/2013</t>
  </si>
  <si>
    <t>17/05/2017</t>
  </si>
  <si>
    <t>0003299</t>
  </si>
  <si>
    <t>96098727678</t>
  </si>
  <si>
    <t>SABA871120AA5</t>
  </si>
  <si>
    <t>871120</t>
  </si>
  <si>
    <t>17/04/2021</t>
  </si>
  <si>
    <t>0003311</t>
  </si>
  <si>
    <t>20138702848</t>
  </si>
  <si>
    <t>VISC871106I91</t>
  </si>
  <si>
    <t>871106</t>
  </si>
  <si>
    <t>15/08/2019</t>
  </si>
  <si>
    <t>19/08/2019</t>
  </si>
  <si>
    <t>02/09/2019</t>
  </si>
  <si>
    <t>27/08/2019</t>
  </si>
  <si>
    <t>23/02/2022</t>
  </si>
  <si>
    <t>03/09/2019</t>
  </si>
  <si>
    <t>05/10/2020</t>
  </si>
  <si>
    <t>0003600</t>
  </si>
  <si>
    <t>37027704172</t>
  </si>
  <si>
    <t>CARD771210990</t>
  </si>
  <si>
    <t>771210</t>
  </si>
  <si>
    <t>08/05/2022</t>
  </si>
  <si>
    <t>19/09/2019</t>
  </si>
  <si>
    <t>20/09/2019</t>
  </si>
  <si>
    <t>0004011</t>
  </si>
  <si>
    <t>94099400569</t>
  </si>
  <si>
    <t>FOTN940226C55</t>
  </si>
  <si>
    <t>940226</t>
  </si>
  <si>
    <t>04/10/2019</t>
  </si>
  <si>
    <t>14/10/2019</t>
  </si>
  <si>
    <t>10/10/2019</t>
  </si>
  <si>
    <t>01/11/2019</t>
  </si>
  <si>
    <t>08/11/2019</t>
  </si>
  <si>
    <t>12/11/2019</t>
  </si>
  <si>
    <t>28/11/2019</t>
  </si>
  <si>
    <t>09/12/2019</t>
  </si>
  <si>
    <t>06/01/2020</t>
  </si>
  <si>
    <t>0004175</t>
  </si>
  <si>
    <t>94109287469</t>
  </si>
  <si>
    <t>NACS921124TM0</t>
  </si>
  <si>
    <t>921124</t>
  </si>
  <si>
    <t>16/02/2022</t>
  </si>
  <si>
    <t>13/01/2020</t>
  </si>
  <si>
    <t>20/01/2020</t>
  </si>
  <si>
    <t>16/01/2020</t>
  </si>
  <si>
    <t>0004275</t>
  </si>
  <si>
    <t>28068711028</t>
  </si>
  <si>
    <t>TEGB870625MH6</t>
  </si>
  <si>
    <t>870625</t>
  </si>
  <si>
    <t>19/01/2022</t>
  </si>
  <si>
    <t>07/02/2020</t>
  </si>
  <si>
    <t>10/02/2020</t>
  </si>
  <si>
    <t>13/02/2020</t>
  </si>
  <si>
    <t>18/02/2020</t>
  </si>
  <si>
    <t>28/02/2020</t>
  </si>
  <si>
    <t>03/03/2020</t>
  </si>
  <si>
    <t>02/03/2020</t>
  </si>
  <si>
    <t>0004579</t>
  </si>
  <si>
    <t>42937437475</t>
  </si>
  <si>
    <t>CUPS740714CP3</t>
  </si>
  <si>
    <t>02/02/2021</t>
  </si>
  <si>
    <t>06/03/2020</t>
  </si>
  <si>
    <t>11/03/2020</t>
  </si>
  <si>
    <t>13/04/2020</t>
  </si>
  <si>
    <t>07/07/2020</t>
  </si>
  <si>
    <t>05/07/2022</t>
  </si>
  <si>
    <t>28/07/2020</t>
  </si>
  <si>
    <t>29/07/2020</t>
  </si>
  <si>
    <t>03/08/2020</t>
  </si>
  <si>
    <t>26/08/2020</t>
  </si>
  <si>
    <t>02/09/2020</t>
  </si>
  <si>
    <t>11/09/2020</t>
  </si>
  <si>
    <t>18/09/2020</t>
  </si>
  <si>
    <t>14/10/2020</t>
  </si>
  <si>
    <t>16/10/2020</t>
  </si>
  <si>
    <t>26/10/2020</t>
  </si>
  <si>
    <t>05/11/2020</t>
  </si>
  <si>
    <t>0005033</t>
  </si>
  <si>
    <t>96048643710</t>
  </si>
  <si>
    <t>PODJ860525G78</t>
  </si>
  <si>
    <t>860525</t>
  </si>
  <si>
    <t>06/04/2022</t>
  </si>
  <si>
    <t>0005045</t>
  </si>
  <si>
    <t>39109013647</t>
  </si>
  <si>
    <t>TECM900912UL6</t>
  </si>
  <si>
    <t>900912</t>
  </si>
  <si>
    <t>04/01/2021</t>
  </si>
  <si>
    <t>0005054</t>
  </si>
  <si>
    <t>63169942826</t>
  </si>
  <si>
    <t>SAJA9906164B9</t>
  </si>
  <si>
    <t>990616</t>
  </si>
  <si>
    <t>15/01/2021</t>
  </si>
  <si>
    <t>0005055</t>
  </si>
  <si>
    <t>11139407339</t>
  </si>
  <si>
    <t>RIPE9411154W8</t>
  </si>
  <si>
    <t>941115</t>
  </si>
  <si>
    <t>0005059</t>
  </si>
  <si>
    <t>45078613010</t>
  </si>
  <si>
    <t>ROBS860410CI2</t>
  </si>
  <si>
    <t>860410</t>
  </si>
  <si>
    <t>14/01/2021</t>
  </si>
  <si>
    <t>0005072</t>
  </si>
  <si>
    <t>02219516651</t>
  </si>
  <si>
    <t>ROVA950707GV0</t>
  </si>
  <si>
    <t>950707</t>
  </si>
  <si>
    <t>20/01/2021</t>
  </si>
  <si>
    <t>0005113</t>
  </si>
  <si>
    <t>35149306868</t>
  </si>
  <si>
    <t>BAHJ9312052W2</t>
  </si>
  <si>
    <t>931205</t>
  </si>
  <si>
    <t>0005114</t>
  </si>
  <si>
    <t>20119614384</t>
  </si>
  <si>
    <t>SAVF960928NR4</t>
  </si>
  <si>
    <t>960928</t>
  </si>
  <si>
    <t>30/11/2021</t>
  </si>
  <si>
    <t>0005115</t>
  </si>
  <si>
    <t>42129718815</t>
  </si>
  <si>
    <t>AOGC970326RQ3</t>
  </si>
  <si>
    <t>970326</t>
  </si>
  <si>
    <t>15/09/2022</t>
  </si>
  <si>
    <t>0005117</t>
  </si>
  <si>
    <t>57160191276</t>
  </si>
  <si>
    <t>GACL010107GG0</t>
  </si>
  <si>
    <t>010107</t>
  </si>
  <si>
    <t>0005118</t>
  </si>
  <si>
    <t>01129738983</t>
  </si>
  <si>
    <t>BEBJ970313PY4</t>
  </si>
  <si>
    <t>970313</t>
  </si>
  <si>
    <t>0005132</t>
  </si>
  <si>
    <t>02179200155</t>
  </si>
  <si>
    <t>CALA920602SS9</t>
  </si>
  <si>
    <t>920602</t>
  </si>
  <si>
    <t>16/02/2021</t>
  </si>
  <si>
    <t>0005133</t>
  </si>
  <si>
    <t>45150021942</t>
  </si>
  <si>
    <t>DACD000725IA7</t>
  </si>
  <si>
    <t>000725</t>
  </si>
  <si>
    <t>0005139</t>
  </si>
  <si>
    <t>07170248194</t>
  </si>
  <si>
    <t>FOQE020929P90</t>
  </si>
  <si>
    <t>020929</t>
  </si>
  <si>
    <t>0005140</t>
  </si>
  <si>
    <t>24169300266</t>
  </si>
  <si>
    <t>GORF931004IB7</t>
  </si>
  <si>
    <t>931004</t>
  </si>
  <si>
    <t>17/02/2021</t>
  </si>
  <si>
    <t>0005144</t>
  </si>
  <si>
    <t>39129715817</t>
  </si>
  <si>
    <t>PEPE970817DJ5</t>
  </si>
  <si>
    <t>970817</t>
  </si>
  <si>
    <t>01/03/2021</t>
  </si>
  <si>
    <t>0005159</t>
  </si>
  <si>
    <t>03188931152</t>
  </si>
  <si>
    <t>BEMD890223DP5</t>
  </si>
  <si>
    <t>890223</t>
  </si>
  <si>
    <t>05/03/2021</t>
  </si>
  <si>
    <t>0005160</t>
  </si>
  <si>
    <t>30139604703</t>
  </si>
  <si>
    <t>GAMV960513GR7</t>
  </si>
  <si>
    <t>960513</t>
  </si>
  <si>
    <t>25/04/2022</t>
  </si>
  <si>
    <t>0005172</t>
  </si>
  <si>
    <t>05199655779</t>
  </si>
  <si>
    <t>CUSH960410TB0</t>
  </si>
  <si>
    <t>960410</t>
  </si>
  <si>
    <t>08/03/2021</t>
  </si>
  <si>
    <t>0005173</t>
  </si>
  <si>
    <t>92099114321</t>
  </si>
  <si>
    <t>PEOI9103274S1</t>
  </si>
  <si>
    <t>910327</t>
  </si>
  <si>
    <t>10/03/2021</t>
  </si>
  <si>
    <t>0005178</t>
  </si>
  <si>
    <t>05199327734</t>
  </si>
  <si>
    <t>GUVE9302289R6</t>
  </si>
  <si>
    <t>11/03/2021</t>
  </si>
  <si>
    <t>0005179</t>
  </si>
  <si>
    <t>94129444793</t>
  </si>
  <si>
    <t>GURG941118RS0</t>
  </si>
  <si>
    <t>941118</t>
  </si>
  <si>
    <t>16/03/2021</t>
  </si>
  <si>
    <t>0005183</t>
  </si>
  <si>
    <t>12099114436</t>
  </si>
  <si>
    <t>GABS910717TQ9</t>
  </si>
  <si>
    <t>910717</t>
  </si>
  <si>
    <t>17/03/2021</t>
  </si>
  <si>
    <t>0005195</t>
  </si>
  <si>
    <t>96048005068</t>
  </si>
  <si>
    <t>TOME800429449</t>
  </si>
  <si>
    <t>800429</t>
  </si>
  <si>
    <t>07/04/2021</t>
  </si>
  <si>
    <t>0005197</t>
  </si>
  <si>
    <t>20119115465</t>
  </si>
  <si>
    <t>VERA910514311</t>
  </si>
  <si>
    <t>910514</t>
  </si>
  <si>
    <t>05/04/2021</t>
  </si>
  <si>
    <t>0005199</t>
  </si>
  <si>
    <t>02217941471</t>
  </si>
  <si>
    <t>CUPV790911AU6</t>
  </si>
  <si>
    <t>790911</t>
  </si>
  <si>
    <t>08/04/2021</t>
  </si>
  <si>
    <t>0005200</t>
  </si>
  <si>
    <t>02218362933</t>
  </si>
  <si>
    <t>EIJU8304067E1</t>
  </si>
  <si>
    <t>830406</t>
  </si>
  <si>
    <t>01/04/2021</t>
  </si>
  <si>
    <t>0005221</t>
  </si>
  <si>
    <t>94078316554</t>
  </si>
  <si>
    <t>CARL830325SR8</t>
  </si>
  <si>
    <t>830325</t>
  </si>
  <si>
    <t>15/04/2021</t>
  </si>
  <si>
    <t>0005222</t>
  </si>
  <si>
    <t>07856303792</t>
  </si>
  <si>
    <t>GOLE630607UK1</t>
  </si>
  <si>
    <t>630607</t>
  </si>
  <si>
    <t>19/04/2021</t>
  </si>
  <si>
    <t>0005228</t>
  </si>
  <si>
    <t>45149821550</t>
  </si>
  <si>
    <t>CAPM981231GX8</t>
  </si>
  <si>
    <t>981231</t>
  </si>
  <si>
    <t>21/04/2021</t>
  </si>
  <si>
    <t>0005229</t>
  </si>
  <si>
    <t>20119415527</t>
  </si>
  <si>
    <t>AALD9410045Z2</t>
  </si>
  <si>
    <t>941004</t>
  </si>
  <si>
    <t>14/04/2021</t>
  </si>
  <si>
    <t>0005232</t>
  </si>
  <si>
    <t>02208071767</t>
  </si>
  <si>
    <t>BAAV800212Q41</t>
  </si>
  <si>
    <t>800212</t>
  </si>
  <si>
    <t>26/04/2021</t>
  </si>
  <si>
    <t>0005233</t>
  </si>
  <si>
    <t>15008221820</t>
  </si>
  <si>
    <t>JIFG8201285A9</t>
  </si>
  <si>
    <t>820128</t>
  </si>
  <si>
    <t>0005237</t>
  </si>
  <si>
    <t>96129441547</t>
  </si>
  <si>
    <t>CACK940125762</t>
  </si>
  <si>
    <t>940125</t>
  </si>
  <si>
    <t>28/04/2021</t>
  </si>
  <si>
    <t>0005238</t>
  </si>
  <si>
    <t>94098505491</t>
  </si>
  <si>
    <t>AEME851009389</t>
  </si>
  <si>
    <t>851009</t>
  </si>
  <si>
    <t>29/04/2021</t>
  </si>
  <si>
    <t>0005253</t>
  </si>
  <si>
    <t>20139307662</t>
  </si>
  <si>
    <t>RORY930707S19</t>
  </si>
  <si>
    <t>930707</t>
  </si>
  <si>
    <t>05/05/2021</t>
  </si>
  <si>
    <t>0005255</t>
  </si>
  <si>
    <t>96088743834</t>
  </si>
  <si>
    <t>SOSV8708142V1</t>
  </si>
  <si>
    <t>870814</t>
  </si>
  <si>
    <t>06/05/2021</t>
  </si>
  <si>
    <t>0005259</t>
  </si>
  <si>
    <t>12048209055</t>
  </si>
  <si>
    <t>AAGJ820224GD9</t>
  </si>
  <si>
    <t>820224</t>
  </si>
  <si>
    <t>07/05/2021</t>
  </si>
  <si>
    <t>0005265</t>
  </si>
  <si>
    <t>94078874685</t>
  </si>
  <si>
    <t>OIRN8811022K5</t>
  </si>
  <si>
    <t>881102</t>
  </si>
  <si>
    <t>11/05/2021</t>
  </si>
  <si>
    <t>0005266</t>
  </si>
  <si>
    <t>68958100627</t>
  </si>
  <si>
    <t>GOMJ810418M32</t>
  </si>
  <si>
    <t>810418</t>
  </si>
  <si>
    <t>0005276</t>
  </si>
  <si>
    <t>70159694994</t>
  </si>
  <si>
    <t>LOCC9604168V5</t>
  </si>
  <si>
    <t>960416</t>
  </si>
  <si>
    <t>19/05/2021</t>
  </si>
  <si>
    <t>0005278</t>
  </si>
  <si>
    <t>12078732828</t>
  </si>
  <si>
    <t>CAHJ870209716</t>
  </si>
  <si>
    <t>870209</t>
  </si>
  <si>
    <t>13/05/2021</t>
  </si>
  <si>
    <t>0005279</t>
  </si>
  <si>
    <t>60169761552</t>
  </si>
  <si>
    <t>NASD970130T9A</t>
  </si>
  <si>
    <t>970130</t>
  </si>
  <si>
    <t>0005299</t>
  </si>
  <si>
    <t>92977936647</t>
  </si>
  <si>
    <t>DIRX791113PB0</t>
  </si>
  <si>
    <t>791113</t>
  </si>
  <si>
    <t>28/05/2021</t>
  </si>
  <si>
    <t>0005302</t>
  </si>
  <si>
    <t>19159901669</t>
  </si>
  <si>
    <t>SACA991104DFA</t>
  </si>
  <si>
    <t>991104</t>
  </si>
  <si>
    <t>31/05/2021</t>
  </si>
  <si>
    <t>0005303</t>
  </si>
  <si>
    <t>50169735847</t>
  </si>
  <si>
    <t>EIDD970126TN6</t>
  </si>
  <si>
    <t>970126</t>
  </si>
  <si>
    <t>0005304</t>
  </si>
  <si>
    <t>20139822306</t>
  </si>
  <si>
    <t>PIGT980820PW9</t>
  </si>
  <si>
    <t>980820</t>
  </si>
  <si>
    <t>0005306</t>
  </si>
  <si>
    <t>28109207812</t>
  </si>
  <si>
    <t>HEGL921106HE2</t>
  </si>
  <si>
    <t>921106</t>
  </si>
  <si>
    <t>11/03/2022</t>
  </si>
  <si>
    <t>0005320</t>
  </si>
  <si>
    <t>11018002672</t>
  </si>
  <si>
    <t>SOMG800326PI3</t>
  </si>
  <si>
    <t>800326</t>
  </si>
  <si>
    <t>08/06/2021</t>
  </si>
  <si>
    <t>0005324</t>
  </si>
  <si>
    <t>96159703238</t>
  </si>
  <si>
    <t>SICG970523U34</t>
  </si>
  <si>
    <t>970523</t>
  </si>
  <si>
    <t>10/06/2021</t>
  </si>
  <si>
    <t>0005325</t>
  </si>
  <si>
    <t>10189901910</t>
  </si>
  <si>
    <t>ROMM990629RK0</t>
  </si>
  <si>
    <t>990629</t>
  </si>
  <si>
    <t>0005327</t>
  </si>
  <si>
    <t>62169694296</t>
  </si>
  <si>
    <t>RERS961127K64</t>
  </si>
  <si>
    <t>961127</t>
  </si>
  <si>
    <t>0005331</t>
  </si>
  <si>
    <t>42139600383</t>
  </si>
  <si>
    <t>JUEY960312BK8</t>
  </si>
  <si>
    <t>960312</t>
  </si>
  <si>
    <t>0005335</t>
  </si>
  <si>
    <t>84947411439</t>
  </si>
  <si>
    <t>FOSE7403229MA</t>
  </si>
  <si>
    <t>740322</t>
  </si>
  <si>
    <t>14/06/2021</t>
  </si>
  <si>
    <t>0005340</t>
  </si>
  <si>
    <t>11907200742</t>
  </si>
  <si>
    <t>TOFM710709PB7</t>
  </si>
  <si>
    <t>710709</t>
  </si>
  <si>
    <t>15/06/2021</t>
  </si>
  <si>
    <t>0005343</t>
  </si>
  <si>
    <t>37089004917</t>
  </si>
  <si>
    <t>AEVB900822GX0</t>
  </si>
  <si>
    <t>900822</t>
  </si>
  <si>
    <t>17/06/2021</t>
  </si>
  <si>
    <t>0005344</t>
  </si>
  <si>
    <t>03158425722</t>
  </si>
  <si>
    <t>MOMD840511U64</t>
  </si>
  <si>
    <t>840511</t>
  </si>
  <si>
    <t>0005352</t>
  </si>
  <si>
    <t>92119359161</t>
  </si>
  <si>
    <t>RAGD931009385</t>
  </si>
  <si>
    <t>0005356</t>
  </si>
  <si>
    <t>20119112033</t>
  </si>
  <si>
    <t>ROPE910227275</t>
  </si>
  <si>
    <t>910227</t>
  </si>
  <si>
    <t>05/07/2021</t>
  </si>
  <si>
    <t>0005357</t>
  </si>
  <si>
    <t>42139711149</t>
  </si>
  <si>
    <t>PEJG970625SU5</t>
  </si>
  <si>
    <t>970625</t>
  </si>
  <si>
    <t>0005365</t>
  </si>
  <si>
    <t>96129800593</t>
  </si>
  <si>
    <t>ROBL9801065L5</t>
  </si>
  <si>
    <t>980106</t>
  </si>
  <si>
    <t>0005376</t>
  </si>
  <si>
    <t>42149928071</t>
  </si>
  <si>
    <t>HERK9907029J1</t>
  </si>
  <si>
    <t>990702</t>
  </si>
  <si>
    <t>29/06/2021</t>
  </si>
  <si>
    <t>0005377</t>
  </si>
  <si>
    <t>45119543705</t>
  </si>
  <si>
    <t>REDL951002K83</t>
  </si>
  <si>
    <t>951002</t>
  </si>
  <si>
    <t>0005378</t>
  </si>
  <si>
    <t>20119601845</t>
  </si>
  <si>
    <t>SAMK960120NW2</t>
  </si>
  <si>
    <t>960120</t>
  </si>
  <si>
    <t>01/07/2021</t>
  </si>
  <si>
    <t>0005383</t>
  </si>
  <si>
    <t>92078822670</t>
  </si>
  <si>
    <t>PIIY881204JB1</t>
  </si>
  <si>
    <t>881204</t>
  </si>
  <si>
    <t>0005390</t>
  </si>
  <si>
    <t>96119337341</t>
  </si>
  <si>
    <t>EAGB930422193</t>
  </si>
  <si>
    <t>930422</t>
  </si>
  <si>
    <t>12/07/2021</t>
  </si>
  <si>
    <t>0005395</t>
  </si>
  <si>
    <t>02178409898</t>
  </si>
  <si>
    <t>SAVO840812AE9</t>
  </si>
  <si>
    <t>840812</t>
  </si>
  <si>
    <t>0005399</t>
  </si>
  <si>
    <t>45089019850</t>
  </si>
  <si>
    <t>PEME9007101R3</t>
  </si>
  <si>
    <t>900710</t>
  </si>
  <si>
    <t>19/07/2021</t>
  </si>
  <si>
    <t>0005406</t>
  </si>
  <si>
    <t>40169622509</t>
  </si>
  <si>
    <t>BEGD9604217P1</t>
  </si>
  <si>
    <t>0005422</t>
  </si>
  <si>
    <t>45088505321</t>
  </si>
  <si>
    <t>MORN850119N52</t>
  </si>
  <si>
    <t>850119</t>
  </si>
  <si>
    <t>08/07/2022</t>
  </si>
  <si>
    <t>0005423</t>
  </si>
  <si>
    <t>10189533960</t>
  </si>
  <si>
    <t>CIHD950705KT9</t>
  </si>
  <si>
    <t>950705</t>
  </si>
  <si>
    <t>0005424</t>
  </si>
  <si>
    <t>96108403344</t>
  </si>
  <si>
    <t>SAVE840611413</t>
  </si>
  <si>
    <t>840611</t>
  </si>
  <si>
    <t>0005435</t>
  </si>
  <si>
    <t>03188992766</t>
  </si>
  <si>
    <t>GOPS890522T76</t>
  </si>
  <si>
    <t>0005438</t>
  </si>
  <si>
    <t>92947613565</t>
  </si>
  <si>
    <t>CAVC7604269M2</t>
  </si>
  <si>
    <t>760426</t>
  </si>
  <si>
    <t>0005452</t>
  </si>
  <si>
    <t>78129351777</t>
  </si>
  <si>
    <t>TUMN931228UYA</t>
  </si>
  <si>
    <t>931228</t>
  </si>
  <si>
    <t>0005471</t>
  </si>
  <si>
    <t>12078112567</t>
  </si>
  <si>
    <t>SESJ811025T71</t>
  </si>
  <si>
    <t>811025</t>
  </si>
  <si>
    <t>08/04/2022</t>
  </si>
  <si>
    <t>0005472</t>
  </si>
  <si>
    <t>17199777875</t>
  </si>
  <si>
    <t>VEIA9706134R4</t>
  </si>
  <si>
    <t>02/08/2022</t>
  </si>
  <si>
    <t>0005481</t>
  </si>
  <si>
    <t>90946804763</t>
  </si>
  <si>
    <t>REHG680920EB8</t>
  </si>
  <si>
    <t>680920</t>
  </si>
  <si>
    <t>11/08/2021</t>
  </si>
  <si>
    <t>0005483</t>
  </si>
  <si>
    <t>94068210502</t>
  </si>
  <si>
    <t>PEAT8205026V9</t>
  </si>
  <si>
    <t>820502</t>
  </si>
  <si>
    <t>09/08/2021</t>
  </si>
  <si>
    <t>0005484</t>
  </si>
  <si>
    <t>12149701133</t>
  </si>
  <si>
    <t>LIBB971121PG7</t>
  </si>
  <si>
    <t>971121</t>
  </si>
  <si>
    <t>16/08/2021</t>
  </si>
  <si>
    <t>0005487</t>
  </si>
  <si>
    <t>92038621477</t>
  </si>
  <si>
    <t>BACM860316SP3</t>
  </si>
  <si>
    <t>860316</t>
  </si>
  <si>
    <t>23/08/2021</t>
  </si>
  <si>
    <t>0005490</t>
  </si>
  <si>
    <t>96917608059</t>
  </si>
  <si>
    <t>TOGE760811RJ2</t>
  </si>
  <si>
    <t>760811</t>
  </si>
  <si>
    <t>0005497</t>
  </si>
  <si>
    <t>23139835641</t>
  </si>
  <si>
    <t>ZAMM9809075Q7</t>
  </si>
  <si>
    <t>26/08/2021</t>
  </si>
  <si>
    <t>0005548</t>
  </si>
  <si>
    <t>02159675210</t>
  </si>
  <si>
    <t>MARE961129SW4</t>
  </si>
  <si>
    <t>961129</t>
  </si>
  <si>
    <t>09/09/2021</t>
  </si>
  <si>
    <t>0005552</t>
  </si>
  <si>
    <t>30109507480</t>
  </si>
  <si>
    <t>AEMS950705M34</t>
  </si>
  <si>
    <t>17/09/2021</t>
  </si>
  <si>
    <t>0005588</t>
  </si>
  <si>
    <t>22119217879</t>
  </si>
  <si>
    <t>GATS920515CAA</t>
  </si>
  <si>
    <t>0005593</t>
  </si>
  <si>
    <t>28937324763</t>
  </si>
  <si>
    <t>SABV7304034I2</t>
  </si>
  <si>
    <t>730403</t>
  </si>
  <si>
    <t>01/09/2021</t>
  </si>
  <si>
    <t>0005594</t>
  </si>
  <si>
    <t>15180328179</t>
  </si>
  <si>
    <t>RAHM030701GJ9</t>
  </si>
  <si>
    <t>030701</t>
  </si>
  <si>
    <t>28/09/2021</t>
  </si>
  <si>
    <t>0005602</t>
  </si>
  <si>
    <t>45159604938</t>
  </si>
  <si>
    <t>REFI961104CL9</t>
  </si>
  <si>
    <t>961104</t>
  </si>
  <si>
    <t>05/10/2021</t>
  </si>
  <si>
    <t>0005606</t>
  </si>
  <si>
    <t>45099160090</t>
  </si>
  <si>
    <t>METM910125UX8</t>
  </si>
  <si>
    <t>910125</t>
  </si>
  <si>
    <t>07/10/2021</t>
  </si>
  <si>
    <t>0005612</t>
  </si>
  <si>
    <t>28027900712</t>
  </si>
  <si>
    <t>PAMI791023DY2</t>
  </si>
  <si>
    <t>791023</t>
  </si>
  <si>
    <t>0005613</t>
  </si>
  <si>
    <t>16169866221</t>
  </si>
  <si>
    <t>ROLE980211E43</t>
  </si>
  <si>
    <t>980211</t>
  </si>
  <si>
    <t>16/03/2022</t>
  </si>
  <si>
    <t>0005617</t>
  </si>
  <si>
    <t>28058610545</t>
  </si>
  <si>
    <t>MUBL861108CW9</t>
  </si>
  <si>
    <t>861108</t>
  </si>
  <si>
    <t>14/10/2021</t>
  </si>
  <si>
    <t>0005621</t>
  </si>
  <si>
    <t>45048201839</t>
  </si>
  <si>
    <t>VACM820630G89</t>
  </si>
  <si>
    <t>820630</t>
  </si>
  <si>
    <t>18/10/2021</t>
  </si>
  <si>
    <t>0005644</t>
  </si>
  <si>
    <t>37139702593</t>
  </si>
  <si>
    <t>TEGA971028429</t>
  </si>
  <si>
    <t>971028</t>
  </si>
  <si>
    <t>0005654</t>
  </si>
  <si>
    <t>39099123760</t>
  </si>
  <si>
    <t>HESL910603GC6</t>
  </si>
  <si>
    <t>910603</t>
  </si>
  <si>
    <t>0005665</t>
  </si>
  <si>
    <t>01210147474</t>
  </si>
  <si>
    <t>BAHK010526349</t>
  </si>
  <si>
    <t>010526</t>
  </si>
  <si>
    <t>0005666</t>
  </si>
  <si>
    <t>96109248185</t>
  </si>
  <si>
    <t>POMM920619RX4</t>
  </si>
  <si>
    <t>920619</t>
  </si>
  <si>
    <t>0005673</t>
  </si>
  <si>
    <t>90118903013</t>
  </si>
  <si>
    <t>CUBG891222BY7</t>
  </si>
  <si>
    <t>891222</t>
  </si>
  <si>
    <t>26/10/2021</t>
  </si>
  <si>
    <t>0005676</t>
  </si>
  <si>
    <t>94109146921</t>
  </si>
  <si>
    <t>HEME910314V73</t>
  </si>
  <si>
    <t>910314</t>
  </si>
  <si>
    <t>0005677</t>
  </si>
  <si>
    <t>45108403697</t>
  </si>
  <si>
    <t>SETJ8402237D4</t>
  </si>
  <si>
    <t>840223</t>
  </si>
  <si>
    <t>0005678</t>
  </si>
  <si>
    <t>02179704016</t>
  </si>
  <si>
    <t>ROBS970905567</t>
  </si>
  <si>
    <t>970905</t>
  </si>
  <si>
    <t>0005690</t>
  </si>
  <si>
    <t>28088506879</t>
  </si>
  <si>
    <t>RUHL8506178S1</t>
  </si>
  <si>
    <t>850617</t>
  </si>
  <si>
    <t>11/11/2021</t>
  </si>
  <si>
    <t>0005701</t>
  </si>
  <si>
    <t>96099177501</t>
  </si>
  <si>
    <t>SAEC9109239J0</t>
  </si>
  <si>
    <t>910923</t>
  </si>
  <si>
    <t>0005704</t>
  </si>
  <si>
    <t>39987502315</t>
  </si>
  <si>
    <t>HOCL7503276EA</t>
  </si>
  <si>
    <t>23/11/2021</t>
  </si>
  <si>
    <t>0005712</t>
  </si>
  <si>
    <t>94109252133</t>
  </si>
  <si>
    <t>TECL920717TE9</t>
  </si>
  <si>
    <t>29/11/2021</t>
  </si>
  <si>
    <t>0005715</t>
  </si>
  <si>
    <t>42149815948</t>
  </si>
  <si>
    <t>PESR981021JJ9</t>
  </si>
  <si>
    <t>981021</t>
  </si>
  <si>
    <t>0005716</t>
  </si>
  <si>
    <t>37038414852</t>
  </si>
  <si>
    <t>EAAR840331EF8</t>
  </si>
  <si>
    <t>840331</t>
  </si>
  <si>
    <t>0005720</t>
  </si>
  <si>
    <t>06160094154</t>
  </si>
  <si>
    <t>TESM000310C69</t>
  </si>
  <si>
    <t>000310</t>
  </si>
  <si>
    <t>0005724</t>
  </si>
  <si>
    <t>96119632337</t>
  </si>
  <si>
    <t>AASB960403NJ6</t>
  </si>
  <si>
    <t>960403</t>
  </si>
  <si>
    <t>07/12/2021</t>
  </si>
  <si>
    <t>0005728</t>
  </si>
  <si>
    <t>88160158114</t>
  </si>
  <si>
    <t>LOLJ0106251J2</t>
  </si>
  <si>
    <t>010625</t>
  </si>
  <si>
    <t>03/01/2022</t>
  </si>
  <si>
    <t>0005750</t>
  </si>
  <si>
    <t>42088302064</t>
  </si>
  <si>
    <t>PAVA830615I1A</t>
  </si>
  <si>
    <t>830615</t>
  </si>
  <si>
    <t>0005752</t>
  </si>
  <si>
    <t>45109153564</t>
  </si>
  <si>
    <t>VAAO910601FQ9</t>
  </si>
  <si>
    <t>910601</t>
  </si>
  <si>
    <t>0005753</t>
  </si>
  <si>
    <t>20028505343</t>
  </si>
  <si>
    <t>VIML8504113H4</t>
  </si>
  <si>
    <t>850411</t>
  </si>
  <si>
    <t>0005805</t>
  </si>
  <si>
    <t>37169713098</t>
  </si>
  <si>
    <t>DORM970209PG6</t>
  </si>
  <si>
    <t>970209</t>
  </si>
  <si>
    <t>31/01/2022</t>
  </si>
  <si>
    <t>0005807</t>
  </si>
  <si>
    <t>39057501999</t>
  </si>
  <si>
    <t>VEER750730AP5</t>
  </si>
  <si>
    <t>750730</t>
  </si>
  <si>
    <t>01/02/2022</t>
  </si>
  <si>
    <t>0005808</t>
  </si>
  <si>
    <t>12129334848</t>
  </si>
  <si>
    <t>LOGP930313RQ0</t>
  </si>
  <si>
    <t>930313</t>
  </si>
  <si>
    <t>24/01/2022</t>
  </si>
  <si>
    <t>0005809</t>
  </si>
  <si>
    <t>94129744036</t>
  </si>
  <si>
    <t>OEPA970623EC4</t>
  </si>
  <si>
    <t>970623</t>
  </si>
  <si>
    <t>26/01/2022</t>
  </si>
  <si>
    <t>0005811</t>
  </si>
  <si>
    <t>06139843939</t>
  </si>
  <si>
    <t>LUOC981111P29</t>
  </si>
  <si>
    <t>981111</t>
  </si>
  <si>
    <t>0005812</t>
  </si>
  <si>
    <t>62169115011</t>
  </si>
  <si>
    <t>MEGD9106301Y6</t>
  </si>
  <si>
    <t>910630</t>
  </si>
  <si>
    <t>0005813</t>
  </si>
  <si>
    <t>90107901663</t>
  </si>
  <si>
    <t>RUCJ790119IH3</t>
  </si>
  <si>
    <t>790119</t>
  </si>
  <si>
    <t>0005815</t>
  </si>
  <si>
    <t>39947234157</t>
  </si>
  <si>
    <t>SAGA72083019A</t>
  </si>
  <si>
    <t>720830</t>
  </si>
  <si>
    <t>0005816</t>
  </si>
  <si>
    <t>96138712599</t>
  </si>
  <si>
    <t>GOTF870303PS5</t>
  </si>
  <si>
    <t>870303</t>
  </si>
  <si>
    <t>25/01/2022</t>
  </si>
  <si>
    <t>0005825</t>
  </si>
  <si>
    <t>92129620404</t>
  </si>
  <si>
    <t>RAGG960301K46</t>
  </si>
  <si>
    <t>960301</t>
  </si>
  <si>
    <t>0005828</t>
  </si>
  <si>
    <t>90119505049</t>
  </si>
  <si>
    <t>EEHA950419SK7</t>
  </si>
  <si>
    <t>950419</t>
  </si>
  <si>
    <t>0005829</t>
  </si>
  <si>
    <t>90099405814</t>
  </si>
  <si>
    <t>HEMJ940326CY8</t>
  </si>
  <si>
    <t>940326</t>
  </si>
  <si>
    <t>31/08/2022</t>
  </si>
  <si>
    <t>0005830</t>
  </si>
  <si>
    <t>55998014967</t>
  </si>
  <si>
    <t>REVL800715476</t>
  </si>
  <si>
    <t>800715</t>
  </si>
  <si>
    <t>0005844</t>
  </si>
  <si>
    <t>96118617834</t>
  </si>
  <si>
    <t>RUCA8609163AA</t>
  </si>
  <si>
    <t>860916</t>
  </si>
  <si>
    <t>10/02/2022</t>
  </si>
  <si>
    <t>0005850</t>
  </si>
  <si>
    <t>01169002043</t>
  </si>
  <si>
    <t>HECG900901GR0</t>
  </si>
  <si>
    <t>900901</t>
  </si>
  <si>
    <t>15/02/2022</t>
  </si>
  <si>
    <t>0005854</t>
  </si>
  <si>
    <t>01149910950</t>
  </si>
  <si>
    <t>AAAJ990910V43</t>
  </si>
  <si>
    <t>990910</t>
  </si>
  <si>
    <t>21/02/2022</t>
  </si>
  <si>
    <t>0005867</t>
  </si>
  <si>
    <t>02209673017</t>
  </si>
  <si>
    <t>AACL9602019V8</t>
  </si>
  <si>
    <t>960201</t>
  </si>
  <si>
    <t>0005869</t>
  </si>
  <si>
    <t>92139860859</t>
  </si>
  <si>
    <t>AACN980211N94</t>
  </si>
  <si>
    <t>0005883</t>
  </si>
  <si>
    <t>30088916777</t>
  </si>
  <si>
    <t>CAAE891118BJ1</t>
  </si>
  <si>
    <t>891118</t>
  </si>
  <si>
    <t>0005886</t>
  </si>
  <si>
    <t>16957512656</t>
  </si>
  <si>
    <t>AAMN751122L13</t>
  </si>
  <si>
    <t>751122</t>
  </si>
  <si>
    <t>22/02/2022</t>
  </si>
  <si>
    <t>0005887</t>
  </si>
  <si>
    <t>11169930648</t>
  </si>
  <si>
    <t>MARZ991017GM5</t>
  </si>
  <si>
    <t>991017</t>
  </si>
  <si>
    <t>24/02/2022</t>
  </si>
  <si>
    <t>0005888</t>
  </si>
  <si>
    <t>94129445584</t>
  </si>
  <si>
    <t>IALH940629CC2</t>
  </si>
  <si>
    <t>940629</t>
  </si>
  <si>
    <t>01/03/2022</t>
  </si>
  <si>
    <t>0005890</t>
  </si>
  <si>
    <t>03169655135</t>
  </si>
  <si>
    <t>MATL960808H71</t>
  </si>
  <si>
    <t>960808</t>
  </si>
  <si>
    <t>0005891</t>
  </si>
  <si>
    <t>45028417330</t>
  </si>
  <si>
    <t>LOMG840422GH7</t>
  </si>
  <si>
    <t>0005892</t>
  </si>
  <si>
    <t>24130031511</t>
  </si>
  <si>
    <t>PAVA000105E28</t>
  </si>
  <si>
    <t>0005895</t>
  </si>
  <si>
    <t>37977108739</t>
  </si>
  <si>
    <t>BOJF710429QH9</t>
  </si>
  <si>
    <t>710429</t>
  </si>
  <si>
    <t>02/03/2022</t>
  </si>
  <si>
    <t>0005896</t>
  </si>
  <si>
    <t>16119441158</t>
  </si>
  <si>
    <t>MOSR940531CQ4</t>
  </si>
  <si>
    <t>940531</t>
  </si>
  <si>
    <t>0005900</t>
  </si>
  <si>
    <t>17149795100</t>
  </si>
  <si>
    <t>MAMJ971207LG5</t>
  </si>
  <si>
    <t>971207</t>
  </si>
  <si>
    <t>03/03/2022</t>
  </si>
  <si>
    <t>0005902</t>
  </si>
  <si>
    <t>20997706781</t>
  </si>
  <si>
    <t>BIFN770609PW0</t>
  </si>
  <si>
    <t>770609</t>
  </si>
  <si>
    <t>07/03/2022</t>
  </si>
  <si>
    <t>0005908</t>
  </si>
  <si>
    <t>01179841455</t>
  </si>
  <si>
    <t>SAGT9803207E4</t>
  </si>
  <si>
    <t>980320</t>
  </si>
  <si>
    <t>0005911</t>
  </si>
  <si>
    <t>45038419441</t>
  </si>
  <si>
    <t>LARL841206EI8</t>
  </si>
  <si>
    <t>841206</t>
  </si>
  <si>
    <t>08/03/2022</t>
  </si>
  <si>
    <t>0005913</t>
  </si>
  <si>
    <t>50159706493</t>
  </si>
  <si>
    <t>BEDE970105BJ8</t>
  </si>
  <si>
    <t>970105</t>
  </si>
  <si>
    <t>0005919</t>
  </si>
  <si>
    <t>18179685773</t>
  </si>
  <si>
    <t>CAZJ9607208B0</t>
  </si>
  <si>
    <t>960720</t>
  </si>
  <si>
    <t>14/03/2022</t>
  </si>
  <si>
    <t>0005920</t>
  </si>
  <si>
    <t>63170227035</t>
  </si>
  <si>
    <t>RUCA020506MZ1</t>
  </si>
  <si>
    <t>020506</t>
  </si>
  <si>
    <t>0005922</t>
  </si>
  <si>
    <t>70897152347</t>
  </si>
  <si>
    <t>MIAJ710704RH7</t>
  </si>
  <si>
    <t>710704</t>
  </si>
  <si>
    <t>0005923</t>
  </si>
  <si>
    <t>01169420112</t>
  </si>
  <si>
    <t>HELA940502ID6</t>
  </si>
  <si>
    <t>940502</t>
  </si>
  <si>
    <t>0005924</t>
  </si>
  <si>
    <t>94129713221</t>
  </si>
  <si>
    <t>LORJ971024N93</t>
  </si>
  <si>
    <t>971024</t>
  </si>
  <si>
    <t>15/03/2022</t>
  </si>
  <si>
    <t>0005928</t>
  </si>
  <si>
    <t>94109178155</t>
  </si>
  <si>
    <t>PEMM911220SZ9</t>
  </si>
  <si>
    <t>911220</t>
  </si>
  <si>
    <t>0005930</t>
  </si>
  <si>
    <t>20088408016</t>
  </si>
  <si>
    <t>VAAO840820V36</t>
  </si>
  <si>
    <t>840820</t>
  </si>
  <si>
    <t>0005937</t>
  </si>
  <si>
    <t>45998132323</t>
  </si>
  <si>
    <t>OOCM810503JN8</t>
  </si>
  <si>
    <t>810503</t>
  </si>
  <si>
    <t>22/03/2022</t>
  </si>
  <si>
    <t>0005938</t>
  </si>
  <si>
    <t>42098603428</t>
  </si>
  <si>
    <t>CADI861005AV7</t>
  </si>
  <si>
    <t>861005</t>
  </si>
  <si>
    <t>0005939</t>
  </si>
  <si>
    <t>92897300957</t>
  </si>
  <si>
    <t>VAIM7301213N6</t>
  </si>
  <si>
    <t>0005940</t>
  </si>
  <si>
    <t>19169761194</t>
  </si>
  <si>
    <t>RUFS971226S22</t>
  </si>
  <si>
    <t>971226</t>
  </si>
  <si>
    <t>0005948</t>
  </si>
  <si>
    <t>17179619808</t>
  </si>
  <si>
    <t>GAVD960113DE5</t>
  </si>
  <si>
    <t>960113</t>
  </si>
  <si>
    <t>23/03/2022</t>
  </si>
  <si>
    <t>0005949</t>
  </si>
  <si>
    <t>01129424337</t>
  </si>
  <si>
    <t>SAAA940513FF4</t>
  </si>
  <si>
    <t>940513</t>
  </si>
  <si>
    <t>24/03/2022</t>
  </si>
  <si>
    <t>0005952</t>
  </si>
  <si>
    <t>30068706719</t>
  </si>
  <si>
    <t>OERA870806BI7</t>
  </si>
  <si>
    <t>870806</t>
  </si>
  <si>
    <t>28/03/2022</t>
  </si>
  <si>
    <t>0005953</t>
  </si>
  <si>
    <t>11988109515</t>
  </si>
  <si>
    <t>RORL8110159S7</t>
  </si>
  <si>
    <t>811015</t>
  </si>
  <si>
    <t>0005954</t>
  </si>
  <si>
    <t>42119335620</t>
  </si>
  <si>
    <t>CUCT930317JH3</t>
  </si>
  <si>
    <t>930317</t>
  </si>
  <si>
    <t>0005955</t>
  </si>
  <si>
    <t>30079201643</t>
  </si>
  <si>
    <t>GOSV920501R7A</t>
  </si>
  <si>
    <t>920501</t>
  </si>
  <si>
    <t>29/03/2022</t>
  </si>
  <si>
    <t>0005957</t>
  </si>
  <si>
    <t>94150042672</t>
  </si>
  <si>
    <t>LORB000415R68</t>
  </si>
  <si>
    <t>000415</t>
  </si>
  <si>
    <t>0005958</t>
  </si>
  <si>
    <t>01119623047</t>
  </si>
  <si>
    <t>ROBL960112G75</t>
  </si>
  <si>
    <t>960112</t>
  </si>
  <si>
    <t>30/03/2022</t>
  </si>
  <si>
    <t>0005959</t>
  </si>
  <si>
    <t>45139838416</t>
  </si>
  <si>
    <t>LOAC980715AQ1</t>
  </si>
  <si>
    <t>980715</t>
  </si>
  <si>
    <t>0005960</t>
  </si>
  <si>
    <t>45078913956</t>
  </si>
  <si>
    <t>VISA890602H24</t>
  </si>
  <si>
    <t>890602</t>
  </si>
  <si>
    <t>0005961</t>
  </si>
  <si>
    <t>02219601404</t>
  </si>
  <si>
    <t>DIFA960126V92</t>
  </si>
  <si>
    <t>960126</t>
  </si>
  <si>
    <t>0005963</t>
  </si>
  <si>
    <t>57169819745</t>
  </si>
  <si>
    <t>ZUGJ9811119Q9</t>
  </si>
  <si>
    <t>0005964</t>
  </si>
  <si>
    <t>39129728513</t>
  </si>
  <si>
    <t>ROJF9708261Y5</t>
  </si>
  <si>
    <t>970826</t>
  </si>
  <si>
    <t>0005965</t>
  </si>
  <si>
    <t>20109210078</t>
  </si>
  <si>
    <t>GAMJ9202053K8</t>
  </si>
  <si>
    <t>920205</t>
  </si>
  <si>
    <t>0005966</t>
  </si>
  <si>
    <t>11078103089</t>
  </si>
  <si>
    <t>AICG8112221W1</t>
  </si>
  <si>
    <t>811222</t>
  </si>
  <si>
    <t>0005967</t>
  </si>
  <si>
    <t>60149471801</t>
  </si>
  <si>
    <t>RAPN940429PN2</t>
  </si>
  <si>
    <t>940429</t>
  </si>
  <si>
    <t>05/04/2022</t>
  </si>
  <si>
    <t>0005975</t>
  </si>
  <si>
    <t>03177629924</t>
  </si>
  <si>
    <t>GASK760913NJ8</t>
  </si>
  <si>
    <t>760913</t>
  </si>
  <si>
    <t>0005976</t>
  </si>
  <si>
    <t>45068911028</t>
  </si>
  <si>
    <t>OISA890719JA1</t>
  </si>
  <si>
    <t>890719</t>
  </si>
  <si>
    <t>0005977</t>
  </si>
  <si>
    <t>42119644674</t>
  </si>
  <si>
    <t>AETK960417RK6</t>
  </si>
  <si>
    <t>960417</t>
  </si>
  <si>
    <t>0005978</t>
  </si>
  <si>
    <t>11896936587</t>
  </si>
  <si>
    <t>MOFE690712UU5</t>
  </si>
  <si>
    <t>690712</t>
  </si>
  <si>
    <t>0005998</t>
  </si>
  <si>
    <t>05159483824</t>
  </si>
  <si>
    <t>GANE940423KW6</t>
  </si>
  <si>
    <t>940423</t>
  </si>
  <si>
    <t>0005999</t>
  </si>
  <si>
    <t>39088607948</t>
  </si>
  <si>
    <t>SARA861031EN5</t>
  </si>
  <si>
    <t>861031</t>
  </si>
  <si>
    <t>0006000</t>
  </si>
  <si>
    <t>11088910663</t>
  </si>
  <si>
    <t>VIMK890417KK0</t>
  </si>
  <si>
    <t>890417</t>
  </si>
  <si>
    <t>0006001</t>
  </si>
  <si>
    <t>07987407371</t>
  </si>
  <si>
    <t>ROSF7406017I6</t>
  </si>
  <si>
    <t>740601</t>
  </si>
  <si>
    <t>0006002</t>
  </si>
  <si>
    <t>26148957769</t>
  </si>
  <si>
    <t>NISM890727ANA</t>
  </si>
  <si>
    <t>890727</t>
  </si>
  <si>
    <t>19/04/2022</t>
  </si>
  <si>
    <t>0006008</t>
  </si>
  <si>
    <t>03210141747</t>
  </si>
  <si>
    <t>VIQJ011018FY1</t>
  </si>
  <si>
    <t>011018</t>
  </si>
  <si>
    <t>0006009</t>
  </si>
  <si>
    <t>90169914612</t>
  </si>
  <si>
    <t>GAGD991029GA5</t>
  </si>
  <si>
    <t>991029</t>
  </si>
  <si>
    <t>0006010</t>
  </si>
  <si>
    <t>03229908433</t>
  </si>
  <si>
    <t>NOMB991205168</t>
  </si>
  <si>
    <t>991205</t>
  </si>
  <si>
    <t>0006011</t>
  </si>
  <si>
    <t>64856906488</t>
  </si>
  <si>
    <t>DOAG6911284G4</t>
  </si>
  <si>
    <t>0006012</t>
  </si>
  <si>
    <t>42037201664</t>
  </si>
  <si>
    <t>TOPA7211286K8</t>
  </si>
  <si>
    <t>0006013</t>
  </si>
  <si>
    <t>06169961015</t>
  </si>
  <si>
    <t>TATL9904077G1</t>
  </si>
  <si>
    <t>990407</t>
  </si>
  <si>
    <t>27/04/2022</t>
  </si>
  <si>
    <t>0006014</t>
  </si>
  <si>
    <t>45159700918</t>
  </si>
  <si>
    <t>PITG971020IE7</t>
  </si>
  <si>
    <t>26/04/2022</t>
  </si>
  <si>
    <t>0006015</t>
  </si>
  <si>
    <t>42150039487</t>
  </si>
  <si>
    <t>LUPB0009151Y6</t>
  </si>
  <si>
    <t>000915</t>
  </si>
  <si>
    <t>0006016</t>
  </si>
  <si>
    <t>45088949578</t>
  </si>
  <si>
    <t>CAMK890404J41</t>
  </si>
  <si>
    <t>0006017</t>
  </si>
  <si>
    <t>96139556326</t>
  </si>
  <si>
    <t>POPD950211FZ7</t>
  </si>
  <si>
    <t>950211</t>
  </si>
  <si>
    <t>0006018</t>
  </si>
  <si>
    <t>30119601992</t>
  </si>
  <si>
    <t>VIPI960602NG3</t>
  </si>
  <si>
    <t>960602</t>
  </si>
  <si>
    <t>02/05/2022</t>
  </si>
  <si>
    <t>0006019</t>
  </si>
  <si>
    <t>96118836525</t>
  </si>
  <si>
    <t>RORC881112418</t>
  </si>
  <si>
    <t>881112</t>
  </si>
  <si>
    <t>0006020</t>
  </si>
  <si>
    <t>42149500144</t>
  </si>
  <si>
    <t>SENS9503222Q4</t>
  </si>
  <si>
    <t>950322</t>
  </si>
  <si>
    <t>03/05/2022</t>
  </si>
  <si>
    <t>0006021</t>
  </si>
  <si>
    <t>11129410723</t>
  </si>
  <si>
    <t>MAMV940630LP7</t>
  </si>
  <si>
    <t>940630</t>
  </si>
  <si>
    <t>0006024</t>
  </si>
  <si>
    <t>92138902041</t>
  </si>
  <si>
    <t>CARJ890428QY9</t>
  </si>
  <si>
    <t>890428</t>
  </si>
  <si>
    <t>0006025</t>
  </si>
  <si>
    <t>11007706499</t>
  </si>
  <si>
    <t>AAGA771201SA6</t>
  </si>
  <si>
    <t>771201</t>
  </si>
  <si>
    <t>0006028</t>
  </si>
  <si>
    <t>62159807312</t>
  </si>
  <si>
    <t>LIAE980111L49</t>
  </si>
  <si>
    <t>980111</t>
  </si>
  <si>
    <t>0006029</t>
  </si>
  <si>
    <t>18159319716</t>
  </si>
  <si>
    <t>COTG930324GI9</t>
  </si>
  <si>
    <t>930324</t>
  </si>
  <si>
    <t>05/05/2022</t>
  </si>
  <si>
    <t>0006030</t>
  </si>
  <si>
    <t>20069500138</t>
  </si>
  <si>
    <t>DEJA9512146N9</t>
  </si>
  <si>
    <t>951214</t>
  </si>
  <si>
    <t>09/05/2022</t>
  </si>
  <si>
    <t>0006032</t>
  </si>
  <si>
    <t>62169884178</t>
  </si>
  <si>
    <t>LESA980218SU7</t>
  </si>
  <si>
    <t>980218</t>
  </si>
  <si>
    <t>0006034</t>
  </si>
  <si>
    <t>03209825227</t>
  </si>
  <si>
    <t>GAGO981206LX5</t>
  </si>
  <si>
    <t>981206</t>
  </si>
  <si>
    <t>0006037</t>
  </si>
  <si>
    <t>17169775081</t>
  </si>
  <si>
    <t>MOVE971210CK5</t>
  </si>
  <si>
    <t>971210</t>
  </si>
  <si>
    <t>11/05/2022</t>
  </si>
  <si>
    <t>0006039</t>
  </si>
  <si>
    <t>86169864633</t>
  </si>
  <si>
    <t>GIEJ980515HS1</t>
  </si>
  <si>
    <t>980515</t>
  </si>
  <si>
    <t>0006040</t>
  </si>
  <si>
    <t>92078702591</t>
  </si>
  <si>
    <t>SAMY870301241</t>
  </si>
  <si>
    <t>870301</t>
  </si>
  <si>
    <t>0006041</t>
  </si>
  <si>
    <t>19159152461</t>
  </si>
  <si>
    <t>HEMH9102048Y0</t>
  </si>
  <si>
    <t>910204</t>
  </si>
  <si>
    <t>0006051</t>
  </si>
  <si>
    <t>39028331690</t>
  </si>
  <si>
    <t>GACM831204F45</t>
  </si>
  <si>
    <t>831204</t>
  </si>
  <si>
    <t>0006054</t>
  </si>
  <si>
    <t>25160179666</t>
  </si>
  <si>
    <t>RAGA010414P35</t>
  </si>
  <si>
    <t>010414</t>
  </si>
  <si>
    <t>0006055</t>
  </si>
  <si>
    <t>39119626842</t>
  </si>
  <si>
    <t>LOAR960608ST2</t>
  </si>
  <si>
    <t>960608</t>
  </si>
  <si>
    <t>0006056</t>
  </si>
  <si>
    <t>12897121088</t>
  </si>
  <si>
    <t>AARB710709628</t>
  </si>
  <si>
    <t>18/05/2022</t>
  </si>
  <si>
    <t>0006057</t>
  </si>
  <si>
    <t>37088908373</t>
  </si>
  <si>
    <t>PURJ891108LQ4</t>
  </si>
  <si>
    <t>891108</t>
  </si>
  <si>
    <t>23/05/2022</t>
  </si>
  <si>
    <t>0006099</t>
  </si>
  <si>
    <t>96129767032</t>
  </si>
  <si>
    <t>CEAD970819CU3</t>
  </si>
  <si>
    <t>0006100</t>
  </si>
  <si>
    <t>03189997780</t>
  </si>
  <si>
    <t>EAMC9912067C8</t>
  </si>
  <si>
    <t>991206</t>
  </si>
  <si>
    <t>0006115</t>
  </si>
  <si>
    <t>37038208403</t>
  </si>
  <si>
    <t>RIHA8205178U7</t>
  </si>
  <si>
    <t>820517</t>
  </si>
  <si>
    <t>24/05/2022</t>
  </si>
  <si>
    <t>0006117</t>
  </si>
  <si>
    <t>68978115704</t>
  </si>
  <si>
    <t>HEHJ810903AS1</t>
  </si>
  <si>
    <t>810903</t>
  </si>
  <si>
    <t>25/05/2022</t>
  </si>
  <si>
    <t>0006118</t>
  </si>
  <si>
    <t>96099306670</t>
  </si>
  <si>
    <t>ROOF931124T67</t>
  </si>
  <si>
    <t>931124</t>
  </si>
  <si>
    <t>26/05/2022</t>
  </si>
  <si>
    <t>0006120</t>
  </si>
  <si>
    <t>92099151604</t>
  </si>
  <si>
    <t>YATL910620E14</t>
  </si>
  <si>
    <t>910620</t>
  </si>
  <si>
    <t>31/05/2022</t>
  </si>
  <si>
    <t>0006123</t>
  </si>
  <si>
    <t>50159539423</t>
  </si>
  <si>
    <t>HEHJ951210KP0</t>
  </si>
  <si>
    <t>951210</t>
  </si>
  <si>
    <t>0006128</t>
  </si>
  <si>
    <t>45109456124</t>
  </si>
  <si>
    <t>AEMO941019M9A</t>
  </si>
  <si>
    <t>941019</t>
  </si>
  <si>
    <t>06/06/2022</t>
  </si>
  <si>
    <t>0006131</t>
  </si>
  <si>
    <t>83119229298</t>
  </si>
  <si>
    <t>BILF921124SS2</t>
  </si>
  <si>
    <t>0006132</t>
  </si>
  <si>
    <t>42008221998</t>
  </si>
  <si>
    <t>MUVS820422RI1</t>
  </si>
  <si>
    <t>820422</t>
  </si>
  <si>
    <t>01/06/2022</t>
  </si>
  <si>
    <t>0006133</t>
  </si>
  <si>
    <t>96068404639</t>
  </si>
  <si>
    <t>AALC841107FL3</t>
  </si>
  <si>
    <t>841107</t>
  </si>
  <si>
    <t>0006134</t>
  </si>
  <si>
    <t>37109208217</t>
  </si>
  <si>
    <t>MEJA9206075C5</t>
  </si>
  <si>
    <t>920607</t>
  </si>
  <si>
    <t>0006136</t>
  </si>
  <si>
    <t>96129310783</t>
  </si>
  <si>
    <t>AEAB931022397</t>
  </si>
  <si>
    <t>05/09/2022</t>
  </si>
  <si>
    <t>0006137</t>
  </si>
  <si>
    <t>90078200624</t>
  </si>
  <si>
    <t>MAVA8209216T8</t>
  </si>
  <si>
    <t>820921</t>
  </si>
  <si>
    <t>08/06/2022</t>
  </si>
  <si>
    <t>0006143</t>
  </si>
  <si>
    <t>39987726500</t>
  </si>
  <si>
    <t>MAMD771230GT6</t>
  </si>
  <si>
    <t>771230</t>
  </si>
  <si>
    <t>13/06/2022</t>
  </si>
  <si>
    <t>0006164</t>
  </si>
  <si>
    <t>03189992211</t>
  </si>
  <si>
    <t>MARD990105221</t>
  </si>
  <si>
    <t>990105</t>
  </si>
  <si>
    <t>20/06/2022</t>
  </si>
  <si>
    <t>0006186</t>
  </si>
  <si>
    <t>06139796574</t>
  </si>
  <si>
    <t>MUMB970826JQ2</t>
  </si>
  <si>
    <t>09/06/2022</t>
  </si>
  <si>
    <t>0006188</t>
  </si>
  <si>
    <t>96119221172</t>
  </si>
  <si>
    <t>GOAL921006ME6</t>
  </si>
  <si>
    <t>921006</t>
  </si>
  <si>
    <t>10/06/2022</t>
  </si>
  <si>
    <t>0006190</t>
  </si>
  <si>
    <t>94987304873</t>
  </si>
  <si>
    <t>IUSL730528K26</t>
  </si>
  <si>
    <t>730528</t>
  </si>
  <si>
    <t>0006191</t>
  </si>
  <si>
    <t>02198935583</t>
  </si>
  <si>
    <t>LOGJ8903169E3</t>
  </si>
  <si>
    <t>0006192</t>
  </si>
  <si>
    <t>02179932054</t>
  </si>
  <si>
    <t>BANA990702JA6</t>
  </si>
  <si>
    <t>0006193</t>
  </si>
  <si>
    <t>94109171499</t>
  </si>
  <si>
    <t>LOAY9110156L7</t>
  </si>
  <si>
    <t>911015</t>
  </si>
  <si>
    <t>14/06/2022</t>
  </si>
  <si>
    <t>0006194</t>
  </si>
  <si>
    <t>92139860974</t>
  </si>
  <si>
    <t>BIAD980623KG8</t>
  </si>
  <si>
    <t>980623</t>
  </si>
  <si>
    <t>0006198</t>
  </si>
  <si>
    <t>96078906797</t>
  </si>
  <si>
    <t>GAMM890810AQ7</t>
  </si>
  <si>
    <t>890810</t>
  </si>
  <si>
    <t>0006201</t>
  </si>
  <si>
    <t>26179723478</t>
  </si>
  <si>
    <t>PIGF971004IUA</t>
  </si>
  <si>
    <t>971004</t>
  </si>
  <si>
    <t>0006202</t>
  </si>
  <si>
    <t>30109307063</t>
  </si>
  <si>
    <t>AASA930510B99</t>
  </si>
  <si>
    <t>930510</t>
  </si>
  <si>
    <t>21/06/2022</t>
  </si>
  <si>
    <t>0006203</t>
  </si>
  <si>
    <t>03220091460</t>
  </si>
  <si>
    <t>AACJ001130V16</t>
  </si>
  <si>
    <t>001130</t>
  </si>
  <si>
    <t>0006215</t>
  </si>
  <si>
    <t>08189495958</t>
  </si>
  <si>
    <t>GARY941015AT0</t>
  </si>
  <si>
    <t>941015</t>
  </si>
  <si>
    <t>04/07/2022</t>
  </si>
  <si>
    <t>0006217</t>
  </si>
  <si>
    <t>11957510628</t>
  </si>
  <si>
    <t>HETE7504011J3</t>
  </si>
  <si>
    <t>750401</t>
  </si>
  <si>
    <t>0006222</t>
  </si>
  <si>
    <t>28068407643</t>
  </si>
  <si>
    <t>BEAA840708GCA</t>
  </si>
  <si>
    <t>840708</t>
  </si>
  <si>
    <t>27/06/2022</t>
  </si>
  <si>
    <t>0006224</t>
  </si>
  <si>
    <t>20068408499</t>
  </si>
  <si>
    <t>PEMJ840514Q62</t>
  </si>
  <si>
    <t>840514</t>
  </si>
  <si>
    <t>0006225</t>
  </si>
  <si>
    <t>02228682502</t>
  </si>
  <si>
    <t>PAAJ861110DZ5</t>
  </si>
  <si>
    <t>861110</t>
  </si>
  <si>
    <t>0006226</t>
  </si>
  <si>
    <t>17179317650</t>
  </si>
  <si>
    <t>AUBA9311197BA</t>
  </si>
  <si>
    <t>931119</t>
  </si>
  <si>
    <t>06/07/2022</t>
  </si>
  <si>
    <t>0006227</t>
  </si>
  <si>
    <t>39089203812</t>
  </si>
  <si>
    <t>COEO9203166T7</t>
  </si>
  <si>
    <t>920316</t>
  </si>
  <si>
    <t>0006228</t>
  </si>
  <si>
    <t>42119000414</t>
  </si>
  <si>
    <t>MEVE901204757</t>
  </si>
  <si>
    <t>901204</t>
  </si>
  <si>
    <t>0006229</t>
  </si>
  <si>
    <t>42129010080</t>
  </si>
  <si>
    <t>RIZA9004268Y0</t>
  </si>
  <si>
    <t>900426</t>
  </si>
  <si>
    <t>0006232</t>
  </si>
  <si>
    <t>38159380823</t>
  </si>
  <si>
    <t>VAMM930330TI3</t>
  </si>
  <si>
    <t>28/06/2022</t>
  </si>
  <si>
    <t>0006233</t>
  </si>
  <si>
    <t>03178634592</t>
  </si>
  <si>
    <t>GOGA861204QS0</t>
  </si>
  <si>
    <t>861204</t>
  </si>
  <si>
    <t>0006234</t>
  </si>
  <si>
    <t>14170235817</t>
  </si>
  <si>
    <t>NOTR020504889</t>
  </si>
  <si>
    <t>020504</t>
  </si>
  <si>
    <t>0006235</t>
  </si>
  <si>
    <t>68917504612</t>
  </si>
  <si>
    <t>SUZK750705NEA</t>
  </si>
  <si>
    <t>750705</t>
  </si>
  <si>
    <t>07/07/2022</t>
  </si>
  <si>
    <t>0006237</t>
  </si>
  <si>
    <t>42068806852</t>
  </si>
  <si>
    <t>MERM880503N11</t>
  </si>
  <si>
    <t>880503</t>
  </si>
  <si>
    <t>0006247</t>
  </si>
  <si>
    <t>39119625539</t>
  </si>
  <si>
    <t>HEHM960516E32</t>
  </si>
  <si>
    <t>960516</t>
  </si>
  <si>
    <t>18/07/2022</t>
  </si>
  <si>
    <t>0006248</t>
  </si>
  <si>
    <t>39129635593</t>
  </si>
  <si>
    <t>VELA960329B11</t>
  </si>
  <si>
    <t>960329</t>
  </si>
  <si>
    <t>20/07/2022</t>
  </si>
  <si>
    <t>0006250</t>
  </si>
  <si>
    <t>62169554029</t>
  </si>
  <si>
    <t>PACN950516QN6</t>
  </si>
  <si>
    <t>950516</t>
  </si>
  <si>
    <t>13/07/2022</t>
  </si>
  <si>
    <t>0006251</t>
  </si>
  <si>
    <t>39129712269</t>
  </si>
  <si>
    <t>MAGS971003K28</t>
  </si>
  <si>
    <t>971003</t>
  </si>
  <si>
    <t>0006252</t>
  </si>
  <si>
    <t>30099301258</t>
  </si>
  <si>
    <t>FOPA930112P9A</t>
  </si>
  <si>
    <t>930112</t>
  </si>
  <si>
    <t>14/07/2022</t>
  </si>
  <si>
    <t>0006255</t>
  </si>
  <si>
    <t>90129445897</t>
  </si>
  <si>
    <t>SALS9408114C8</t>
  </si>
  <si>
    <t>940811</t>
  </si>
  <si>
    <t>0006256</t>
  </si>
  <si>
    <t>92149105576</t>
  </si>
  <si>
    <t>RUTA911127I8A</t>
  </si>
  <si>
    <t>911127</t>
  </si>
  <si>
    <t>19/07/2022</t>
  </si>
  <si>
    <t>0006257</t>
  </si>
  <si>
    <t>94089203825</t>
  </si>
  <si>
    <t>HEVF920204FC4</t>
  </si>
  <si>
    <t>0006258</t>
  </si>
  <si>
    <t>39109112993</t>
  </si>
  <si>
    <t>FORK910608SQ8</t>
  </si>
  <si>
    <t>910608</t>
  </si>
  <si>
    <t>0006260</t>
  </si>
  <si>
    <t>20119623757</t>
  </si>
  <si>
    <t>GONC960527957</t>
  </si>
  <si>
    <t>960527</t>
  </si>
  <si>
    <t>22/07/2022</t>
  </si>
  <si>
    <t>0006265</t>
  </si>
  <si>
    <t>02218873657</t>
  </si>
  <si>
    <t>FOAD8801068N8</t>
  </si>
  <si>
    <t>880106</t>
  </si>
  <si>
    <t>01/08/2022</t>
  </si>
  <si>
    <t>0006271</t>
  </si>
  <si>
    <t>08149993076</t>
  </si>
  <si>
    <t>SORR991123BU3</t>
  </si>
  <si>
    <t>991123</t>
  </si>
  <si>
    <t>0006272</t>
  </si>
  <si>
    <t>05178709381</t>
  </si>
  <si>
    <t>LUAA871214C59</t>
  </si>
  <si>
    <t>0006274</t>
  </si>
  <si>
    <t>21170259291</t>
  </si>
  <si>
    <t>VERS020512Q33</t>
  </si>
  <si>
    <t>020512</t>
  </si>
  <si>
    <t>0006276</t>
  </si>
  <si>
    <t>39927427961</t>
  </si>
  <si>
    <t>SERC740410BJ9</t>
  </si>
  <si>
    <t>740410</t>
  </si>
  <si>
    <t>03/08/2022</t>
  </si>
  <si>
    <t>0006277</t>
  </si>
  <si>
    <t>30139704503</t>
  </si>
  <si>
    <t>MOSJ970614MS6</t>
  </si>
  <si>
    <t>970614</t>
  </si>
  <si>
    <t>0006279</t>
  </si>
  <si>
    <t>19179924121</t>
  </si>
  <si>
    <t>GOSN990127E37</t>
  </si>
  <si>
    <t>990127</t>
  </si>
  <si>
    <t>27/07/2022</t>
  </si>
  <si>
    <t>0006280</t>
  </si>
  <si>
    <t>16138810268</t>
  </si>
  <si>
    <t>PERL880909E81</t>
  </si>
  <si>
    <t>880909</t>
  </si>
  <si>
    <t>0006281</t>
  </si>
  <si>
    <t>96119684098</t>
  </si>
  <si>
    <t>SARM960409ME1</t>
  </si>
  <si>
    <t>960409</t>
  </si>
  <si>
    <t>25/07/2022</t>
  </si>
  <si>
    <t>0006282</t>
  </si>
  <si>
    <t>01079104731</t>
  </si>
  <si>
    <t>FESC910407AS3</t>
  </si>
  <si>
    <t>910407</t>
  </si>
  <si>
    <t>0006284</t>
  </si>
  <si>
    <t>02169597016</t>
  </si>
  <si>
    <t>MOSJ950513F36</t>
  </si>
  <si>
    <t>950513</t>
  </si>
  <si>
    <t>26/07/2022</t>
  </si>
  <si>
    <t>0006286</t>
  </si>
  <si>
    <t>46159680878</t>
  </si>
  <si>
    <t>EIPM9611221U4</t>
  </si>
  <si>
    <t>0006287</t>
  </si>
  <si>
    <t>02179924382</t>
  </si>
  <si>
    <t>MOHM9909026Q7</t>
  </si>
  <si>
    <t>990902</t>
  </si>
  <si>
    <t>28/07/2022</t>
  </si>
  <si>
    <t>0006289</t>
  </si>
  <si>
    <t>33139991070</t>
  </si>
  <si>
    <t>GALD991110QI2</t>
  </si>
  <si>
    <t>0006290</t>
  </si>
  <si>
    <t>04018068231</t>
  </si>
  <si>
    <t>POTA801008BC7</t>
  </si>
  <si>
    <t>801008</t>
  </si>
  <si>
    <t>0006291</t>
  </si>
  <si>
    <t>02198999316</t>
  </si>
  <si>
    <t>PIRA890606LQ4</t>
  </si>
  <si>
    <t>0006292</t>
  </si>
  <si>
    <t>05169342317</t>
  </si>
  <si>
    <t>TIPB9310032I9</t>
  </si>
  <si>
    <t>931003</t>
  </si>
  <si>
    <t>0006293</t>
  </si>
  <si>
    <t>11118805370</t>
  </si>
  <si>
    <t>GAAN880507H27</t>
  </si>
  <si>
    <t>0006294</t>
  </si>
  <si>
    <t>03179694454</t>
  </si>
  <si>
    <t>MOGK960406IF9</t>
  </si>
  <si>
    <t>960406</t>
  </si>
  <si>
    <t>0006296</t>
  </si>
  <si>
    <t>07907334432</t>
  </si>
  <si>
    <t>CIJE731020UJ1</t>
  </si>
  <si>
    <t>731020</t>
  </si>
  <si>
    <t>05/08/2022</t>
  </si>
  <si>
    <t>0006297</t>
  </si>
  <si>
    <t>30038213473</t>
  </si>
  <si>
    <t>LOLN821029BU6</t>
  </si>
  <si>
    <t>821029</t>
  </si>
  <si>
    <t>0006298</t>
  </si>
  <si>
    <t>94139422698</t>
  </si>
  <si>
    <t>RAGI941119JZ8</t>
  </si>
  <si>
    <t>941119</t>
  </si>
  <si>
    <t>0006305</t>
  </si>
  <si>
    <t>05209744910</t>
  </si>
  <si>
    <t>GOME971104FC8</t>
  </si>
  <si>
    <t>971104</t>
  </si>
  <si>
    <t>15/08/2022</t>
  </si>
  <si>
    <t>0006306</t>
  </si>
  <si>
    <t>39159922812</t>
  </si>
  <si>
    <t>RECM990322595</t>
  </si>
  <si>
    <t>990322</t>
  </si>
  <si>
    <t>0006307</t>
  </si>
  <si>
    <t>12058531745</t>
  </si>
  <si>
    <t>HEGA851020DU7</t>
  </si>
  <si>
    <t>851020</t>
  </si>
  <si>
    <t>0006308</t>
  </si>
  <si>
    <t>05219564860</t>
  </si>
  <si>
    <t>EIPL950709FT1</t>
  </si>
  <si>
    <t>950709</t>
  </si>
  <si>
    <t>10/08/2022</t>
  </si>
  <si>
    <t>0006309</t>
  </si>
  <si>
    <t>65028515891</t>
  </si>
  <si>
    <t>CACR851202815</t>
  </si>
  <si>
    <t>851202</t>
  </si>
  <si>
    <t>16/08/2022</t>
  </si>
  <si>
    <t>0006310</t>
  </si>
  <si>
    <t>17856746924</t>
  </si>
  <si>
    <t>BECO671016PZ1</t>
  </si>
  <si>
    <t>671016</t>
  </si>
  <si>
    <t>17/08/2022</t>
  </si>
  <si>
    <t>0006311</t>
  </si>
  <si>
    <t>94129455823</t>
  </si>
  <si>
    <t>GARR9405116N1</t>
  </si>
  <si>
    <t>940511</t>
  </si>
  <si>
    <t>0006313</t>
  </si>
  <si>
    <t>42049000096</t>
  </si>
  <si>
    <t>BEVJ900618AVA</t>
  </si>
  <si>
    <t>900618</t>
  </si>
  <si>
    <t>0006314</t>
  </si>
  <si>
    <t>05168871126</t>
  </si>
  <si>
    <t>ROLC881017TN4</t>
  </si>
  <si>
    <t>881017</t>
  </si>
  <si>
    <t>18/08/2022</t>
  </si>
  <si>
    <t>0006315</t>
  </si>
  <si>
    <t>68927439668</t>
  </si>
  <si>
    <t>MOGI740612MJ9</t>
  </si>
  <si>
    <t>740612</t>
  </si>
  <si>
    <t>0006316</t>
  </si>
  <si>
    <t>96027807401</t>
  </si>
  <si>
    <t>MAVI780817QX3</t>
  </si>
  <si>
    <t>780817</t>
  </si>
  <si>
    <t>0006317</t>
  </si>
  <si>
    <t>01139549339</t>
  </si>
  <si>
    <t>TOHE9511237C3</t>
  </si>
  <si>
    <t>951123</t>
  </si>
  <si>
    <t>0006318</t>
  </si>
  <si>
    <t>12160029935</t>
  </si>
  <si>
    <t>OOPV0005185E1</t>
  </si>
  <si>
    <t>000518</t>
  </si>
  <si>
    <t>0006319</t>
  </si>
  <si>
    <t>08159477614</t>
  </si>
  <si>
    <t>ROMK940302NS3</t>
  </si>
  <si>
    <t>940302</t>
  </si>
  <si>
    <t>0006321</t>
  </si>
  <si>
    <t>42149932768</t>
  </si>
  <si>
    <t>MESA990304V69</t>
  </si>
  <si>
    <t>990304</t>
  </si>
  <si>
    <t>01/09/2022</t>
  </si>
  <si>
    <t>0006326</t>
  </si>
  <si>
    <t>05199103077</t>
  </si>
  <si>
    <t>BAGW911227T4A</t>
  </si>
  <si>
    <t>911227</t>
  </si>
  <si>
    <t>0006328</t>
  </si>
  <si>
    <t>12139768936</t>
  </si>
  <si>
    <t>TICV9705181J6</t>
  </si>
  <si>
    <t>970518</t>
  </si>
  <si>
    <t>0006329</t>
  </si>
  <si>
    <t>63169713037</t>
  </si>
  <si>
    <t>PERE9704238F8</t>
  </si>
  <si>
    <t>970423</t>
  </si>
  <si>
    <t>0006334</t>
  </si>
  <si>
    <t>96139566143</t>
  </si>
  <si>
    <t>CARB950404526</t>
  </si>
  <si>
    <t>950404</t>
  </si>
  <si>
    <t>06/09/2022</t>
  </si>
  <si>
    <t>0006335</t>
  </si>
  <si>
    <t>30937462403</t>
  </si>
  <si>
    <t>GURR740525CR4</t>
  </si>
  <si>
    <t>740525</t>
  </si>
  <si>
    <t>24/08/2022</t>
  </si>
  <si>
    <t>0006336</t>
  </si>
  <si>
    <t>45099315504</t>
  </si>
  <si>
    <t>EIPJ9312088R1</t>
  </si>
  <si>
    <t>931208</t>
  </si>
  <si>
    <t>25/08/2022</t>
  </si>
  <si>
    <t>0006337</t>
  </si>
  <si>
    <t>68907101551</t>
  </si>
  <si>
    <t>PECA711224TE7</t>
  </si>
  <si>
    <t>711224</t>
  </si>
  <si>
    <t>0006338</t>
  </si>
  <si>
    <t>68169905277</t>
  </si>
  <si>
    <t>BAMG9901095I2</t>
  </si>
  <si>
    <t>990109</t>
  </si>
  <si>
    <t>0006339</t>
  </si>
  <si>
    <t>20068610425</t>
  </si>
  <si>
    <t>BEOM8603138Y1</t>
  </si>
  <si>
    <t>860313</t>
  </si>
  <si>
    <t>0006341</t>
  </si>
  <si>
    <t>85149524218</t>
  </si>
  <si>
    <t>NEVL950216954</t>
  </si>
  <si>
    <t>950216</t>
  </si>
  <si>
    <t>30/08/2022</t>
  </si>
  <si>
    <t>0006342</t>
  </si>
  <si>
    <t>01119111795</t>
  </si>
  <si>
    <t>GARN911004US4</t>
  </si>
  <si>
    <t>911004</t>
  </si>
  <si>
    <t>0006343</t>
  </si>
  <si>
    <t>39119206231</t>
  </si>
  <si>
    <t>HEVA920827RYA</t>
  </si>
  <si>
    <t>920827</t>
  </si>
  <si>
    <t>0006351</t>
  </si>
  <si>
    <t>39058901511</t>
  </si>
  <si>
    <t>MOGA890327N61</t>
  </si>
  <si>
    <t>890327</t>
  </si>
  <si>
    <t>08/09/2022</t>
  </si>
  <si>
    <t>0006353</t>
  </si>
  <si>
    <t>14026500158</t>
  </si>
  <si>
    <t>MOVH650727NA4</t>
  </si>
  <si>
    <t>650727</t>
  </si>
  <si>
    <t>0006409</t>
  </si>
  <si>
    <t>54160173834</t>
  </si>
  <si>
    <t>MAMG010106UI4</t>
  </si>
  <si>
    <t>010106</t>
  </si>
  <si>
    <t>21/09/2022</t>
  </si>
  <si>
    <t>0006410</t>
  </si>
  <si>
    <t>20947403943</t>
  </si>
  <si>
    <t>AUHN740807K13</t>
  </si>
  <si>
    <t>740807</t>
  </si>
  <si>
    <t>12/09/2022</t>
  </si>
  <si>
    <t>0006411</t>
  </si>
  <si>
    <t>45098916245</t>
  </si>
  <si>
    <t>HEPL8904287C4</t>
  </si>
  <si>
    <t>0006412</t>
  </si>
  <si>
    <t>01139276552</t>
  </si>
  <si>
    <t>CACE920127BK8</t>
  </si>
  <si>
    <t>920127</t>
  </si>
  <si>
    <t>13/09/2022</t>
  </si>
  <si>
    <t>0006413</t>
  </si>
  <si>
    <t>10179439160</t>
  </si>
  <si>
    <t>ROHK9404235H6</t>
  </si>
  <si>
    <t>14/09/2022</t>
  </si>
  <si>
    <t>0006423</t>
  </si>
  <si>
    <t>92066900405</t>
  </si>
  <si>
    <t>GUVR690602RF0</t>
  </si>
  <si>
    <t>690602</t>
  </si>
  <si>
    <t>22/09/2022</t>
  </si>
  <si>
    <t>0006425</t>
  </si>
  <si>
    <t>45038224528</t>
  </si>
  <si>
    <t>TERR820320E64</t>
  </si>
  <si>
    <t>820320</t>
  </si>
  <si>
    <t>0006426</t>
  </si>
  <si>
    <t>50169896185</t>
  </si>
  <si>
    <t>CUSK980422H96</t>
  </si>
  <si>
    <t>980422</t>
  </si>
  <si>
    <t>19/09/2022</t>
  </si>
  <si>
    <t>0006427</t>
  </si>
  <si>
    <t>20139612673</t>
  </si>
  <si>
    <t>REMF960509F53</t>
  </si>
  <si>
    <t>0006443</t>
  </si>
  <si>
    <t>74149520053</t>
  </si>
  <si>
    <t>RALF951212TA5</t>
  </si>
  <si>
    <t>951212</t>
  </si>
  <si>
    <t>04/10/2022</t>
  </si>
  <si>
    <t>0006447</t>
  </si>
  <si>
    <t>02228451106</t>
  </si>
  <si>
    <t>MIMA841001CW6</t>
  </si>
  <si>
    <t>841001</t>
  </si>
  <si>
    <t>0006448</t>
  </si>
  <si>
    <t>90129726528</t>
  </si>
  <si>
    <t>LOHM971022J51</t>
  </si>
  <si>
    <t>971022</t>
  </si>
  <si>
    <t>0006449</t>
  </si>
  <si>
    <t>92886713608</t>
  </si>
  <si>
    <t>LERN670808873</t>
  </si>
  <si>
    <t>670808</t>
  </si>
  <si>
    <t>0006450</t>
  </si>
  <si>
    <t>01038310130</t>
  </si>
  <si>
    <t>OIRC831021T44</t>
  </si>
  <si>
    <t>831021</t>
  </si>
  <si>
    <t>03/10/2022</t>
  </si>
  <si>
    <t>0006453</t>
  </si>
  <si>
    <t>12160084187</t>
  </si>
  <si>
    <t>ROCL000122HD4</t>
  </si>
  <si>
    <t>000122</t>
  </si>
  <si>
    <t>0006454</t>
  </si>
  <si>
    <t>96149956649</t>
  </si>
  <si>
    <t>RONL9909054I6</t>
  </si>
  <si>
    <t>990905</t>
  </si>
  <si>
    <t>02/01/2018</t>
  </si>
  <si>
    <t>15/06/2017</t>
  </si>
  <si>
    <t>0001788</t>
  </si>
  <si>
    <t>65917113709</t>
  </si>
  <si>
    <t>PORA710201KZ0</t>
  </si>
  <si>
    <t>710201</t>
  </si>
  <si>
    <t>0001789</t>
  </si>
  <si>
    <t>64856408873</t>
  </si>
  <si>
    <t>PIGR640329Q61</t>
  </si>
  <si>
    <t>640329</t>
  </si>
  <si>
    <t>16/10/1999</t>
  </si>
  <si>
    <t>17/09/2009</t>
  </si>
  <si>
    <t>16/01/2012</t>
  </si>
  <si>
    <t>18/10/2016</t>
  </si>
  <si>
    <t>02/01/2017</t>
  </si>
  <si>
    <t>20/01/2017</t>
  </si>
  <si>
    <t>10/05/2017</t>
  </si>
  <si>
    <t>05/06/2017</t>
  </si>
  <si>
    <t>19/09/2017</t>
  </si>
  <si>
    <t>22/01/2017</t>
  </si>
  <si>
    <t>01/10/2019</t>
  </si>
  <si>
    <t>24/06/2019</t>
  </si>
  <si>
    <t>0001904</t>
  </si>
  <si>
    <t>22/01/2008</t>
  </si>
  <si>
    <t>16/09/2003</t>
  </si>
  <si>
    <t>0000021</t>
  </si>
  <si>
    <t>10/11/2014</t>
  </si>
  <si>
    <t>04/05/2015</t>
  </si>
  <si>
    <t>30977413605</t>
  </si>
  <si>
    <t>MOCF740214IX4</t>
  </si>
  <si>
    <t>740214</t>
  </si>
  <si>
    <t>31/03/2022</t>
  </si>
  <si>
    <t>0002770</t>
  </si>
  <si>
    <t>01/07/2006</t>
  </si>
  <si>
    <t>0001104</t>
  </si>
  <si>
    <t>45099074036</t>
  </si>
  <si>
    <t>AASR900507EJA</t>
  </si>
  <si>
    <t>900507</t>
  </si>
  <si>
    <t>06/05/2013</t>
  </si>
  <si>
    <t>15/12/2020</t>
  </si>
  <si>
    <t>Nathal Actuarios y Consultores, S.A. de C.V.</t>
  </si>
  <si>
    <t>Insurgentes Sur 1796, 6° piso</t>
  </si>
  <si>
    <t>Col. Florida, 01030, Ciudad de México</t>
  </si>
  <si>
    <t>www.nathalactuarios.com</t>
  </si>
  <si>
    <t>Fecha de Baja (dd/mm/aaaa)</t>
  </si>
  <si>
    <t>Monto por Prima de Antigüedad</t>
  </si>
  <si>
    <t>Monto por Indemnización</t>
  </si>
  <si>
    <r>
      <rPr>
        <b/>
        <sz val="8"/>
        <rFont val="Calibri"/>
        <family val="2"/>
        <scheme val="minor"/>
      </rPr>
      <t>(*)</t>
    </r>
    <r>
      <rPr>
        <b/>
        <sz val="12"/>
        <rFont val="Calibri"/>
        <family val="2"/>
        <scheme val="minor"/>
      </rPr>
      <t>Causa de Baja</t>
    </r>
  </si>
  <si>
    <t>0001041</t>
  </si>
  <si>
    <t>AEGN900917D96</t>
  </si>
  <si>
    <t>900917</t>
  </si>
  <si>
    <t>TERMINACION DE CONTRATO</t>
  </si>
  <si>
    <t>0005137</t>
  </si>
  <si>
    <t>BAHA9904275Z6</t>
  </si>
  <si>
    <t>990427</t>
  </si>
  <si>
    <t>RENUNCIA VOLUNTARIA</t>
  </si>
  <si>
    <t>0005495</t>
  </si>
  <si>
    <t>BUGA890707JL7</t>
  </si>
  <si>
    <t>890707</t>
  </si>
  <si>
    <t>0005479</t>
  </si>
  <si>
    <t>CAOJ9512214Z0</t>
  </si>
  <si>
    <t>951221</t>
  </si>
  <si>
    <t>17/02/2020</t>
  </si>
  <si>
    <t>18/09/2021</t>
  </si>
  <si>
    <t>0005468</t>
  </si>
  <si>
    <t>GURI910712FD4</t>
  </si>
  <si>
    <t>910712</t>
  </si>
  <si>
    <t>17/08/2021</t>
  </si>
  <si>
    <t>20/05/2014</t>
  </si>
  <si>
    <t>07/06/2021</t>
  </si>
  <si>
    <t>13/07/2021</t>
  </si>
  <si>
    <t>26/01/2019</t>
  </si>
  <si>
    <t>0005252</t>
  </si>
  <si>
    <t>CALF910125MA1</t>
  </si>
  <si>
    <t>25/09/2018</t>
  </si>
  <si>
    <t>21/09/2021</t>
  </si>
  <si>
    <t>30/09/2021</t>
  </si>
  <si>
    <t>0005431</t>
  </si>
  <si>
    <t>MARG960614C20</t>
  </si>
  <si>
    <t>960614</t>
  </si>
  <si>
    <t>26/07/2021</t>
  </si>
  <si>
    <t>0005347</t>
  </si>
  <si>
    <t>CAMM740611U67</t>
  </si>
  <si>
    <t>740611</t>
  </si>
  <si>
    <t>29/09/2021</t>
  </si>
  <si>
    <t>TERMINO CONTRATO</t>
  </si>
  <si>
    <t>0005492</t>
  </si>
  <si>
    <t>SAMD970817QE3</t>
  </si>
  <si>
    <t>22/09/2021</t>
  </si>
  <si>
    <t>19/04/2017</t>
  </si>
  <si>
    <t>0005392</t>
  </si>
  <si>
    <t>PAJM980513IT6</t>
  </si>
  <si>
    <t>980513</t>
  </si>
  <si>
    <t>12/07/2013</t>
  </si>
  <si>
    <t>09/09/2020</t>
  </si>
  <si>
    <t>0005466</t>
  </si>
  <si>
    <t>CATV7905097K0</t>
  </si>
  <si>
    <t>790509</t>
  </si>
  <si>
    <t>13/10/2021</t>
  </si>
  <si>
    <t>RECISION CONTRATO</t>
  </si>
  <si>
    <t>20/10/2021</t>
  </si>
  <si>
    <t>0005296</t>
  </si>
  <si>
    <t>MEVJ971222ML9</t>
  </si>
  <si>
    <t>971222</t>
  </si>
  <si>
    <t>27/05/2021</t>
  </si>
  <si>
    <t>27/10/2021</t>
  </si>
  <si>
    <t>0005301</t>
  </si>
  <si>
    <t>BANJ020506JZ8</t>
  </si>
  <si>
    <t>0005500</t>
  </si>
  <si>
    <t>GASB971030T81</t>
  </si>
  <si>
    <t>971030</t>
  </si>
  <si>
    <t>30/08/2021</t>
  </si>
  <si>
    <t>19/10/2021</t>
  </si>
  <si>
    <t>30/10/2021</t>
  </si>
  <si>
    <t>0005668</t>
  </si>
  <si>
    <t>OECF931209A38</t>
  </si>
  <si>
    <t>931209</t>
  </si>
  <si>
    <t>0005175</t>
  </si>
  <si>
    <t>VIQA910308R7A</t>
  </si>
  <si>
    <t>910308</t>
  </si>
  <si>
    <t>0005328</t>
  </si>
  <si>
    <t>REGO970510GQ0</t>
  </si>
  <si>
    <t>970510</t>
  </si>
  <si>
    <t>05/11/2021</t>
  </si>
  <si>
    <t>0005475</t>
  </si>
  <si>
    <t>AARR910321A79</t>
  </si>
  <si>
    <t>910321</t>
  </si>
  <si>
    <t>16/11/2021</t>
  </si>
  <si>
    <t>0002038</t>
  </si>
  <si>
    <t>GUCR791122V78</t>
  </si>
  <si>
    <t>791122</t>
  </si>
  <si>
    <t>20/09/2021</t>
  </si>
  <si>
    <t>12/03/2020</t>
  </si>
  <si>
    <t>29/10/2021</t>
  </si>
  <si>
    <t>0005230</t>
  </si>
  <si>
    <t>ROFA870828AU4</t>
  </si>
  <si>
    <t>870828</t>
  </si>
  <si>
    <t>27/05/2008</t>
  </si>
  <si>
    <t>08/12/2021</t>
  </si>
  <si>
    <t>12/09/2011</t>
  </si>
  <si>
    <t>01/02/2012</t>
  </si>
  <si>
    <t>25/06/2012</t>
  </si>
  <si>
    <t>24/09/2012</t>
  </si>
  <si>
    <t>16/01/2013</t>
  </si>
  <si>
    <t>REESTRUCTURACION</t>
  </si>
  <si>
    <t>06/01/2014</t>
  </si>
  <si>
    <t>20/01/2015</t>
  </si>
  <si>
    <t>17/03/2015</t>
  </si>
  <si>
    <t>07/04/2015</t>
  </si>
  <si>
    <t>02/07/2016</t>
  </si>
  <si>
    <t>02/03/2018</t>
  </si>
  <si>
    <t>15/08/2018</t>
  </si>
  <si>
    <t>15/07/2019</t>
  </si>
  <si>
    <t>0002237</t>
  </si>
  <si>
    <t>MAGB890925V66</t>
  </si>
  <si>
    <t>890925</t>
  </si>
  <si>
    <t>25/03/2019</t>
  </si>
  <si>
    <t>25/08/2008</t>
  </si>
  <si>
    <t>16/12/2021</t>
  </si>
  <si>
    <t>17/08/2011</t>
  </si>
  <si>
    <t>07/05/2015</t>
  </si>
  <si>
    <t>09/09/2016</t>
  </si>
  <si>
    <t>0005019</t>
  </si>
  <si>
    <t>04/08/2018</t>
  </si>
  <si>
    <t>0005451</t>
  </si>
  <si>
    <t>COCM8011053IA</t>
  </si>
  <si>
    <t>801105</t>
  </si>
  <si>
    <t>0005439</t>
  </si>
  <si>
    <t>GOAA981207VB6</t>
  </si>
  <si>
    <t>01/11/2021</t>
  </si>
  <si>
    <t>08/11/2021</t>
  </si>
  <si>
    <t>12/11/2021</t>
  </si>
  <si>
    <t>0005478</t>
  </si>
  <si>
    <t>SITM800623887</t>
  </si>
  <si>
    <t>10/08/2021</t>
  </si>
  <si>
    <t>09/11/2021</t>
  </si>
  <si>
    <t>07/09/2020</t>
  </si>
  <si>
    <t>16/07/2021</t>
  </si>
  <si>
    <t>0005258</t>
  </si>
  <si>
    <t>PITD750316282</t>
  </si>
  <si>
    <t>750316</t>
  </si>
  <si>
    <t>14/07/2021</t>
  </si>
  <si>
    <t>COMPLEMENTO</t>
  </si>
  <si>
    <t>21/07/2017</t>
  </si>
  <si>
    <t>21/07/2021</t>
  </si>
  <si>
    <t>0005224</t>
  </si>
  <si>
    <t>OEMA710910M11</t>
  </si>
  <si>
    <t>710910</t>
  </si>
  <si>
    <t>20/04/2021</t>
  </si>
  <si>
    <t>16/01/2018</t>
  </si>
  <si>
    <t>10/12/2021</t>
  </si>
  <si>
    <t>23/05/2011</t>
  </si>
  <si>
    <t>20/11/2021</t>
  </si>
  <si>
    <t>10/01/2016</t>
  </si>
  <si>
    <t>0005722</t>
  </si>
  <si>
    <t>CACI760623FQ2</t>
  </si>
  <si>
    <t>760623</t>
  </si>
  <si>
    <t>29/12/2021</t>
  </si>
  <si>
    <t>17/11/2021</t>
  </si>
  <si>
    <t>0005419</t>
  </si>
  <si>
    <t>MAAR8310075B4</t>
  </si>
  <si>
    <t>831007</t>
  </si>
  <si>
    <t>0005358</t>
  </si>
  <si>
    <t>TEFJ870421BS7</t>
  </si>
  <si>
    <t>870421</t>
  </si>
  <si>
    <t>0005549</t>
  </si>
  <si>
    <t>SAJY921006748</t>
  </si>
  <si>
    <t>14/12/2021</t>
  </si>
  <si>
    <t>0005493</t>
  </si>
  <si>
    <t>SORE960410R75</t>
  </si>
  <si>
    <t>0005417</t>
  </si>
  <si>
    <t>RITJ020401MG1</t>
  </si>
  <si>
    <t>020401</t>
  </si>
  <si>
    <t>15/12/2021</t>
  </si>
  <si>
    <t>0005599</t>
  </si>
  <si>
    <t>RORO8606175G5</t>
  </si>
  <si>
    <t>860617</t>
  </si>
  <si>
    <t>04/10/2021</t>
  </si>
  <si>
    <t>0005555</t>
  </si>
  <si>
    <t>NIBM701107PL9</t>
  </si>
  <si>
    <t>701107</t>
  </si>
  <si>
    <t>0005480</t>
  </si>
  <si>
    <t>MOAD941129L22</t>
  </si>
  <si>
    <t>941129</t>
  </si>
  <si>
    <t>15/11/2021</t>
  </si>
  <si>
    <t>0004270</t>
  </si>
  <si>
    <t>LOCK930619UAA</t>
  </si>
  <si>
    <t>930619</t>
  </si>
  <si>
    <t>19/08/2020</t>
  </si>
  <si>
    <t>01/12/2021</t>
  </si>
  <si>
    <t>Es el personal que se paso a las SC</t>
  </si>
  <si>
    <t>09/05/2018</t>
  </si>
  <si>
    <t>25/11/2019</t>
  </si>
  <si>
    <t>01/07/2019</t>
  </si>
  <si>
    <t>0005143</t>
  </si>
  <si>
    <t>FOTS840715PX9</t>
  </si>
  <si>
    <t>840715</t>
  </si>
  <si>
    <t>07/01/2022</t>
  </si>
  <si>
    <t xml:space="preserve">Renuncia voluntaria </t>
  </si>
  <si>
    <t>0005717</t>
  </si>
  <si>
    <t>GOMC8802222U7</t>
  </si>
  <si>
    <t>880222</t>
  </si>
  <si>
    <t>27/05/2005</t>
  </si>
  <si>
    <t>30/12/2021</t>
  </si>
  <si>
    <t>JUBILACION</t>
  </si>
  <si>
    <t>0005186</t>
  </si>
  <si>
    <t>VICV0106048W9</t>
  </si>
  <si>
    <t>010604</t>
  </si>
  <si>
    <t>22/03/2021</t>
  </si>
  <si>
    <t>04/01/2022</t>
  </si>
  <si>
    <t>15/01/2022</t>
  </si>
  <si>
    <t>13/09/2017</t>
  </si>
  <si>
    <t>0005240</t>
  </si>
  <si>
    <t>MOPE730702170</t>
  </si>
  <si>
    <t>730702</t>
  </si>
  <si>
    <t>28/12/2021</t>
  </si>
  <si>
    <t>0005672</t>
  </si>
  <si>
    <t>CAVC8111199TA</t>
  </si>
  <si>
    <t>811119</t>
  </si>
  <si>
    <t>18/01/2022</t>
  </si>
  <si>
    <t>0005718</t>
  </si>
  <si>
    <t>HEGC8009158N7</t>
  </si>
  <si>
    <t>800915</t>
  </si>
  <si>
    <t>14/01/2022</t>
  </si>
  <si>
    <t>0005333</t>
  </si>
  <si>
    <t>JAAE000808PD2</t>
  </si>
  <si>
    <t>000808</t>
  </si>
  <si>
    <t>20/12/2021</t>
  </si>
  <si>
    <t>0005674</t>
  </si>
  <si>
    <t>LOFF0108246P5</t>
  </si>
  <si>
    <t>010824</t>
  </si>
  <si>
    <t>30/09/2019</t>
  </si>
  <si>
    <t>0005732</t>
  </si>
  <si>
    <t>VIGF021228220</t>
  </si>
  <si>
    <t>021228</t>
  </si>
  <si>
    <t>27/12/2021</t>
  </si>
  <si>
    <t>06/01/2022</t>
  </si>
  <si>
    <t>0005153</t>
  </si>
  <si>
    <t>CUOB021123JA4</t>
  </si>
  <si>
    <t>021123</t>
  </si>
  <si>
    <t>22/02/2021</t>
  </si>
  <si>
    <t>08/10/2021</t>
  </si>
  <si>
    <t>06/12/2011</t>
  </si>
  <si>
    <t>27/01/2022</t>
  </si>
  <si>
    <t>0001667</t>
  </si>
  <si>
    <t>11/02/2019</t>
  </si>
  <si>
    <t>0005298</t>
  </si>
  <si>
    <t>MEAE9909035C6</t>
  </si>
  <si>
    <t>990903</t>
  </si>
  <si>
    <t>05/03/2014</t>
  </si>
  <si>
    <t>0005332</t>
  </si>
  <si>
    <t>ROJO890405QP8</t>
  </si>
  <si>
    <t>890405</t>
  </si>
  <si>
    <t>13/01/2022</t>
  </si>
  <si>
    <t>0005234</t>
  </si>
  <si>
    <t>LOMP8605306N5</t>
  </si>
  <si>
    <t>860530</t>
  </si>
  <si>
    <t>0005620</t>
  </si>
  <si>
    <t>LESM890919AV7</t>
  </si>
  <si>
    <t>890919</t>
  </si>
  <si>
    <t>03/04/2002</t>
  </si>
  <si>
    <t>28/02/2022</t>
  </si>
  <si>
    <t>03/09/2007</t>
  </si>
  <si>
    <t>19/01/2009</t>
  </si>
  <si>
    <t>25/04/2011</t>
  </si>
  <si>
    <t>16/08/2015</t>
  </si>
  <si>
    <t>19/08/2015</t>
  </si>
  <si>
    <t>12/10/2016</t>
  </si>
  <si>
    <t>31/01/2018</t>
  </si>
  <si>
    <t>19/07/2018</t>
  </si>
  <si>
    <t>0005241</t>
  </si>
  <si>
    <t>MOZC900318ET2</t>
  </si>
  <si>
    <t>900318</t>
  </si>
  <si>
    <t>03/05/2021</t>
  </si>
  <si>
    <t>0005616</t>
  </si>
  <si>
    <t>JARA730309PH6</t>
  </si>
  <si>
    <t>12/10/2021</t>
  </si>
  <si>
    <t>28/10/2009</t>
  </si>
  <si>
    <t>29/01/2022</t>
  </si>
  <si>
    <t>22/05/2018</t>
  </si>
  <si>
    <t>04/03/2022</t>
  </si>
  <si>
    <t>25/08/2016</t>
  </si>
  <si>
    <t>06/09/2019</t>
  </si>
  <si>
    <t>0005723</t>
  </si>
  <si>
    <t>BEMA0007172R2</t>
  </si>
  <si>
    <t>000717</t>
  </si>
  <si>
    <t>03/06/2019</t>
  </si>
  <si>
    <t>0005270</t>
  </si>
  <si>
    <t>CACS9602283I9</t>
  </si>
  <si>
    <t>960228</t>
  </si>
  <si>
    <t>0005592</t>
  </si>
  <si>
    <t>GACM9705144L2</t>
  </si>
  <si>
    <t>970514</t>
  </si>
  <si>
    <t>0005223</t>
  </si>
  <si>
    <t>HECM7306106H3</t>
  </si>
  <si>
    <t>730610</t>
  </si>
  <si>
    <t>18/03/2022</t>
  </si>
  <si>
    <t>0005865</t>
  </si>
  <si>
    <t>MAAK9709237W7</t>
  </si>
  <si>
    <t>970923</t>
  </si>
  <si>
    <t>0005138</t>
  </si>
  <si>
    <t>MEAM020205CY8</t>
  </si>
  <si>
    <t>020205</t>
  </si>
  <si>
    <t>11/05/2017</t>
  </si>
  <si>
    <t>12/03/2022</t>
  </si>
  <si>
    <t>RESICIÓN DE CONTRATO</t>
  </si>
  <si>
    <t>30/05/2011</t>
  </si>
  <si>
    <t>0005852</t>
  </si>
  <si>
    <t>AOCJ990421RS4</t>
  </si>
  <si>
    <t>990421</t>
  </si>
  <si>
    <t>02/06/2021</t>
  </si>
  <si>
    <t>0005155</t>
  </si>
  <si>
    <t>PEAA950310RG3</t>
  </si>
  <si>
    <t>950310</t>
  </si>
  <si>
    <t>0005334</t>
  </si>
  <si>
    <t>MORD010304C17</t>
  </si>
  <si>
    <t>010304</t>
  </si>
  <si>
    <t>0005843</t>
  </si>
  <si>
    <t>CUVF8404232R1</t>
  </si>
  <si>
    <t>840423</t>
  </si>
  <si>
    <t>09/02/2022</t>
  </si>
  <si>
    <t>17/03/2022</t>
  </si>
  <si>
    <t>0005142</t>
  </si>
  <si>
    <t>GUGF770220US1</t>
  </si>
  <si>
    <t>770220</t>
  </si>
  <si>
    <t>0005880</t>
  </si>
  <si>
    <t>AUAA910310L8A</t>
  </si>
  <si>
    <t>910310</t>
  </si>
  <si>
    <t>0005917</t>
  </si>
  <si>
    <t>BAPJ910331BL6</t>
  </si>
  <si>
    <t>910331</t>
  </si>
  <si>
    <t>0005167</t>
  </si>
  <si>
    <t>FOGB9512012N2</t>
  </si>
  <si>
    <t>951201</t>
  </si>
  <si>
    <t>0005818</t>
  </si>
  <si>
    <t>OEHS95032419A</t>
  </si>
  <si>
    <t>950324</t>
  </si>
  <si>
    <t>0005872</t>
  </si>
  <si>
    <t>LOGM950618TP4</t>
  </si>
  <si>
    <t>950618</t>
  </si>
  <si>
    <t>0005909</t>
  </si>
  <si>
    <t>MACJ831014669</t>
  </si>
  <si>
    <t>831014</t>
  </si>
  <si>
    <t>0005884</t>
  </si>
  <si>
    <t>REMJ9605091N2</t>
  </si>
  <si>
    <t>05/09/2016</t>
  </si>
  <si>
    <t>06/02/2018</t>
  </si>
  <si>
    <t>0005817</t>
  </si>
  <si>
    <t>TAGJ860727RN4</t>
  </si>
  <si>
    <t>860727</t>
  </si>
  <si>
    <t>0005361</t>
  </si>
  <si>
    <t>GOLM880106FB7</t>
  </si>
  <si>
    <t>20/04/2015</t>
  </si>
  <si>
    <t>11/06/2019</t>
  </si>
  <si>
    <t>25/02/2022</t>
  </si>
  <si>
    <t>03/10/2018</t>
  </si>
  <si>
    <t>16/01/2022</t>
  </si>
  <si>
    <t>08/07/2020</t>
  </si>
  <si>
    <t>0005432</t>
  </si>
  <si>
    <t>CARS960825BU1</t>
  </si>
  <si>
    <t>960825</t>
  </si>
  <si>
    <t>0005397</t>
  </si>
  <si>
    <t>NAJM950202TN8</t>
  </si>
  <si>
    <t>950202</t>
  </si>
  <si>
    <t>07/04/2022</t>
  </si>
  <si>
    <t>0005810</t>
  </si>
  <si>
    <t>SELI941023657</t>
  </si>
  <si>
    <t>941023</t>
  </si>
  <si>
    <t>0005907</t>
  </si>
  <si>
    <t>MOCE970221BN0</t>
  </si>
  <si>
    <t>970221</t>
  </si>
  <si>
    <t>20/04/2022</t>
  </si>
  <si>
    <t>02/06/2014</t>
  </si>
  <si>
    <t>18/05/2020</t>
  </si>
  <si>
    <t>0005906</t>
  </si>
  <si>
    <t>LAJG930816JG1</t>
  </si>
  <si>
    <t>930816</t>
  </si>
  <si>
    <t>13/04/2022</t>
  </si>
  <si>
    <t>22/11/2021</t>
  </si>
  <si>
    <t>15/04/2022</t>
  </si>
  <si>
    <t>0004657</t>
  </si>
  <si>
    <t>NATJ900707KN3</t>
  </si>
  <si>
    <t>900707</t>
  </si>
  <si>
    <t>04/02/2022</t>
  </si>
  <si>
    <t>01/11/2017</t>
  </si>
  <si>
    <t>02/02/2022</t>
  </si>
  <si>
    <t>09/08/2018</t>
  </si>
  <si>
    <t>18/04/2018</t>
  </si>
  <si>
    <t>16/05/2022</t>
  </si>
  <si>
    <t>0005491</t>
  </si>
  <si>
    <t>MOEA940121LI6</t>
  </si>
  <si>
    <t>940121</t>
  </si>
  <si>
    <t>09/03/2009</t>
  </si>
  <si>
    <t>0005837</t>
  </si>
  <si>
    <t>SOCE920922KK3</t>
  </si>
  <si>
    <t>920922</t>
  </si>
  <si>
    <t>09/04/2022</t>
  </si>
  <si>
    <t>06/05/2019</t>
  </si>
  <si>
    <t>16/08/2019</t>
  </si>
  <si>
    <t>0005227</t>
  </si>
  <si>
    <t>IERJ7707306B6</t>
  </si>
  <si>
    <t>770730</t>
  </si>
  <si>
    <t>19/02/2014</t>
  </si>
  <si>
    <t>30/05/2022</t>
  </si>
  <si>
    <t>0005165</t>
  </si>
  <si>
    <t>GAZA990120342</t>
  </si>
  <si>
    <t>990120</t>
  </si>
  <si>
    <t>0005308</t>
  </si>
  <si>
    <t>HEGA020222JP5</t>
  </si>
  <si>
    <t>020222</t>
  </si>
  <si>
    <t>0005972</t>
  </si>
  <si>
    <t>JISG6905067M1</t>
  </si>
  <si>
    <t>690506</t>
  </si>
  <si>
    <t>12/05/2022</t>
  </si>
  <si>
    <t>0006050</t>
  </si>
  <si>
    <t>LOCM8905238G0</t>
  </si>
  <si>
    <t>890523</t>
  </si>
  <si>
    <t>19/05/2022</t>
  </si>
  <si>
    <t>0005918</t>
  </si>
  <si>
    <t>MALL9212103H1</t>
  </si>
  <si>
    <t>921210</t>
  </si>
  <si>
    <t>0006043</t>
  </si>
  <si>
    <t>MAMN9305313H3</t>
  </si>
  <si>
    <t>930531</t>
  </si>
  <si>
    <t>0005853</t>
  </si>
  <si>
    <t>SERB000421RB4</t>
  </si>
  <si>
    <t>000421</t>
  </si>
  <si>
    <t>0005804</t>
  </si>
  <si>
    <t>TOVA8905091B9</t>
  </si>
  <si>
    <t>890509</t>
  </si>
  <si>
    <t>0005855</t>
  </si>
  <si>
    <t>TOHU000219AF9</t>
  </si>
  <si>
    <t>000219</t>
  </si>
  <si>
    <t>04/06/2022</t>
  </si>
  <si>
    <t>0005010</t>
  </si>
  <si>
    <t>TITG7210171K7</t>
  </si>
  <si>
    <t>721017</t>
  </si>
  <si>
    <t>27/08/2020</t>
  </si>
  <si>
    <t>16/06/2022</t>
  </si>
  <si>
    <t>0005927</t>
  </si>
  <si>
    <t>PEPA941025PZ7</t>
  </si>
  <si>
    <t>941025</t>
  </si>
  <si>
    <t>0005914</t>
  </si>
  <si>
    <t>CAPA950918CM3</t>
  </si>
  <si>
    <t>950918</t>
  </si>
  <si>
    <t>07/06/2022</t>
  </si>
  <si>
    <t>0005294</t>
  </si>
  <si>
    <t>AUOJ9301105B2</t>
  </si>
  <si>
    <t>930110</t>
  </si>
  <si>
    <t>01/04/2022</t>
  </si>
  <si>
    <t>AUSENTISMO</t>
  </si>
  <si>
    <t>0006101</t>
  </si>
  <si>
    <t>CAHM780505DR2</t>
  </si>
  <si>
    <t>780505</t>
  </si>
  <si>
    <t>12/08/2019</t>
  </si>
  <si>
    <t>15/06/2022</t>
  </si>
  <si>
    <t>0005821</t>
  </si>
  <si>
    <t>BEDT9204117D4</t>
  </si>
  <si>
    <t>920411</t>
  </si>
  <si>
    <t>0005819</t>
  </si>
  <si>
    <t>SAGN9206132AA</t>
  </si>
  <si>
    <t>0005300</t>
  </si>
  <si>
    <t>TODR901116SH7</t>
  </si>
  <si>
    <t>901116</t>
  </si>
  <si>
    <t>30/06/2022</t>
  </si>
  <si>
    <t>0005277</t>
  </si>
  <si>
    <t>MARE820908GR1</t>
  </si>
  <si>
    <t>820908</t>
  </si>
  <si>
    <t>0001103</t>
  </si>
  <si>
    <t>0006220</t>
  </si>
  <si>
    <t>AUVV940203RH1</t>
  </si>
  <si>
    <t>940203</t>
  </si>
  <si>
    <t>29/08/2016</t>
  </si>
  <si>
    <t>0005693</t>
  </si>
  <si>
    <t>CAOJ770628IB9</t>
  </si>
  <si>
    <t>770628</t>
  </si>
  <si>
    <t>0006195</t>
  </si>
  <si>
    <t>LAGM951205IT4</t>
  </si>
  <si>
    <t>01/07/2022</t>
  </si>
  <si>
    <t>0006187</t>
  </si>
  <si>
    <t>MAGF860828T61</t>
  </si>
  <si>
    <t>860828</t>
  </si>
  <si>
    <t>0005956</t>
  </si>
  <si>
    <t>SAGJ951107LA3</t>
  </si>
  <si>
    <t>951107</t>
  </si>
  <si>
    <t>29/06/2022</t>
  </si>
  <si>
    <t>0006035</t>
  </si>
  <si>
    <t>SEJP660415680</t>
  </si>
  <si>
    <t>660415</t>
  </si>
  <si>
    <t>TERMINACION POR MUTUO ACUERDO</t>
  </si>
  <si>
    <t>0006042</t>
  </si>
  <si>
    <t>ZEAR970106DHA</t>
  </si>
  <si>
    <t>970106</t>
  </si>
  <si>
    <t>0005315</t>
  </si>
  <si>
    <t>FOBA800521QI8</t>
  </si>
  <si>
    <t>800521</t>
  </si>
  <si>
    <t>22/04/2015</t>
  </si>
  <si>
    <t>04/01/2017</t>
  </si>
  <si>
    <t>0005905</t>
  </si>
  <si>
    <t>PEAL940621QJ3</t>
  </si>
  <si>
    <t>940621</t>
  </si>
  <si>
    <t>29/07/2022</t>
  </si>
  <si>
    <t>30/10/2019</t>
  </si>
  <si>
    <t>06/07/2016</t>
  </si>
  <si>
    <t>0005882</t>
  </si>
  <si>
    <t>VIBV980602EK9</t>
  </si>
  <si>
    <t>980602</t>
  </si>
  <si>
    <t>01/09/2011</t>
  </si>
  <si>
    <t>30/07/2022</t>
  </si>
  <si>
    <t>0005505</t>
  </si>
  <si>
    <t>RACC9106139Q9</t>
  </si>
  <si>
    <t>910613</t>
  </si>
  <si>
    <t>0005293</t>
  </si>
  <si>
    <t>AACS881004PX2</t>
  </si>
  <si>
    <t>23/02/2017</t>
  </si>
  <si>
    <t>0003065</t>
  </si>
  <si>
    <t>DIAM9202223X5</t>
  </si>
  <si>
    <t>920222</t>
  </si>
  <si>
    <t>0000141</t>
  </si>
  <si>
    <t>VIPR460611UY6</t>
  </si>
  <si>
    <t>460611</t>
  </si>
  <si>
    <t>01/08/2009</t>
  </si>
  <si>
    <t>11/05/2020</t>
  </si>
  <si>
    <t>DEFUNCION</t>
  </si>
  <si>
    <t>0006312</t>
  </si>
  <si>
    <t>AUJJ7601111E9</t>
  </si>
  <si>
    <t>760111</t>
  </si>
  <si>
    <t>0006299</t>
  </si>
  <si>
    <t>MEOL920819MU1</t>
  </si>
  <si>
    <t>920819</t>
  </si>
  <si>
    <t>0000213</t>
  </si>
  <si>
    <t>ROCC830522DM1</t>
  </si>
  <si>
    <t>830522</t>
  </si>
  <si>
    <t>13/08/2022</t>
  </si>
  <si>
    <t>0005950</t>
  </si>
  <si>
    <t>FOGC950322MP1</t>
  </si>
  <si>
    <t>02/09/2022</t>
  </si>
  <si>
    <t>0005974</t>
  </si>
  <si>
    <t>GALF000530889</t>
  </si>
  <si>
    <t>000530</t>
  </si>
  <si>
    <t>0005871</t>
  </si>
  <si>
    <t>RAGA8708209Q7</t>
  </si>
  <si>
    <t>870820</t>
  </si>
  <si>
    <t>23/06/2022</t>
  </si>
  <si>
    <t>0006022</t>
  </si>
  <si>
    <t>FOGC890705IX3</t>
  </si>
  <si>
    <t>890705</t>
  </si>
  <si>
    <t>0006124</t>
  </si>
  <si>
    <t>JEHR840905UM2</t>
  </si>
  <si>
    <t>840905</t>
  </si>
  <si>
    <t>0006125</t>
  </si>
  <si>
    <t>PIRL920703HF5</t>
  </si>
  <si>
    <t>920703</t>
  </si>
  <si>
    <t>0005614</t>
  </si>
  <si>
    <t>TOME9411071E8</t>
  </si>
  <si>
    <t>941107</t>
  </si>
  <si>
    <t>0006121</t>
  </si>
  <si>
    <t>CORM020617246</t>
  </si>
  <si>
    <t>020617</t>
  </si>
  <si>
    <t>10/07/2018</t>
  </si>
  <si>
    <t>03/09/2022</t>
  </si>
  <si>
    <t>0005651</t>
  </si>
  <si>
    <t>ZAJG930303R36</t>
  </si>
  <si>
    <t>930303</t>
  </si>
  <si>
    <t>01/09/2004</t>
  </si>
  <si>
    <t>17/06/2016</t>
  </si>
  <si>
    <t>NOTAS IMPORTANTES:</t>
  </si>
  <si>
    <r>
      <t xml:space="preserve">(*) </t>
    </r>
    <r>
      <rPr>
        <b/>
        <sz val="12"/>
        <rFont val="Calibri"/>
        <family val="2"/>
        <scheme val="minor"/>
      </rPr>
      <t>CAUSA DE BAJA</t>
    </r>
  </si>
  <si>
    <t>ROTACIÓN, SEPARACIÓN VOLUNTARIA, RECISIÓN DE CONTRATO, DESPIDO, FALLECIMIENTO, INVALIDEZ, CESANTÍA, JUBILACIÓN, ETC.</t>
  </si>
  <si>
    <t>REESTRUCTURACIÓN: Evento especial de derivado de un plan controlado por la entidad con el objeto de cambiar significativamente sus actividades o la manera de conducirlas (Ej: Cambios en la estructura de puestos ó cambios en el giro de la empresa).</t>
  </si>
  <si>
    <t>Tels.: 55-63-14-41,  55-63-17-46, 55-6315-36          Fax: 56-15-34-96</t>
  </si>
  <si>
    <t>Personal Activo al 31 de diciembre de 2021</t>
  </si>
  <si>
    <t>…</t>
  </si>
  <si>
    <t>21/06/2010</t>
  </si>
  <si>
    <t>42028330894</t>
  </si>
  <si>
    <t>17/05/2012</t>
  </si>
  <si>
    <t>21/07/2014</t>
  </si>
  <si>
    <t>07/09/2015</t>
  </si>
  <si>
    <t>03/03/2016</t>
  </si>
  <si>
    <t>07/02/2017</t>
  </si>
  <si>
    <t>16/03/2017</t>
  </si>
  <si>
    <t>25/05/2019</t>
  </si>
  <si>
    <t>0001911</t>
  </si>
  <si>
    <t>17179211465</t>
  </si>
  <si>
    <t>JUAB920630EH4</t>
  </si>
  <si>
    <t>920630</t>
  </si>
  <si>
    <t>0001997</t>
  </si>
  <si>
    <t>70886914426</t>
  </si>
  <si>
    <t>CABK6903072E0</t>
  </si>
  <si>
    <t>690307</t>
  </si>
  <si>
    <t>23/10/2021</t>
  </si>
  <si>
    <t>0003368</t>
  </si>
  <si>
    <t>96967404771</t>
  </si>
  <si>
    <t>RAVA740623TD5</t>
  </si>
  <si>
    <t>740623</t>
  </si>
  <si>
    <t>0004504</t>
  </si>
  <si>
    <t>63826109363</t>
  </si>
  <si>
    <t>BOSA611030AG4</t>
  </si>
  <si>
    <t>611030</t>
  </si>
  <si>
    <t>03/09/2001</t>
  </si>
  <si>
    <t>0004506</t>
  </si>
  <si>
    <t>37896717081</t>
  </si>
  <si>
    <t>GAAJ6708192G4</t>
  </si>
  <si>
    <t>670819</t>
  </si>
  <si>
    <t>27149073929</t>
  </si>
  <si>
    <t>0004727</t>
  </si>
  <si>
    <t>65129470400</t>
  </si>
  <si>
    <t>MARV9411201E9</t>
  </si>
  <si>
    <t>941120</t>
  </si>
  <si>
    <t>0004879</t>
  </si>
  <si>
    <t>01977307287</t>
  </si>
  <si>
    <t>AAMC730708KI0</t>
  </si>
  <si>
    <t>730708</t>
  </si>
  <si>
    <t>39937211942</t>
  </si>
  <si>
    <t>0005116</t>
  </si>
  <si>
    <t>85169702579</t>
  </si>
  <si>
    <t>MALI9712102V8</t>
  </si>
  <si>
    <t>0005136</t>
  </si>
  <si>
    <t>39149820464</t>
  </si>
  <si>
    <t>MOLE9810285Y7</t>
  </si>
  <si>
    <t>981028</t>
  </si>
  <si>
    <t>13170231396</t>
  </si>
  <si>
    <t>52017704066</t>
  </si>
  <si>
    <t>11078415509</t>
  </si>
  <si>
    <t>01109520062</t>
  </si>
  <si>
    <t>0005164</t>
  </si>
  <si>
    <t>90129329075</t>
  </si>
  <si>
    <t>ZUVN930117QH2</t>
  </si>
  <si>
    <t>930117</t>
  </si>
  <si>
    <t>13169972034</t>
  </si>
  <si>
    <t>0005166</t>
  </si>
  <si>
    <t>07109212139</t>
  </si>
  <si>
    <t>VIRZ920503IK7</t>
  </si>
  <si>
    <t>920503</t>
  </si>
  <si>
    <t>45109537477</t>
  </si>
  <si>
    <t>0005168</t>
  </si>
  <si>
    <t>07160042151</t>
  </si>
  <si>
    <t>AISN000607AT7</t>
  </si>
  <si>
    <t>000607</t>
  </si>
  <si>
    <t>0005184</t>
  </si>
  <si>
    <t>02200136121</t>
  </si>
  <si>
    <t>RAAE010825HL0</t>
  </si>
  <si>
    <t>010825</t>
  </si>
  <si>
    <t>10130174427</t>
  </si>
  <si>
    <t>39087300248</t>
  </si>
  <si>
    <t>20997701030</t>
  </si>
  <si>
    <t>27149062377</t>
  </si>
  <si>
    <t>0005248</t>
  </si>
  <si>
    <t>01139941205</t>
  </si>
  <si>
    <t>BOGA990601NQA</t>
  </si>
  <si>
    <t>990601</t>
  </si>
  <si>
    <t>0005249</t>
  </si>
  <si>
    <t>13170174463</t>
  </si>
  <si>
    <t>SEDI010913832</t>
  </si>
  <si>
    <t>010913</t>
  </si>
  <si>
    <t>16099601292</t>
  </si>
  <si>
    <t>30008217678</t>
  </si>
  <si>
    <t>20108810134</t>
  </si>
  <si>
    <t>19149328320</t>
  </si>
  <si>
    <t>42149932164</t>
  </si>
  <si>
    <t>20149002519</t>
  </si>
  <si>
    <t>11170210378</t>
  </si>
  <si>
    <t>0005313</t>
  </si>
  <si>
    <t>45150072341</t>
  </si>
  <si>
    <t>PAOA000502CUA</t>
  </si>
  <si>
    <t>000502</t>
  </si>
  <si>
    <t>94138903383</t>
  </si>
  <si>
    <t>11160022858</t>
  </si>
  <si>
    <t>11170124686</t>
  </si>
  <si>
    <t>0005345</t>
  </si>
  <si>
    <t>37896917095</t>
  </si>
  <si>
    <t>MODA6907252F4</t>
  </si>
  <si>
    <t>690725</t>
  </si>
  <si>
    <t>0005348</t>
  </si>
  <si>
    <t>01058721919</t>
  </si>
  <si>
    <t>TADV8710086LA</t>
  </si>
  <si>
    <t>871008</t>
  </si>
  <si>
    <t>16/06/2021</t>
  </si>
  <si>
    <t>0005359</t>
  </si>
  <si>
    <t>94058302376</t>
  </si>
  <si>
    <t>SIGJ830112S48</t>
  </si>
  <si>
    <t>830112</t>
  </si>
  <si>
    <t>42098803358</t>
  </si>
  <si>
    <t>0005362</t>
  </si>
  <si>
    <t>39038429542</t>
  </si>
  <si>
    <t>OEDK8405072I5</t>
  </si>
  <si>
    <t>840507</t>
  </si>
  <si>
    <t>0005394</t>
  </si>
  <si>
    <t>42109205114</t>
  </si>
  <si>
    <t>VAVF920124115</t>
  </si>
  <si>
    <t>920124</t>
  </si>
  <si>
    <t>46159516643</t>
  </si>
  <si>
    <t>01189603739</t>
  </si>
  <si>
    <t>0005477</t>
  </si>
  <si>
    <t>20159702008</t>
  </si>
  <si>
    <t>LODA971101BF1</t>
  </si>
  <si>
    <t>971101</t>
  </si>
  <si>
    <t>10179451181</t>
  </si>
  <si>
    <t>03199135231</t>
  </si>
  <si>
    <t>0005550</t>
  </si>
  <si>
    <t>17149515094</t>
  </si>
  <si>
    <t>HERJ950427Q8A</t>
  </si>
  <si>
    <t>950427</t>
  </si>
  <si>
    <t>74169718637</t>
  </si>
  <si>
    <t>0005597</t>
  </si>
  <si>
    <t>94088736072</t>
  </si>
  <si>
    <t>COLJ871009RJ7</t>
  </si>
  <si>
    <t>871009</t>
  </si>
  <si>
    <t>0005600</t>
  </si>
  <si>
    <t>20099027888</t>
  </si>
  <si>
    <t>LONS900131VD9</t>
  </si>
  <si>
    <t>900131</t>
  </si>
  <si>
    <t>0005601</t>
  </si>
  <si>
    <t>11907151515</t>
  </si>
  <si>
    <t>AUGF7104236ZA</t>
  </si>
  <si>
    <t>710423</t>
  </si>
  <si>
    <t>0005607</t>
  </si>
  <si>
    <t>90149923923</t>
  </si>
  <si>
    <t>RIFJ990726AY1</t>
  </si>
  <si>
    <t>990726</t>
  </si>
  <si>
    <t>16139483214</t>
  </si>
  <si>
    <t>28917336191</t>
  </si>
  <si>
    <t>20078924147</t>
  </si>
  <si>
    <t>35149333482</t>
  </si>
  <si>
    <t>0005652</t>
  </si>
  <si>
    <t>20119426193</t>
  </si>
  <si>
    <t>MAGE9412067R2</t>
  </si>
  <si>
    <t>941206</t>
  </si>
  <si>
    <t>92128103501</t>
  </si>
  <si>
    <t>19160191342</t>
  </si>
  <si>
    <t>0005687</t>
  </si>
  <si>
    <t>92936500567</t>
  </si>
  <si>
    <t>CUAE650715J13</t>
  </si>
  <si>
    <t>650715</t>
  </si>
  <si>
    <t>0005691</t>
  </si>
  <si>
    <t>39978112892</t>
  </si>
  <si>
    <t>RAGC810201CJ7</t>
  </si>
  <si>
    <t>810201</t>
  </si>
  <si>
    <t>0005692</t>
  </si>
  <si>
    <t>90048614946</t>
  </si>
  <si>
    <t>JIHG860726T8A</t>
  </si>
  <si>
    <t>860726</t>
  </si>
  <si>
    <t>82007711813</t>
  </si>
  <si>
    <t>0005714</t>
  </si>
  <si>
    <t>45048311109</t>
  </si>
  <si>
    <t>TAHE8302188Y2</t>
  </si>
  <si>
    <t>830218</t>
  </si>
  <si>
    <t>30008027507</t>
  </si>
  <si>
    <t>0005719</t>
  </si>
  <si>
    <t>20180356584</t>
  </si>
  <si>
    <t>HENJ030110436</t>
  </si>
  <si>
    <t>030110</t>
  </si>
  <si>
    <t>40150010904</t>
  </si>
  <si>
    <t>0002767</t>
  </si>
  <si>
    <t>REESTRUCTURA</t>
  </si>
  <si>
    <t>REEMPLAZABLE</t>
  </si>
  <si>
    <t>Personal Activo al 31 de diciembre de 2020</t>
  </si>
  <si>
    <t>16/04/1999</t>
  </si>
  <si>
    <t>30/08/1999</t>
  </si>
  <si>
    <t>16/10/2000</t>
  </si>
  <si>
    <t>26/01/2006</t>
  </si>
  <si>
    <t>09/01/2008</t>
  </si>
  <si>
    <t>05/01/2009</t>
  </si>
  <si>
    <t>16/02/2010</t>
  </si>
  <si>
    <t>10/08/2010</t>
  </si>
  <si>
    <t>13/09/2010</t>
  </si>
  <si>
    <t>13/02/2012</t>
  </si>
  <si>
    <t>06/03/2012</t>
  </si>
  <si>
    <t>24/04/2012</t>
  </si>
  <si>
    <t>01/02/2013</t>
  </si>
  <si>
    <t>13/02/2013</t>
  </si>
  <si>
    <t>25/02/2013</t>
  </si>
  <si>
    <t>03/04/2013</t>
  </si>
  <si>
    <t>21/05/2013</t>
  </si>
  <si>
    <t>15/07/2013</t>
  </si>
  <si>
    <t>11/09/2013</t>
  </si>
  <si>
    <t>13/02/2014</t>
  </si>
  <si>
    <t>27/02/2014</t>
  </si>
  <si>
    <t>21/03/2014</t>
  </si>
  <si>
    <t>19/06/2014</t>
  </si>
  <si>
    <t>01/07/2014</t>
  </si>
  <si>
    <t>22/07/2014</t>
  </si>
  <si>
    <t>29/08/2014</t>
  </si>
  <si>
    <t>18/02/2015</t>
  </si>
  <si>
    <t>03/03/2015</t>
  </si>
  <si>
    <t>15/04/2015</t>
  </si>
  <si>
    <t>15/05/2015</t>
  </si>
  <si>
    <t>18/06/2015</t>
  </si>
  <si>
    <t>17/08/2015</t>
  </si>
  <si>
    <t>21/08/2015</t>
  </si>
  <si>
    <t>26/10/2015</t>
  </si>
  <si>
    <t>11/04/2016</t>
  </si>
  <si>
    <t>25/04/2016</t>
  </si>
  <si>
    <t>24/05/2016</t>
  </si>
  <si>
    <t>21/07/2016</t>
  </si>
  <si>
    <t>25/10/2016</t>
  </si>
  <si>
    <t>10/11/2016</t>
  </si>
  <si>
    <t>19/01/2017</t>
  </si>
  <si>
    <t>17/04/2017</t>
  </si>
  <si>
    <t>19/01/2018</t>
  </si>
  <si>
    <t>23/11/2020</t>
  </si>
  <si>
    <t>10/04/2018</t>
  </si>
  <si>
    <t>16/05/2018</t>
  </si>
  <si>
    <t>28/05/2018</t>
  </si>
  <si>
    <t>11/06/2018</t>
  </si>
  <si>
    <t>28/06/2018</t>
  </si>
  <si>
    <t>02/07/2018</t>
  </si>
  <si>
    <t>01/12/2020</t>
  </si>
  <si>
    <t>17/07/2018</t>
  </si>
  <si>
    <t>01/09/2018</t>
  </si>
  <si>
    <t>09/09/2019</t>
  </si>
  <si>
    <t>05/09/2018</t>
  </si>
  <si>
    <t>06/09/2018</t>
  </si>
  <si>
    <t>18/09/2018</t>
  </si>
  <si>
    <t>01/10/2018</t>
  </si>
  <si>
    <t>11/10/2018</t>
  </si>
  <si>
    <t>07/08/2006</t>
  </si>
  <si>
    <t>18/01/2019</t>
  </si>
  <si>
    <t>05/02/2019</t>
  </si>
  <si>
    <t>07/02/2019</t>
  </si>
  <si>
    <t>20/02/2019</t>
  </si>
  <si>
    <t>15/02/2019</t>
  </si>
  <si>
    <t>07/03/2019</t>
  </si>
  <si>
    <t>05/04/2019</t>
  </si>
  <si>
    <t>10/04/2019</t>
  </si>
  <si>
    <t>20/05/2019</t>
  </si>
  <si>
    <t>07/06/2019</t>
  </si>
  <si>
    <t>30/05/2019</t>
  </si>
  <si>
    <t>27/06/2019</t>
  </si>
  <si>
    <t>11/07/2019</t>
  </si>
  <si>
    <t>22/08/2019</t>
  </si>
  <si>
    <t>26/08/2019</t>
  </si>
  <si>
    <t>05/09/2019</t>
  </si>
  <si>
    <t>17/09/2019</t>
  </si>
  <si>
    <t>02/10/2019</t>
  </si>
  <si>
    <t>07/10/2019</t>
  </si>
  <si>
    <t>08/01/2020</t>
  </si>
  <si>
    <t>27/01/2020</t>
  </si>
  <si>
    <t>04/02/2020</t>
  </si>
  <si>
    <t>29/01/2020</t>
  </si>
  <si>
    <t>19/02/2020</t>
  </si>
  <si>
    <t>04/03/2020</t>
  </si>
  <si>
    <t>13/03/2020</t>
  </si>
  <si>
    <t>16/06/2020</t>
  </si>
  <si>
    <t>09/07/2020</t>
  </si>
  <si>
    <t>21/07/2020</t>
  </si>
  <si>
    <t>30/07/2020</t>
  </si>
  <si>
    <t>04/08/2020</t>
  </si>
  <si>
    <t>12/08/2020</t>
  </si>
  <si>
    <t>20/08/2020</t>
  </si>
  <si>
    <t>22/10/2020</t>
  </si>
  <si>
    <t>28/10/2020</t>
  </si>
  <si>
    <t>19/11/2020</t>
  </si>
  <si>
    <t>26/11/2020</t>
  </si>
  <si>
    <t>14/12/2020</t>
  </si>
  <si>
    <t>01/03/2014</t>
  </si>
  <si>
    <t>01/02/2017</t>
  </si>
  <si>
    <t>Salario integrado</t>
  </si>
  <si>
    <t>Año de Inscripción al IMSS</t>
  </si>
  <si>
    <t>Edad</t>
  </si>
  <si>
    <t>Antigüedad</t>
  </si>
  <si>
    <t>Años faltantes</t>
  </si>
  <si>
    <t>UMA Proyectada</t>
  </si>
  <si>
    <t>SI proyectado</t>
  </si>
  <si>
    <t>SBC</t>
  </si>
  <si>
    <t>SMG Proyectado</t>
  </si>
  <si>
    <t>Proporción</t>
  </si>
  <si>
    <t>Cuantía Básica</t>
  </si>
  <si>
    <t>Incremento Anual</t>
  </si>
  <si>
    <t>Pensión</t>
  </si>
  <si>
    <t>Tasa Reemplazo</t>
  </si>
  <si>
    <t>Fecha de nacimiento corregida</t>
  </si>
  <si>
    <t>AÑO DE INSCRIPCION AL SS</t>
  </si>
  <si>
    <t>REGIMEN DE PENSION</t>
  </si>
  <si>
    <t>Cuantía</t>
  </si>
  <si>
    <t>Límite inf</t>
  </si>
  <si>
    <t>Límite Sup</t>
  </si>
  <si>
    <t>Salario inicial</t>
  </si>
  <si>
    <t>SI a edad de retiro</t>
  </si>
  <si>
    <t>Tasa de reemplazo</t>
  </si>
  <si>
    <t>Fecha de Nacimiento  Corregida (dd/mm/aaaa)</t>
  </si>
  <si>
    <t>Semanas cotizadas</t>
  </si>
  <si>
    <t>Total de años cotizados</t>
  </si>
  <si>
    <t>Años cotizados (2022)</t>
  </si>
  <si>
    <t>Pensión mensual</t>
  </si>
  <si>
    <t>LEY 73</t>
  </si>
  <si>
    <t>EDAD</t>
  </si>
  <si>
    <t>UMA 2022</t>
  </si>
  <si>
    <t>Inc salarial</t>
  </si>
  <si>
    <t>Inflación</t>
  </si>
  <si>
    <t>SMG 2022</t>
  </si>
  <si>
    <t>SMG 2022 mensual</t>
  </si>
  <si>
    <t>Anualidad</t>
  </si>
  <si>
    <t>AFORE a edad de retiro</t>
  </si>
  <si>
    <t>SI 2022 PROMEDIO</t>
  </si>
  <si>
    <t>PROMEDIO DE TASA DE REEMPLAZO</t>
  </si>
  <si>
    <t>PROMEDIO TASA DE REEMPLAZO</t>
  </si>
  <si>
    <t>PROMEDIO  SI 2022</t>
  </si>
  <si>
    <t>SI corregido</t>
  </si>
  <si>
    <t>Grupo elegible</t>
  </si>
  <si>
    <t>j(6)</t>
  </si>
  <si>
    <t>i(6)</t>
  </si>
  <si>
    <t>i(6)/6</t>
  </si>
  <si>
    <t>j(6)/6</t>
  </si>
  <si>
    <t>i</t>
  </si>
  <si>
    <t>Requisitos de elegibilidad</t>
  </si>
  <si>
    <t>Servicios pensionables</t>
  </si>
  <si>
    <t>Años completos</t>
  </si>
  <si>
    <t>Salario</t>
  </si>
  <si>
    <t>Salario pensionable</t>
  </si>
  <si>
    <t>Salario promedio de los ultimos 3 años</t>
  </si>
  <si>
    <t>Monto del beneficio</t>
  </si>
  <si>
    <t>Objetivo</t>
  </si>
  <si>
    <t>Todos</t>
  </si>
  <si>
    <t>NR Promedio</t>
  </si>
  <si>
    <t>SALARIO PROMEDIO</t>
  </si>
  <si>
    <t>EDAD PROMEDIO</t>
  </si>
  <si>
    <t>Antiguëdad PROMEDIO</t>
  </si>
  <si>
    <t>CREDITO UNITARIO</t>
  </si>
  <si>
    <r>
      <rPr>
        <sz val="11"/>
        <color rgb="FFFF0000"/>
        <rFont val="Calibri"/>
        <family val="2"/>
        <scheme val="minor"/>
      </rPr>
      <t xml:space="preserve">Salida: </t>
    </r>
    <r>
      <rPr>
        <sz val="11"/>
        <rFont val="Calibri"/>
        <family val="2"/>
        <scheme val="minor"/>
      </rPr>
      <t>Edad 65</t>
    </r>
  </si>
  <si>
    <t>Fechas y condiciones del retiro</t>
  </si>
  <si>
    <t>NORMAL</t>
  </si>
  <si>
    <t>Formas y condiciones de pago</t>
  </si>
  <si>
    <t>Beneficios Adicionales</t>
  </si>
  <si>
    <t>Fallecimiento</t>
  </si>
  <si>
    <t>Se darán todo lo acumulado en la cuenta</t>
  </si>
  <si>
    <t>Financimiento</t>
  </si>
  <si>
    <t>Contributorio</t>
  </si>
  <si>
    <t>Años faltantes  promedio</t>
  </si>
  <si>
    <r>
      <rPr>
        <sz val="11"/>
        <color rgb="FFFF0000"/>
        <rFont val="Calibri"/>
        <family val="2"/>
        <scheme val="minor"/>
      </rPr>
      <t>Entrada</t>
    </r>
    <r>
      <rPr>
        <sz val="11"/>
        <color theme="1"/>
        <rFont val="Calibri"/>
        <family val="2"/>
        <scheme val="minor"/>
      </rPr>
      <t>: Personas con edad mayor o igual a 40 y con al menos 10  años de antigüedad</t>
    </r>
  </si>
  <si>
    <t>SBC(En este caso Salario Integral)</t>
  </si>
  <si>
    <t>Que los trabajadores alcancen una "tasa de reemplazo" de 1 considerando como tasa de remplazo:</t>
  </si>
  <si>
    <t>Si P&gt;=1 se dará máx{Indemnización legal/Anualidad,1%(Salario)Años }</t>
  </si>
  <si>
    <t>MODA DE LA EDAD</t>
  </si>
  <si>
    <t>Simulación</t>
  </si>
  <si>
    <t>AÑOS FALTANTE</t>
  </si>
  <si>
    <t>SBC PROMEDIO DE LOS ÚLTIMOS 3 AÑOS</t>
  </si>
  <si>
    <t xml:space="preserve">Entrada al plan de pensiones por cumplir requisitos de eligibilidad </t>
  </si>
  <si>
    <t>PROMEDIOS 2022</t>
  </si>
  <si>
    <t>i'</t>
  </si>
  <si>
    <t>Beneficio</t>
  </si>
  <si>
    <t>Monto acumulado a edad de retiro S</t>
  </si>
  <si>
    <t>Suma de pensiones</t>
  </si>
  <si>
    <r>
      <t xml:space="preserve">Sea </t>
    </r>
    <r>
      <rPr>
        <b/>
        <sz val="11"/>
        <color theme="1"/>
        <rFont val="Calibri"/>
        <family val="2"/>
        <scheme val="minor"/>
      </rPr>
      <t>P=</t>
    </r>
    <r>
      <rPr>
        <sz val="11"/>
        <color theme="1"/>
        <rFont val="Calibri"/>
        <family val="2"/>
        <scheme val="minor"/>
      </rPr>
      <t>(Pensión privada + pensión IMSS )/Salario pensionable</t>
    </r>
  </si>
  <si>
    <t>Pension IMSS</t>
  </si>
  <si>
    <t>ULTIMO SALARIO INTEGRADO</t>
  </si>
  <si>
    <t>"Tasa de reemplazo"</t>
  </si>
  <si>
    <t>[2.5%(Salario)Años + .5%Salario(años)]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</si>
</sst>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yyyy\-mm\-dd;@"/>
    <numFmt numFmtId="166" formatCode="&quot;$&quot;#,##0"/>
    <numFmt numFmtId="167" formatCode="0.0%"/>
    <numFmt numFmtId="168" formatCode="0.0000"/>
    <numFmt numFmtId="169" formatCode="_-* #,##0.000_-;\-* #,##0.000_-;_-* &quot;-&quot;?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name val="Calibri"/>
      <family val="2"/>
      <scheme val="minor"/>
    </font>
    <font>
      <b/>
      <u/>
      <sz val="10"/>
      <color indexed="62"/>
      <name val="Calibri"/>
      <family val="2"/>
      <scheme val="minor"/>
    </font>
    <font>
      <b/>
      <u/>
      <sz val="9"/>
      <color indexed="62"/>
      <name val="Calibri"/>
      <family val="2"/>
      <scheme val="minor"/>
    </font>
    <font>
      <sz val="9"/>
      <name val="Calibri"/>
      <family val="2"/>
      <scheme val="minor"/>
    </font>
    <font>
      <b/>
      <sz val="9"/>
      <color indexed="62"/>
      <name val="Calibri"/>
      <family val="2"/>
      <scheme val="minor"/>
    </font>
    <font>
      <b/>
      <u/>
      <sz val="12"/>
      <color indexed="62"/>
      <name val="Calibri"/>
      <family val="2"/>
      <scheme val="minor"/>
    </font>
    <font>
      <b/>
      <sz val="9"/>
      <color indexed="81"/>
      <name val="Tahoma"/>
      <family val="2"/>
    </font>
    <font>
      <b/>
      <sz val="8"/>
      <name val="Calibri"/>
      <family val="2"/>
      <scheme val="minor"/>
    </font>
    <font>
      <b/>
      <u/>
      <sz val="18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18"/>
      </bottom>
      <diagonal/>
    </border>
    <border>
      <left/>
      <right/>
      <top style="medium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49" fontId="3" fillId="0" borderId="1" xfId="2" applyNumberFormat="1" applyFont="1" applyBorder="1" applyAlignment="1">
      <alignment vertical="center"/>
    </xf>
    <xf numFmtId="0" fontId="4" fillId="0" borderId="2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/>
    </xf>
    <xf numFmtId="14" fontId="4" fillId="0" borderId="2" xfId="2" applyNumberFormat="1" applyFont="1" applyBorder="1" applyAlignment="1">
      <alignment horizontal="center" vertical="center" wrapText="1"/>
    </xf>
    <xf numFmtId="164" fontId="4" fillId="0" borderId="2" xfId="2" applyNumberFormat="1" applyFont="1" applyBorder="1" applyAlignment="1">
      <alignment horizontal="center" vertical="center" wrapText="1"/>
    </xf>
    <xf numFmtId="43" fontId="3" fillId="0" borderId="3" xfId="1" applyFont="1" applyBorder="1" applyAlignment="1">
      <alignment horizontal="center" vertical="center"/>
    </xf>
    <xf numFmtId="49" fontId="3" fillId="0" borderId="0" xfId="2" applyNumberFormat="1" applyFont="1" applyAlignment="1">
      <alignment vertical="center"/>
    </xf>
    <xf numFmtId="49" fontId="5" fillId="0" borderId="1" xfId="2" applyNumberFormat="1" applyFont="1" applyBorder="1" applyAlignment="1">
      <alignment vertical="center"/>
    </xf>
    <xf numFmtId="0" fontId="3" fillId="0" borderId="0" xfId="2" applyFont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4" xfId="2" applyFont="1" applyBorder="1" applyAlignment="1">
      <alignment vertical="center" wrapText="1"/>
    </xf>
    <xf numFmtId="164" fontId="4" fillId="0" borderId="5" xfId="2" applyNumberFormat="1" applyFont="1" applyBorder="1" applyAlignment="1">
      <alignment horizontal="center" vertical="center" wrapText="1"/>
    </xf>
    <xf numFmtId="0" fontId="3" fillId="2" borderId="0" xfId="2" applyFont="1" applyFill="1" applyAlignment="1">
      <alignment vertical="center" wrapText="1"/>
    </xf>
    <xf numFmtId="0" fontId="3" fillId="0" borderId="0" xfId="2" applyFont="1" applyAlignment="1">
      <alignment vertical="center" wrapText="1"/>
    </xf>
    <xf numFmtId="49" fontId="3" fillId="0" borderId="4" xfId="2" applyNumberFormat="1" applyFont="1" applyBorder="1" applyAlignment="1">
      <alignment vertical="center"/>
    </xf>
    <xf numFmtId="0" fontId="3" fillId="0" borderId="3" xfId="2" applyFont="1" applyBorder="1" applyAlignment="1">
      <alignment horizontal="left" vertical="center"/>
    </xf>
    <xf numFmtId="165" fontId="3" fillId="0" borderId="3" xfId="2" applyNumberFormat="1" applyFont="1" applyBorder="1" applyAlignment="1">
      <alignment horizontal="center" vertical="center"/>
    </xf>
    <xf numFmtId="166" fontId="3" fillId="0" borderId="5" xfId="2" applyNumberFormat="1" applyFont="1" applyBorder="1" applyAlignment="1">
      <alignment vertical="center"/>
    </xf>
    <xf numFmtId="14" fontId="3" fillId="0" borderId="3" xfId="2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0" borderId="3" xfId="2" applyNumberFormat="1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14" fontId="3" fillId="0" borderId="0" xfId="2" applyNumberFormat="1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166" fontId="3" fillId="0" borderId="0" xfId="2" applyNumberFormat="1" applyFont="1" applyAlignment="1">
      <alignment vertical="center"/>
    </xf>
    <xf numFmtId="49" fontId="3" fillId="0" borderId="6" xfId="2" applyNumberFormat="1" applyFont="1" applyBorder="1" applyAlignment="1">
      <alignment vertical="center"/>
    </xf>
    <xf numFmtId="0" fontId="3" fillId="0" borderId="6" xfId="2" applyFont="1" applyBorder="1" applyAlignment="1">
      <alignment horizontal="center" vertical="center"/>
    </xf>
    <xf numFmtId="14" fontId="3" fillId="0" borderId="6" xfId="2" applyNumberFormat="1" applyFont="1" applyBorder="1" applyAlignment="1">
      <alignment horizontal="center" vertical="center"/>
    </xf>
    <xf numFmtId="164" fontId="3" fillId="0" borderId="6" xfId="2" applyNumberFormat="1" applyFont="1" applyBorder="1" applyAlignment="1">
      <alignment horizontal="center" vertical="center"/>
    </xf>
    <xf numFmtId="0" fontId="3" fillId="2" borderId="0" xfId="2" applyFont="1" applyFill="1"/>
    <xf numFmtId="0" fontId="3" fillId="0" borderId="0" xfId="2" applyFont="1"/>
    <xf numFmtId="49" fontId="3" fillId="0" borderId="7" xfId="2" applyNumberFormat="1" applyFont="1" applyBorder="1" applyAlignment="1">
      <alignment vertical="center"/>
    </xf>
    <xf numFmtId="49" fontId="3" fillId="0" borderId="0" xfId="2" applyNumberFormat="1" applyFont="1" applyAlignment="1">
      <alignment horizontal="center" vertical="center"/>
    </xf>
    <xf numFmtId="0" fontId="6" fillId="0" borderId="0" xfId="2" applyFont="1" applyAlignment="1">
      <alignment vertical="center"/>
    </xf>
    <xf numFmtId="0" fontId="7" fillId="0" borderId="0" xfId="2" applyFont="1" applyAlignment="1">
      <alignment horizontal="left" vertical="center" wrapText="1"/>
    </xf>
    <xf numFmtId="0" fontId="8" fillId="2" borderId="0" xfId="2" applyFont="1" applyFill="1"/>
    <xf numFmtId="0" fontId="8" fillId="0" borderId="0" xfId="2" applyFont="1"/>
    <xf numFmtId="0" fontId="8" fillId="0" borderId="0" xfId="2" applyFont="1" applyAlignment="1">
      <alignment horizontal="justify" vertical="center" wrapText="1"/>
    </xf>
    <xf numFmtId="0" fontId="9" fillId="0" borderId="0" xfId="2" applyFont="1" applyAlignment="1">
      <alignment horizontal="left" vertical="center" wrapText="1"/>
    </xf>
    <xf numFmtId="0" fontId="10" fillId="0" borderId="0" xfId="2" applyFont="1" applyAlignment="1">
      <alignment horizontal="center" vertical="center" wrapText="1"/>
    </xf>
    <xf numFmtId="0" fontId="3" fillId="0" borderId="0" xfId="2" applyFont="1" applyAlignment="1">
      <alignment horizontal="justify" vertical="center" wrapText="1"/>
    </xf>
    <xf numFmtId="0" fontId="3" fillId="2" borderId="0" xfId="2" applyFont="1" applyFill="1" applyAlignment="1">
      <alignment horizontal="center" vertical="center"/>
    </xf>
    <xf numFmtId="14" fontId="3" fillId="2" borderId="0" xfId="2" applyNumberFormat="1" applyFont="1" applyFill="1" applyAlignment="1">
      <alignment horizontal="center" vertical="center"/>
    </xf>
    <xf numFmtId="164" fontId="3" fillId="2" borderId="0" xfId="2" applyNumberFormat="1" applyFont="1" applyFill="1" applyAlignment="1">
      <alignment horizontal="center" vertical="center"/>
    </xf>
    <xf numFmtId="49" fontId="3" fillId="2" borderId="0" xfId="2" applyNumberFormat="1" applyFont="1" applyFill="1" applyAlignment="1">
      <alignment vertical="center"/>
    </xf>
    <xf numFmtId="49" fontId="3" fillId="3" borderId="4" xfId="2" applyNumberFormat="1" applyFont="1" applyFill="1" applyBorder="1" applyAlignment="1">
      <alignment vertical="center"/>
    </xf>
    <xf numFmtId="0" fontId="3" fillId="3" borderId="3" xfId="2" applyFont="1" applyFill="1" applyBorder="1" applyAlignment="1">
      <alignment horizontal="center" vertical="center"/>
    </xf>
    <xf numFmtId="43" fontId="3" fillId="3" borderId="3" xfId="1" applyFont="1" applyFill="1" applyBorder="1" applyAlignment="1">
      <alignment horizontal="center" vertical="center"/>
    </xf>
    <xf numFmtId="166" fontId="3" fillId="3" borderId="5" xfId="2" applyNumberFormat="1" applyFont="1" applyFill="1" applyBorder="1" applyAlignment="1">
      <alignment vertical="center"/>
    </xf>
    <xf numFmtId="0" fontId="3" fillId="3" borderId="0" xfId="2" applyFont="1" applyFill="1" applyAlignment="1">
      <alignment vertical="center"/>
    </xf>
    <xf numFmtId="43" fontId="3" fillId="0" borderId="0" xfId="1" applyFont="1" applyAlignment="1">
      <alignment horizontal="center" vertical="center"/>
    </xf>
    <xf numFmtId="0" fontId="3" fillId="4" borderId="3" xfId="2" applyFont="1" applyFill="1" applyBorder="1" applyAlignment="1">
      <alignment horizontal="center" vertical="center"/>
    </xf>
    <xf numFmtId="0" fontId="3" fillId="4" borderId="3" xfId="2" applyFont="1" applyFill="1" applyBorder="1" applyAlignment="1">
      <alignment horizontal="left" vertical="center"/>
    </xf>
    <xf numFmtId="14" fontId="3" fillId="4" borderId="3" xfId="2" applyNumberFormat="1" applyFont="1" applyFill="1" applyBorder="1" applyAlignment="1">
      <alignment horizontal="center" vertical="center"/>
    </xf>
    <xf numFmtId="43" fontId="3" fillId="4" borderId="3" xfId="1" applyFont="1" applyFill="1" applyBorder="1" applyAlignment="1">
      <alignment horizontal="center" vertical="center"/>
    </xf>
    <xf numFmtId="43" fontId="3" fillId="0" borderId="3" xfId="1" applyFont="1" applyFill="1" applyBorder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 wrapText="1"/>
    </xf>
    <xf numFmtId="164" fontId="12" fillId="0" borderId="0" xfId="0" applyNumberFormat="1" applyFont="1" applyAlignment="1">
      <alignment horizontal="left" vertical="top"/>
    </xf>
    <xf numFmtId="164" fontId="4" fillId="0" borderId="0" xfId="0" applyNumberFormat="1" applyFont="1" applyAlignment="1">
      <alignment horizontal="left" vertical="center"/>
    </xf>
    <xf numFmtId="0" fontId="7" fillId="0" borderId="0" xfId="2" applyFont="1" applyAlignment="1">
      <alignment vertical="center"/>
    </xf>
    <xf numFmtId="0" fontId="7" fillId="0" borderId="0" xfId="2" applyFont="1" applyAlignment="1">
      <alignment vertical="center" wrapText="1"/>
    </xf>
    <xf numFmtId="43" fontId="3" fillId="0" borderId="3" xfId="2" applyNumberFormat="1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8" xfId="2" applyFont="1" applyBorder="1" applyAlignment="1">
      <alignment horizontal="right" vertical="center"/>
    </xf>
    <xf numFmtId="0" fontId="3" fillId="0" borderId="3" xfId="2" applyFont="1" applyBorder="1" applyAlignment="1">
      <alignment horizontal="right" vertical="center"/>
    </xf>
    <xf numFmtId="43" fontId="0" fillId="0" borderId="0" xfId="0" applyNumberFormat="1"/>
    <xf numFmtId="0" fontId="0" fillId="0" borderId="0" xfId="3" applyNumberFormat="1" applyFont="1"/>
    <xf numFmtId="0" fontId="0" fillId="0" borderId="3" xfId="0" applyBorder="1" applyAlignment="1">
      <alignment horizontal="center"/>
    </xf>
    <xf numFmtId="164" fontId="14" fillId="0" borderId="2" xfId="2" applyNumberFormat="1" applyFont="1" applyBorder="1" applyAlignment="1">
      <alignment horizontal="center" vertical="center" wrapText="1"/>
    </xf>
    <xf numFmtId="0" fontId="14" fillId="0" borderId="2" xfId="2" applyFont="1" applyBorder="1" applyAlignment="1">
      <alignment horizontal="center" vertical="center" wrapText="1"/>
    </xf>
    <xf numFmtId="164" fontId="14" fillId="0" borderId="0" xfId="2" applyNumberFormat="1" applyFont="1" applyAlignment="1">
      <alignment horizontal="center" vertical="center" wrapText="1"/>
    </xf>
    <xf numFmtId="164" fontId="4" fillId="0" borderId="3" xfId="2" applyNumberFormat="1" applyFont="1" applyBorder="1" applyAlignment="1">
      <alignment horizontal="center" vertical="center" wrapText="1"/>
    </xf>
    <xf numFmtId="10" fontId="4" fillId="0" borderId="3" xfId="3" applyNumberFormat="1" applyFont="1" applyFill="1" applyBorder="1" applyAlignment="1">
      <alignment horizontal="center" vertical="center" wrapText="1"/>
    </xf>
    <xf numFmtId="10" fontId="0" fillId="0" borderId="0" xfId="3" applyNumberFormat="1" applyFont="1"/>
    <xf numFmtId="164" fontId="4" fillId="0" borderId="2" xfId="2" applyNumberFormat="1" applyFont="1" applyBorder="1" applyAlignment="1">
      <alignment horizontal="center" vertical="center"/>
    </xf>
    <xf numFmtId="1" fontId="3" fillId="0" borderId="8" xfId="2" applyNumberFormat="1" applyFont="1" applyBorder="1" applyAlignment="1">
      <alignment horizontal="right" vertical="center"/>
    </xf>
    <xf numFmtId="1" fontId="0" fillId="0" borderId="0" xfId="0" applyNumberFormat="1"/>
    <xf numFmtId="3" fontId="0" fillId="0" borderId="0" xfId="0" applyNumberFormat="1"/>
    <xf numFmtId="0" fontId="15" fillId="0" borderId="0" xfId="0" applyFont="1"/>
    <xf numFmtId="9" fontId="0" fillId="0" borderId="0" xfId="3" applyFont="1"/>
    <xf numFmtId="9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0" applyNumberFormat="1"/>
    <xf numFmtId="44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4" fontId="0" fillId="0" borderId="0" xfId="0" applyNumberFormat="1"/>
  </cellXfs>
  <cellStyles count="4">
    <cellStyle name="Millares" xfId="1" builtinId="3"/>
    <cellStyle name="Normal" xfId="0" builtinId="0"/>
    <cellStyle name="Normal 2 2" xfId="2" xr:uid="{EAC555A8-0825-415D-A9E4-B63067589561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halactuarioscom-my.sharepoint.com/Users/Tania/AppData/Local/Microsoft/Windows/Temporary%20Internet%20Files/Content.Outlook/28Z2ZPSB/Formato_propues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halactuarioscom-my.sharepoint.com/Users/sanches/AppData/Local/Temp/notes3924AD/Formato_propues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halactuarioscom-my.sharepoint.com/Users/JosephEdgar/Desktop/Joseph%20Franco/Client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thalactuarioscom-my.sharepoint.com/Documents%20and%20Settings/Carlos%20Llanas/Mis%20documentos/Carlos%20Llanas%20V&#225;zquez/Registros/Directorio%20de%20Clientes/Clientes%20Carlos%20LLana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S_11-08"/>
      <sheetName val="Nathal"/>
      <sheetName val="AMAC"/>
      <sheetName val="Nathal 2009"/>
      <sheetName val="AMAC 2009"/>
      <sheetName val="P"/>
      <sheetName val="INF"/>
      <sheetName val="PAR"/>
      <sheetName val="FAX"/>
      <sheetName val="PROP"/>
      <sheetName val="ACTIVOS"/>
      <sheetName val="PAGOS"/>
      <sheetName val="BAJAS"/>
      <sheetName val="EXPERI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IENTES_11-08"/>
      <sheetName val="Nathal"/>
      <sheetName val="AMAC"/>
      <sheetName val="Nathal 2009"/>
      <sheetName val="AMAC 2009"/>
      <sheetName val="P"/>
      <sheetName val="INF"/>
      <sheetName val="PAR"/>
      <sheetName val="FAX"/>
      <sheetName val="PROP"/>
      <sheetName val="ACTIVOS"/>
      <sheetName val="PAGOS"/>
      <sheetName val="BAJAS"/>
      <sheetName val="EXPERIENCI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ontrol"/>
      <sheetName val="Hoja de Control"/>
      <sheetName val="Hoja de Control (2)"/>
      <sheetName val="Hoja4"/>
      <sheetName val="Hoja1"/>
      <sheetName val="PA+IL (NIF D-3)"/>
      <sheetName val="PA+IL (IAS-19)"/>
      <sheetName val="Activos"/>
      <sheetName val="Bajas"/>
      <sheetName val="Etiquetas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RA"/>
      <sheetName val="CLIENTES_NATHAL"/>
      <sheetName val="CLIENTES"/>
      <sheetName val="CLIENTES(INACT)"/>
      <sheetName val="FACT2006"/>
      <sheetName val="FACT2007"/>
      <sheetName val="CLIENTES_CLV"/>
      <sheetName val="CLIENTES_CLV(INACT)"/>
      <sheetName val="CLIENTES_CLV(FLUJO)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nathalactuario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6E1E-DB37-436A-89F0-3EF2A5C37AA2}">
  <dimension ref="A1:DX982"/>
  <sheetViews>
    <sheetView showGridLines="0" zoomScale="75" zoomScaleNormal="75" zoomScaleSheetLayoutView="100" workbookViewId="0">
      <pane xSplit="2" ySplit="2" topLeftCell="C903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B3" sqref="B3:B916"/>
    </sheetView>
  </sheetViews>
  <sheetFormatPr baseColWidth="10" defaultColWidth="11.453125" defaultRowHeight="0" customHeight="1" zeroHeight="1" x14ac:dyDescent="0.35"/>
  <cols>
    <col min="1" max="1" width="1.6328125" style="7" customWidth="1"/>
    <col min="2" max="2" width="18.54296875" style="22" customWidth="1"/>
    <col min="3" max="3" width="20.08984375" style="22" customWidth="1"/>
    <col min="4" max="4" width="8.08984375" style="22" customWidth="1"/>
    <col min="5" max="5" width="19.6328125" style="22" bestFit="1" customWidth="1"/>
    <col min="6" max="6" width="18.08984375" style="23" customWidth="1"/>
    <col min="7" max="7" width="18.54296875" style="23" customWidth="1"/>
    <col min="8" max="8" width="37.453125" style="24" customWidth="1"/>
    <col min="9" max="16" width="42.6328125" style="10" customWidth="1"/>
    <col min="17" max="20" width="42.6328125" style="9" customWidth="1"/>
    <col min="21" max="28" width="20.08984375" style="9" customWidth="1"/>
    <col min="29" max="33" width="6.08984375" style="9" customWidth="1"/>
    <col min="34" max="35" width="11.453125" style="9" customWidth="1"/>
    <col min="36" max="16384" width="11.453125" style="9"/>
  </cols>
  <sheetData>
    <row r="1" spans="1:16" ht="91.5" customHeight="1" x14ac:dyDescent="0.35">
      <c r="B1" s="1"/>
      <c r="C1" s="8"/>
      <c r="D1" s="1"/>
      <c r="E1" s="1"/>
      <c r="F1" s="1"/>
      <c r="G1" s="1"/>
      <c r="H1" s="7"/>
    </row>
    <row r="2" spans="1:16" s="14" customFormat="1" ht="79.5" customHeight="1" x14ac:dyDescent="0.35">
      <c r="A2" s="11"/>
      <c r="B2" s="2" t="s">
        <v>0</v>
      </c>
      <c r="C2" s="2" t="s">
        <v>2548</v>
      </c>
      <c r="D2" s="2" t="s">
        <v>859</v>
      </c>
      <c r="E2" s="2" t="s">
        <v>1689</v>
      </c>
      <c r="F2" s="4" t="s">
        <v>862</v>
      </c>
      <c r="G2" s="4" t="s">
        <v>3407</v>
      </c>
      <c r="H2" s="5" t="s">
        <v>6301</v>
      </c>
      <c r="I2" s="13"/>
      <c r="J2" s="13"/>
      <c r="K2" s="13"/>
      <c r="L2" s="13"/>
      <c r="M2" s="13"/>
      <c r="N2" s="13"/>
      <c r="O2" s="13"/>
      <c r="P2" s="13"/>
    </row>
    <row r="3" spans="1:16" ht="15.75" customHeight="1" x14ac:dyDescent="0.35">
      <c r="A3" s="15"/>
      <c r="B3" s="3" t="s">
        <v>1</v>
      </c>
      <c r="C3" s="16" t="s">
        <v>2549</v>
      </c>
      <c r="D3" s="17" t="s">
        <v>860</v>
      </c>
      <c r="E3" s="16" t="s">
        <v>1690</v>
      </c>
      <c r="F3" s="17" t="s">
        <v>863</v>
      </c>
      <c r="G3" s="3" t="s">
        <v>3408</v>
      </c>
      <c r="H3" s="6">
        <v>214815.915048</v>
      </c>
    </row>
    <row r="4" spans="1:16" ht="15.75" customHeight="1" x14ac:dyDescent="0.35">
      <c r="A4" s="15"/>
      <c r="B4" s="3" t="s">
        <v>2</v>
      </c>
      <c r="C4" s="16" t="s">
        <v>2550</v>
      </c>
      <c r="D4" s="17" t="s">
        <v>860</v>
      </c>
      <c r="E4" s="16" t="s">
        <v>1691</v>
      </c>
      <c r="F4" s="17" t="s">
        <v>864</v>
      </c>
      <c r="G4" s="3" t="s">
        <v>3409</v>
      </c>
      <c r="H4" s="6">
        <v>16009.248</v>
      </c>
    </row>
    <row r="5" spans="1:16" ht="15.75" customHeight="1" x14ac:dyDescent="0.35">
      <c r="A5" s="15"/>
      <c r="B5" s="3" t="s">
        <v>3</v>
      </c>
      <c r="C5" s="16" t="s">
        <v>2551</v>
      </c>
      <c r="D5" s="17" t="s">
        <v>860</v>
      </c>
      <c r="E5" s="16" t="s">
        <v>1692</v>
      </c>
      <c r="F5" s="17" t="s">
        <v>865</v>
      </c>
      <c r="G5" s="3" t="s">
        <v>3410</v>
      </c>
      <c r="H5" s="6">
        <v>20168.576000000001</v>
      </c>
    </row>
    <row r="6" spans="1:16" ht="15.75" customHeight="1" x14ac:dyDescent="0.35">
      <c r="A6" s="15"/>
      <c r="B6" s="3" t="s">
        <v>4</v>
      </c>
      <c r="C6" s="16" t="s">
        <v>2552</v>
      </c>
      <c r="D6" s="17" t="s">
        <v>861</v>
      </c>
      <c r="E6" s="16" t="s">
        <v>1693</v>
      </c>
      <c r="F6" s="17" t="s">
        <v>866</v>
      </c>
      <c r="G6" s="3" t="s">
        <v>3411</v>
      </c>
      <c r="H6" s="6">
        <v>11524.335999999999</v>
      </c>
    </row>
    <row r="7" spans="1:16" ht="15.75" customHeight="1" x14ac:dyDescent="0.35">
      <c r="A7" s="15"/>
      <c r="B7" s="3" t="s">
        <v>5</v>
      </c>
      <c r="C7" s="16" t="s">
        <v>2553</v>
      </c>
      <c r="D7" s="17" t="s">
        <v>861</v>
      </c>
      <c r="E7" s="16" t="s">
        <v>1694</v>
      </c>
      <c r="F7" s="17" t="s">
        <v>867</v>
      </c>
      <c r="G7" s="3" t="s">
        <v>3412</v>
      </c>
      <c r="H7" s="6">
        <v>12877.44</v>
      </c>
    </row>
    <row r="8" spans="1:16" ht="15.75" customHeight="1" x14ac:dyDescent="0.35">
      <c r="A8" s="15"/>
      <c r="B8" s="3" t="s">
        <v>6</v>
      </c>
      <c r="C8" s="16" t="s">
        <v>2554</v>
      </c>
      <c r="D8" s="17" t="s">
        <v>861</v>
      </c>
      <c r="E8" s="16" t="s">
        <v>1695</v>
      </c>
      <c r="F8" s="17" t="s">
        <v>868</v>
      </c>
      <c r="G8" s="3" t="s">
        <v>3413</v>
      </c>
      <c r="H8" s="6">
        <v>44069.36</v>
      </c>
    </row>
    <row r="9" spans="1:16" ht="15.75" customHeight="1" x14ac:dyDescent="0.35">
      <c r="A9" s="15"/>
      <c r="B9" s="3" t="s">
        <v>8</v>
      </c>
      <c r="C9" s="16" t="s">
        <v>2556</v>
      </c>
      <c r="D9" s="17" t="s">
        <v>860</v>
      </c>
      <c r="E9" s="16" t="s">
        <v>1697</v>
      </c>
      <c r="F9" s="17" t="s">
        <v>870</v>
      </c>
      <c r="G9" s="3" t="s">
        <v>3414</v>
      </c>
      <c r="H9" s="6">
        <v>17722.896000000001</v>
      </c>
    </row>
    <row r="10" spans="1:16" ht="15.75" customHeight="1" x14ac:dyDescent="0.35">
      <c r="A10" s="15"/>
      <c r="B10" s="3" t="s">
        <v>10</v>
      </c>
      <c r="C10" s="16" t="s">
        <v>2558</v>
      </c>
      <c r="D10" s="17" t="s">
        <v>861</v>
      </c>
      <c r="E10" s="16" t="s">
        <v>1699</v>
      </c>
      <c r="F10" s="17" t="s">
        <v>872</v>
      </c>
      <c r="G10" s="3" t="s">
        <v>3415</v>
      </c>
      <c r="H10" s="6">
        <v>88054.894910293326</v>
      </c>
    </row>
    <row r="11" spans="1:16" ht="15.75" customHeight="1" x14ac:dyDescent="0.35">
      <c r="A11" s="15"/>
      <c r="B11" s="3" t="s">
        <v>11</v>
      </c>
      <c r="C11" s="16" t="s">
        <v>2559</v>
      </c>
      <c r="D11" s="17" t="s">
        <v>861</v>
      </c>
      <c r="E11" s="16" t="s">
        <v>1700</v>
      </c>
      <c r="F11" s="17" t="s">
        <v>873</v>
      </c>
      <c r="G11" s="3" t="s">
        <v>3416</v>
      </c>
      <c r="H11" s="6">
        <v>29757.647999999997</v>
      </c>
    </row>
    <row r="12" spans="1:16" ht="15.75" customHeight="1" x14ac:dyDescent="0.35">
      <c r="A12" s="15"/>
      <c r="B12" s="3" t="s">
        <v>13</v>
      </c>
      <c r="C12" s="16" t="s">
        <v>2561</v>
      </c>
      <c r="D12" s="17" t="s">
        <v>860</v>
      </c>
      <c r="E12" s="16" t="s">
        <v>1702</v>
      </c>
      <c r="F12" s="17" t="s">
        <v>875</v>
      </c>
      <c r="G12" s="3" t="s">
        <v>3417</v>
      </c>
      <c r="H12" s="6">
        <v>56417.231999999996</v>
      </c>
    </row>
    <row r="13" spans="1:16" ht="15.75" customHeight="1" x14ac:dyDescent="0.35">
      <c r="A13" s="15"/>
      <c r="B13" s="3" t="s">
        <v>14</v>
      </c>
      <c r="C13" s="16" t="s">
        <v>2562</v>
      </c>
      <c r="D13" s="17" t="s">
        <v>861</v>
      </c>
      <c r="E13" s="16" t="s">
        <v>1703</v>
      </c>
      <c r="F13" s="17" t="s">
        <v>876</v>
      </c>
      <c r="G13" s="3" t="s">
        <v>3418</v>
      </c>
      <c r="H13" s="6">
        <v>24313.007999999998</v>
      </c>
    </row>
    <row r="14" spans="1:16" ht="15.75" customHeight="1" x14ac:dyDescent="0.35">
      <c r="A14" s="15"/>
      <c r="B14" s="3" t="s">
        <v>15</v>
      </c>
      <c r="C14" s="16" t="s">
        <v>2563</v>
      </c>
      <c r="D14" s="17" t="s">
        <v>861</v>
      </c>
      <c r="E14" s="16" t="s">
        <v>1704</v>
      </c>
      <c r="F14" s="17" t="s">
        <v>877</v>
      </c>
      <c r="G14" s="3" t="s">
        <v>3418</v>
      </c>
      <c r="H14" s="6">
        <v>17233.455999999998</v>
      </c>
    </row>
    <row r="15" spans="1:16" ht="15.75" customHeight="1" x14ac:dyDescent="0.35">
      <c r="A15" s="15"/>
      <c r="B15" s="3" t="s">
        <v>17</v>
      </c>
      <c r="C15" s="16" t="s">
        <v>2565</v>
      </c>
      <c r="D15" s="17" t="s">
        <v>861</v>
      </c>
      <c r="E15" s="16" t="s">
        <v>1706</v>
      </c>
      <c r="F15" s="17" t="s">
        <v>879</v>
      </c>
      <c r="G15" s="3" t="s">
        <v>3419</v>
      </c>
      <c r="H15" s="6">
        <v>24767.791999999998</v>
      </c>
    </row>
    <row r="16" spans="1:16" ht="15.75" customHeight="1" x14ac:dyDescent="0.35">
      <c r="A16" s="15"/>
      <c r="B16" s="3" t="s">
        <v>18</v>
      </c>
      <c r="C16" s="16" t="s">
        <v>2566</v>
      </c>
      <c r="D16" s="17" t="s">
        <v>860</v>
      </c>
      <c r="E16" s="16" t="s">
        <v>1707</v>
      </c>
      <c r="F16" s="17" t="s">
        <v>880</v>
      </c>
      <c r="G16" s="3" t="s">
        <v>3420</v>
      </c>
      <c r="H16" s="6">
        <v>16222.96</v>
      </c>
    </row>
    <row r="17" spans="1:8" ht="15.75" customHeight="1" x14ac:dyDescent="0.35">
      <c r="A17" s="15"/>
      <c r="B17" s="3" t="s">
        <v>19</v>
      </c>
      <c r="C17" s="16" t="s">
        <v>2567</v>
      </c>
      <c r="D17" s="17" t="s">
        <v>861</v>
      </c>
      <c r="E17" s="16" t="s">
        <v>1708</v>
      </c>
      <c r="F17" s="17" t="s">
        <v>881</v>
      </c>
      <c r="G17" s="3" t="s">
        <v>3421</v>
      </c>
      <c r="H17" s="6">
        <v>10638.48</v>
      </c>
    </row>
    <row r="18" spans="1:8" ht="15.75" customHeight="1" x14ac:dyDescent="0.35">
      <c r="A18" s="15"/>
      <c r="B18" s="3" t="s">
        <v>20</v>
      </c>
      <c r="C18" s="16" t="s">
        <v>2568</v>
      </c>
      <c r="D18" s="17" t="s">
        <v>861</v>
      </c>
      <c r="E18" s="16" t="s">
        <v>1709</v>
      </c>
      <c r="F18" s="17" t="s">
        <v>882</v>
      </c>
      <c r="G18" s="3" t="s">
        <v>3422</v>
      </c>
      <c r="H18" s="6">
        <v>16808.464</v>
      </c>
    </row>
    <row r="19" spans="1:8" ht="15.75" customHeight="1" x14ac:dyDescent="0.35">
      <c r="A19" s="15"/>
      <c r="B19" s="3" t="s">
        <v>21</v>
      </c>
      <c r="C19" s="16" t="s">
        <v>2569</v>
      </c>
      <c r="D19" s="17" t="s">
        <v>860</v>
      </c>
      <c r="E19" s="16" t="s">
        <v>1710</v>
      </c>
      <c r="F19" s="17" t="s">
        <v>883</v>
      </c>
      <c r="G19" s="3" t="s">
        <v>3423</v>
      </c>
      <c r="H19" s="6">
        <v>7569.5999999999995</v>
      </c>
    </row>
    <row r="20" spans="1:8" ht="15.75" customHeight="1" x14ac:dyDescent="0.35">
      <c r="A20" s="15"/>
      <c r="B20" s="3" t="s">
        <v>22</v>
      </c>
      <c r="C20" s="16" t="s">
        <v>2570</v>
      </c>
      <c r="D20" s="17" t="s">
        <v>860</v>
      </c>
      <c r="E20" s="16" t="s">
        <v>1711</v>
      </c>
      <c r="F20" s="17" t="s">
        <v>884</v>
      </c>
      <c r="G20" s="3" t="s">
        <v>3424</v>
      </c>
      <c r="H20" s="6">
        <v>50655.519999999997</v>
      </c>
    </row>
    <row r="21" spans="1:8" ht="15.75" customHeight="1" x14ac:dyDescent="0.35">
      <c r="A21" s="15"/>
      <c r="B21" s="3" t="s">
        <v>23</v>
      </c>
      <c r="C21" s="16" t="s">
        <v>2571</v>
      </c>
      <c r="D21" s="17" t="s">
        <v>861</v>
      </c>
      <c r="E21" s="16" t="s">
        <v>1712</v>
      </c>
      <c r="F21" s="17" t="s">
        <v>885</v>
      </c>
      <c r="G21" s="3" t="s">
        <v>3425</v>
      </c>
      <c r="H21" s="6">
        <v>9527.0559999999987</v>
      </c>
    </row>
    <row r="22" spans="1:8" ht="15.75" customHeight="1" x14ac:dyDescent="0.35">
      <c r="A22" s="15"/>
      <c r="B22" s="3" t="s">
        <v>25</v>
      </c>
      <c r="C22" s="16" t="s">
        <v>2573</v>
      </c>
      <c r="D22" s="17" t="s">
        <v>861</v>
      </c>
      <c r="E22" s="16" t="s">
        <v>1714</v>
      </c>
      <c r="F22" s="17" t="s">
        <v>887</v>
      </c>
      <c r="G22" s="3" t="s">
        <v>3426</v>
      </c>
      <c r="H22" s="6">
        <v>36482.431999999993</v>
      </c>
    </row>
    <row r="23" spans="1:8" ht="15.75" customHeight="1" x14ac:dyDescent="0.35">
      <c r="A23" s="15"/>
      <c r="B23" s="3" t="s">
        <v>26</v>
      </c>
      <c r="C23" s="16" t="s">
        <v>2574</v>
      </c>
      <c r="D23" s="17" t="s">
        <v>861</v>
      </c>
      <c r="E23" s="16" t="s">
        <v>1715</v>
      </c>
      <c r="F23" s="17" t="s">
        <v>888</v>
      </c>
      <c r="G23" s="3" t="s">
        <v>3427</v>
      </c>
      <c r="H23" s="6">
        <v>8663.6959999999999</v>
      </c>
    </row>
    <row r="24" spans="1:8" ht="15.75" customHeight="1" x14ac:dyDescent="0.35">
      <c r="A24" s="15"/>
      <c r="B24" s="3" t="s">
        <v>27</v>
      </c>
      <c r="C24" s="16" t="s">
        <v>2575</v>
      </c>
      <c r="D24" s="17" t="s">
        <v>860</v>
      </c>
      <c r="E24" s="16" t="s">
        <v>1716</v>
      </c>
      <c r="F24" s="17" t="s">
        <v>889</v>
      </c>
      <c r="G24" s="3" t="s">
        <v>3427</v>
      </c>
      <c r="H24" s="6">
        <v>6598.6239999999998</v>
      </c>
    </row>
    <row r="25" spans="1:8" ht="15.75" customHeight="1" x14ac:dyDescent="0.35">
      <c r="A25" s="15"/>
      <c r="B25" s="3" t="s">
        <v>28</v>
      </c>
      <c r="C25" s="16" t="s">
        <v>2576</v>
      </c>
      <c r="D25" s="17" t="s">
        <v>861</v>
      </c>
      <c r="E25" s="16" t="s">
        <v>1717</v>
      </c>
      <c r="F25" s="17" t="s">
        <v>890</v>
      </c>
      <c r="G25" s="3" t="s">
        <v>3428</v>
      </c>
      <c r="H25" s="6">
        <v>17375.12</v>
      </c>
    </row>
    <row r="26" spans="1:8" ht="15.75" customHeight="1" x14ac:dyDescent="0.35">
      <c r="A26" s="15"/>
      <c r="B26" s="3" t="s">
        <v>30</v>
      </c>
      <c r="C26" s="16" t="s">
        <v>2578</v>
      </c>
      <c r="D26" s="17" t="s">
        <v>861</v>
      </c>
      <c r="E26" s="16" t="s">
        <v>1719</v>
      </c>
      <c r="F26" s="17" t="s">
        <v>892</v>
      </c>
      <c r="G26" s="3" t="s">
        <v>3429</v>
      </c>
      <c r="H26" s="6">
        <v>68321.567999999999</v>
      </c>
    </row>
    <row r="27" spans="1:8" ht="15.75" customHeight="1" x14ac:dyDescent="0.35">
      <c r="A27" s="15"/>
      <c r="B27" s="3" t="s">
        <v>31</v>
      </c>
      <c r="C27" s="16" t="s">
        <v>2579</v>
      </c>
      <c r="D27" s="17" t="s">
        <v>861</v>
      </c>
      <c r="E27" s="16" t="s">
        <v>1720</v>
      </c>
      <c r="F27" s="17" t="s">
        <v>893</v>
      </c>
      <c r="G27" s="3" t="s">
        <v>3430</v>
      </c>
      <c r="H27" s="6">
        <v>16302.911999999998</v>
      </c>
    </row>
    <row r="28" spans="1:8" ht="15.75" customHeight="1" x14ac:dyDescent="0.35">
      <c r="A28" s="15"/>
      <c r="B28" s="3" t="s">
        <v>32</v>
      </c>
      <c r="C28" s="16" t="s">
        <v>2580</v>
      </c>
      <c r="D28" s="17" t="s">
        <v>861</v>
      </c>
      <c r="E28" s="16" t="s">
        <v>1721</v>
      </c>
      <c r="F28" s="17" t="s">
        <v>894</v>
      </c>
      <c r="G28" s="3" t="s">
        <v>3431</v>
      </c>
      <c r="H28" s="6">
        <v>8940.64</v>
      </c>
    </row>
    <row r="29" spans="1:8" ht="15.75" customHeight="1" x14ac:dyDescent="0.35">
      <c r="A29" s="15"/>
      <c r="B29" s="3" t="s">
        <v>33</v>
      </c>
      <c r="C29" s="16" t="s">
        <v>2581</v>
      </c>
      <c r="D29" s="17" t="s">
        <v>860</v>
      </c>
      <c r="E29" s="16" t="s">
        <v>1722</v>
      </c>
      <c r="F29" s="17" t="s">
        <v>895</v>
      </c>
      <c r="G29" s="3" t="s">
        <v>3432</v>
      </c>
      <c r="H29" s="6">
        <v>98035.246858666651</v>
      </c>
    </row>
    <row r="30" spans="1:8" ht="15.75" customHeight="1" x14ac:dyDescent="0.35">
      <c r="A30" s="15"/>
      <c r="B30" s="3" t="s">
        <v>34</v>
      </c>
      <c r="C30" s="16" t="s">
        <v>2582</v>
      </c>
      <c r="D30" s="17" t="s">
        <v>860</v>
      </c>
      <c r="E30" s="16" t="s">
        <v>1723</v>
      </c>
      <c r="F30" s="17" t="s">
        <v>896</v>
      </c>
      <c r="G30" s="3" t="s">
        <v>3433</v>
      </c>
      <c r="H30" s="6">
        <v>69430.255999999994</v>
      </c>
    </row>
    <row r="31" spans="1:8" ht="15.75" customHeight="1" x14ac:dyDescent="0.35">
      <c r="A31" s="15"/>
      <c r="B31" s="3" t="s">
        <v>35</v>
      </c>
      <c r="C31" s="16" t="s">
        <v>2583</v>
      </c>
      <c r="D31" s="17" t="s">
        <v>861</v>
      </c>
      <c r="E31" s="16" t="s">
        <v>1724</v>
      </c>
      <c r="F31" s="17" t="s">
        <v>897</v>
      </c>
      <c r="G31" s="3" t="s">
        <v>3434</v>
      </c>
      <c r="H31" s="6">
        <v>37577.135999999999</v>
      </c>
    </row>
    <row r="32" spans="1:8" ht="15.75" customHeight="1" x14ac:dyDescent="0.35">
      <c r="A32" s="15"/>
      <c r="B32" s="3" t="s">
        <v>3435</v>
      </c>
      <c r="C32" s="16" t="s">
        <v>3436</v>
      </c>
      <c r="D32" s="17" t="s">
        <v>861</v>
      </c>
      <c r="E32" s="16" t="s">
        <v>3437</v>
      </c>
      <c r="F32" s="17" t="s">
        <v>3438</v>
      </c>
      <c r="G32" s="3" t="s">
        <v>3439</v>
      </c>
      <c r="H32" s="6">
        <v>22029.967999999997</v>
      </c>
    </row>
    <row r="33" spans="1:8" ht="15.75" customHeight="1" x14ac:dyDescent="0.35">
      <c r="A33" s="15"/>
      <c r="B33" s="3" t="s">
        <v>37</v>
      </c>
      <c r="C33" s="16" t="s">
        <v>2585</v>
      </c>
      <c r="D33" s="17" t="s">
        <v>860</v>
      </c>
      <c r="E33" s="16" t="s">
        <v>1726</v>
      </c>
      <c r="F33" s="17" t="s">
        <v>899</v>
      </c>
      <c r="G33" s="3" t="s">
        <v>3440</v>
      </c>
      <c r="H33" s="6">
        <v>34279.952000000005</v>
      </c>
    </row>
    <row r="34" spans="1:8" ht="15.75" customHeight="1" x14ac:dyDescent="0.35">
      <c r="A34" s="15"/>
      <c r="B34" s="3" t="s">
        <v>38</v>
      </c>
      <c r="C34" s="16" t="s">
        <v>2586</v>
      </c>
      <c r="D34" s="17" t="s">
        <v>861</v>
      </c>
      <c r="E34" s="16" t="s">
        <v>1727</v>
      </c>
      <c r="F34" s="17" t="s">
        <v>900</v>
      </c>
      <c r="G34" s="3" t="s">
        <v>3441</v>
      </c>
      <c r="H34" s="6">
        <v>16053.936</v>
      </c>
    </row>
    <row r="35" spans="1:8" ht="15.75" customHeight="1" x14ac:dyDescent="0.35">
      <c r="A35" s="15"/>
      <c r="B35" s="3" t="s">
        <v>39</v>
      </c>
      <c r="C35" s="16" t="s">
        <v>2587</v>
      </c>
      <c r="D35" s="17" t="s">
        <v>860</v>
      </c>
      <c r="E35" s="16" t="s">
        <v>1728</v>
      </c>
      <c r="F35" s="17" t="s">
        <v>901</v>
      </c>
      <c r="G35" s="3" t="s">
        <v>3442</v>
      </c>
      <c r="H35" s="6">
        <v>13900.4</v>
      </c>
    </row>
    <row r="36" spans="1:8" ht="15.75" customHeight="1" x14ac:dyDescent="0.35">
      <c r="A36" s="15"/>
      <c r="B36" s="3" t="s">
        <v>41</v>
      </c>
      <c r="C36" s="16" t="s">
        <v>2589</v>
      </c>
      <c r="D36" s="17" t="s">
        <v>860</v>
      </c>
      <c r="E36" s="16" t="s">
        <v>1730</v>
      </c>
      <c r="F36" s="17" t="s">
        <v>903</v>
      </c>
      <c r="G36" s="3" t="s">
        <v>3443</v>
      </c>
      <c r="H36" s="6">
        <v>12843.392</v>
      </c>
    </row>
    <row r="37" spans="1:8" ht="15.75" customHeight="1" x14ac:dyDescent="0.35">
      <c r="A37" s="15"/>
      <c r="B37" s="3" t="s">
        <v>42</v>
      </c>
      <c r="C37" s="16" t="s">
        <v>2590</v>
      </c>
      <c r="D37" s="17" t="s">
        <v>861</v>
      </c>
      <c r="E37" s="16" t="s">
        <v>1731</v>
      </c>
      <c r="F37" s="17" t="s">
        <v>904</v>
      </c>
      <c r="G37" s="3" t="s">
        <v>3444</v>
      </c>
      <c r="H37" s="6">
        <v>14683.503999999999</v>
      </c>
    </row>
    <row r="38" spans="1:8" ht="15.75" customHeight="1" x14ac:dyDescent="0.35">
      <c r="A38" s="15"/>
      <c r="B38" s="3" t="s">
        <v>43</v>
      </c>
      <c r="C38" s="16" t="s">
        <v>2591</v>
      </c>
      <c r="D38" s="17" t="s">
        <v>861</v>
      </c>
      <c r="E38" s="16" t="s">
        <v>1732</v>
      </c>
      <c r="F38" s="17" t="s">
        <v>905</v>
      </c>
      <c r="G38" s="3" t="s">
        <v>3445</v>
      </c>
      <c r="H38" s="6">
        <v>5872.6719999999996</v>
      </c>
    </row>
    <row r="39" spans="1:8" ht="15.75" customHeight="1" x14ac:dyDescent="0.35">
      <c r="A39" s="15"/>
      <c r="B39" s="3" t="s">
        <v>44</v>
      </c>
      <c r="C39" s="16" t="s">
        <v>2592</v>
      </c>
      <c r="D39" s="17" t="s">
        <v>860</v>
      </c>
      <c r="E39" s="16" t="s">
        <v>1733</v>
      </c>
      <c r="F39" s="17" t="s">
        <v>906</v>
      </c>
      <c r="G39" s="3" t="s">
        <v>3446</v>
      </c>
      <c r="H39" s="6">
        <v>8494.9759999999987</v>
      </c>
    </row>
    <row r="40" spans="1:8" ht="15.75" customHeight="1" x14ac:dyDescent="0.35">
      <c r="A40" s="15"/>
      <c r="B40" s="3" t="s">
        <v>45</v>
      </c>
      <c r="C40" s="16" t="s">
        <v>2593</v>
      </c>
      <c r="D40" s="17" t="s">
        <v>861</v>
      </c>
      <c r="E40" s="16" t="s">
        <v>1734</v>
      </c>
      <c r="F40" s="17" t="s">
        <v>907</v>
      </c>
      <c r="G40" s="3" t="s">
        <v>3447</v>
      </c>
      <c r="H40" s="6">
        <v>20309.328000000001</v>
      </c>
    </row>
    <row r="41" spans="1:8" ht="15.75" customHeight="1" x14ac:dyDescent="0.35">
      <c r="A41" s="15"/>
      <c r="B41" s="3" t="s">
        <v>46</v>
      </c>
      <c r="C41" s="16" t="s">
        <v>2594</v>
      </c>
      <c r="D41" s="17" t="s">
        <v>861</v>
      </c>
      <c r="E41" s="16" t="s">
        <v>1735</v>
      </c>
      <c r="F41" s="17" t="s">
        <v>908</v>
      </c>
      <c r="G41" s="3" t="s">
        <v>3448</v>
      </c>
      <c r="H41" s="6">
        <v>24451.632000000001</v>
      </c>
    </row>
    <row r="42" spans="1:8" ht="15.75" customHeight="1" x14ac:dyDescent="0.35">
      <c r="A42" s="15"/>
      <c r="B42" s="3" t="s">
        <v>47</v>
      </c>
      <c r="C42" s="16" t="s">
        <v>2595</v>
      </c>
      <c r="D42" s="17" t="s">
        <v>861</v>
      </c>
      <c r="E42" s="16" t="s">
        <v>1736</v>
      </c>
      <c r="F42" s="17" t="s">
        <v>909</v>
      </c>
      <c r="G42" s="3" t="s">
        <v>3449</v>
      </c>
      <c r="H42" s="6">
        <v>25788.928</v>
      </c>
    </row>
    <row r="43" spans="1:8" ht="15.75" customHeight="1" x14ac:dyDescent="0.35">
      <c r="A43" s="15"/>
      <c r="B43" s="3" t="s">
        <v>49</v>
      </c>
      <c r="C43" s="16" t="s">
        <v>2597</v>
      </c>
      <c r="D43" s="17" t="s">
        <v>861</v>
      </c>
      <c r="E43" s="16" t="s">
        <v>1738</v>
      </c>
      <c r="F43" s="17" t="s">
        <v>911</v>
      </c>
      <c r="G43" s="3" t="s">
        <v>3450</v>
      </c>
      <c r="H43" s="6">
        <v>12843.392</v>
      </c>
    </row>
    <row r="44" spans="1:8" ht="15.75" customHeight="1" x14ac:dyDescent="0.35">
      <c r="A44" s="15"/>
      <c r="B44" s="3" t="s">
        <v>52</v>
      </c>
      <c r="C44" s="16" t="s">
        <v>2600</v>
      </c>
      <c r="D44" s="17" t="s">
        <v>861</v>
      </c>
      <c r="E44" s="16" t="s">
        <v>1741</v>
      </c>
      <c r="F44" s="17" t="s">
        <v>914</v>
      </c>
      <c r="G44" s="3" t="s">
        <v>3451</v>
      </c>
      <c r="H44" s="6">
        <v>38746.928</v>
      </c>
    </row>
    <row r="45" spans="1:8" ht="15.75" customHeight="1" x14ac:dyDescent="0.35">
      <c r="A45" s="15"/>
      <c r="B45" s="3" t="s">
        <v>53</v>
      </c>
      <c r="C45" s="16" t="s">
        <v>2601</v>
      </c>
      <c r="D45" s="17" t="s">
        <v>861</v>
      </c>
      <c r="E45" s="16" t="s">
        <v>1742</v>
      </c>
      <c r="F45" s="17" t="s">
        <v>915</v>
      </c>
      <c r="G45" s="3" t="s">
        <v>3452</v>
      </c>
      <c r="H45" s="6">
        <v>5906.1120000000001</v>
      </c>
    </row>
    <row r="46" spans="1:8" ht="15.75" customHeight="1" x14ac:dyDescent="0.35">
      <c r="A46" s="15"/>
      <c r="B46" s="3" t="s">
        <v>55</v>
      </c>
      <c r="C46" s="16" t="s">
        <v>2603</v>
      </c>
      <c r="D46" s="17" t="s">
        <v>861</v>
      </c>
      <c r="E46" s="16" t="s">
        <v>1744</v>
      </c>
      <c r="F46" s="17" t="s">
        <v>917</v>
      </c>
      <c r="G46" s="3" t="s">
        <v>3453</v>
      </c>
      <c r="H46" s="6">
        <v>20022.96</v>
      </c>
    </row>
    <row r="47" spans="1:8" ht="15.75" customHeight="1" x14ac:dyDescent="0.35">
      <c r="A47" s="15"/>
      <c r="B47" s="3" t="s">
        <v>56</v>
      </c>
      <c r="C47" s="16" t="s">
        <v>2604</v>
      </c>
      <c r="D47" s="17" t="s">
        <v>861</v>
      </c>
      <c r="E47" s="16" t="s">
        <v>1745</v>
      </c>
      <c r="F47" s="17" t="s">
        <v>918</v>
      </c>
      <c r="G47" s="3" t="s">
        <v>3454</v>
      </c>
      <c r="H47" s="6">
        <v>38740.239999999998</v>
      </c>
    </row>
    <row r="48" spans="1:8" ht="15.75" customHeight="1" x14ac:dyDescent="0.35">
      <c r="A48" s="15"/>
      <c r="B48" s="3" t="s">
        <v>57</v>
      </c>
      <c r="C48" s="16" t="s">
        <v>2605</v>
      </c>
      <c r="D48" s="17" t="s">
        <v>860</v>
      </c>
      <c r="E48" s="16" t="s">
        <v>1746</v>
      </c>
      <c r="F48" s="17" t="s">
        <v>919</v>
      </c>
      <c r="G48" s="3" t="s">
        <v>3455</v>
      </c>
      <c r="H48" s="6">
        <v>12843.392</v>
      </c>
    </row>
    <row r="49" spans="1:8" ht="15.75" customHeight="1" x14ac:dyDescent="0.35">
      <c r="A49" s="15"/>
      <c r="B49" s="3" t="s">
        <v>58</v>
      </c>
      <c r="C49" s="16" t="s">
        <v>2606</v>
      </c>
      <c r="D49" s="17" t="s">
        <v>861</v>
      </c>
      <c r="E49" s="16" t="s">
        <v>1747</v>
      </c>
      <c r="F49" s="17" t="s">
        <v>920</v>
      </c>
      <c r="G49" s="3" t="s">
        <v>3456</v>
      </c>
      <c r="H49" s="6">
        <v>12357.903999999999</v>
      </c>
    </row>
    <row r="50" spans="1:8" ht="15.75" customHeight="1" x14ac:dyDescent="0.35">
      <c r="A50" s="15"/>
      <c r="B50" s="3" t="s">
        <v>59</v>
      </c>
      <c r="C50" s="16" t="s">
        <v>2607</v>
      </c>
      <c r="D50" s="17" t="s">
        <v>861</v>
      </c>
      <c r="E50" s="16" t="s">
        <v>1748</v>
      </c>
      <c r="F50" s="17" t="s">
        <v>921</v>
      </c>
      <c r="G50" s="3" t="s">
        <v>3457</v>
      </c>
      <c r="H50" s="6">
        <v>16034.176000000001</v>
      </c>
    </row>
    <row r="51" spans="1:8" ht="15.75" customHeight="1" x14ac:dyDescent="0.35">
      <c r="A51" s="15"/>
      <c r="B51" s="3" t="s">
        <v>61</v>
      </c>
      <c r="C51" s="16" t="s">
        <v>2609</v>
      </c>
      <c r="D51" s="17" t="s">
        <v>860</v>
      </c>
      <c r="E51" s="16" t="s">
        <v>1750</v>
      </c>
      <c r="F51" s="17" t="s">
        <v>923</v>
      </c>
      <c r="G51" s="3" t="s">
        <v>3458</v>
      </c>
      <c r="H51" s="6">
        <v>25860.367999999999</v>
      </c>
    </row>
    <row r="52" spans="1:8" ht="15.75" customHeight="1" x14ac:dyDescent="0.35">
      <c r="A52" s="15"/>
      <c r="B52" s="3" t="s">
        <v>62</v>
      </c>
      <c r="C52" s="16" t="s">
        <v>2610</v>
      </c>
      <c r="D52" s="17" t="s">
        <v>861</v>
      </c>
      <c r="E52" s="16" t="s">
        <v>1751</v>
      </c>
      <c r="F52" s="17" t="s">
        <v>924</v>
      </c>
      <c r="G52" s="3" t="s">
        <v>3459</v>
      </c>
      <c r="H52" s="6">
        <v>5646.8</v>
      </c>
    </row>
    <row r="53" spans="1:8" ht="15.75" customHeight="1" x14ac:dyDescent="0.35">
      <c r="A53" s="15"/>
      <c r="B53" s="3" t="s">
        <v>3460</v>
      </c>
      <c r="C53" s="16" t="s">
        <v>3461</v>
      </c>
      <c r="D53" s="17" t="s">
        <v>860</v>
      </c>
      <c r="E53" s="16" t="s">
        <v>3462</v>
      </c>
      <c r="F53" s="17" t="s">
        <v>3463</v>
      </c>
      <c r="G53" s="3" t="s">
        <v>3464</v>
      </c>
      <c r="H53" s="6">
        <v>12282.207999999999</v>
      </c>
    </row>
    <row r="54" spans="1:8" ht="15.75" customHeight="1" x14ac:dyDescent="0.35">
      <c r="A54" s="15"/>
      <c r="B54" s="3" t="s">
        <v>63</v>
      </c>
      <c r="C54" s="16" t="s">
        <v>2611</v>
      </c>
      <c r="D54" s="17" t="s">
        <v>860</v>
      </c>
      <c r="E54" s="16" t="s">
        <v>1752</v>
      </c>
      <c r="F54" s="17" t="s">
        <v>925</v>
      </c>
      <c r="G54" s="3" t="s">
        <v>3465</v>
      </c>
      <c r="H54" s="6">
        <v>15098.159999999998</v>
      </c>
    </row>
    <row r="55" spans="1:8" ht="15.75" customHeight="1" x14ac:dyDescent="0.35">
      <c r="A55" s="15"/>
      <c r="B55" s="3" t="s">
        <v>66</v>
      </c>
      <c r="C55" s="16" t="s">
        <v>2614</v>
      </c>
      <c r="D55" s="17" t="s">
        <v>860</v>
      </c>
      <c r="E55" s="16" t="s">
        <v>1755</v>
      </c>
      <c r="F55" s="17" t="s">
        <v>928</v>
      </c>
      <c r="G55" s="3" t="s">
        <v>3466</v>
      </c>
      <c r="H55" s="6">
        <v>10944</v>
      </c>
    </row>
    <row r="56" spans="1:8" ht="15.75" customHeight="1" x14ac:dyDescent="0.35">
      <c r="A56" s="15"/>
      <c r="B56" s="3" t="s">
        <v>67</v>
      </c>
      <c r="C56" s="16" t="s">
        <v>2615</v>
      </c>
      <c r="D56" s="17" t="s">
        <v>861</v>
      </c>
      <c r="E56" s="16" t="s">
        <v>1756</v>
      </c>
      <c r="F56" s="17" t="s">
        <v>929</v>
      </c>
      <c r="G56" s="3" t="s">
        <v>3467</v>
      </c>
      <c r="H56" s="6">
        <v>14218.079999999998</v>
      </c>
    </row>
    <row r="57" spans="1:8" ht="15.75" customHeight="1" x14ac:dyDescent="0.35">
      <c r="A57" s="15"/>
      <c r="B57" s="3" t="s">
        <v>68</v>
      </c>
      <c r="C57" s="16" t="s">
        <v>2616</v>
      </c>
      <c r="D57" s="17" t="s">
        <v>860</v>
      </c>
      <c r="E57" s="16" t="s">
        <v>1757</v>
      </c>
      <c r="F57" s="17" t="s">
        <v>930</v>
      </c>
      <c r="G57" s="3" t="s">
        <v>3468</v>
      </c>
      <c r="H57" s="6">
        <v>5639.808</v>
      </c>
    </row>
    <row r="58" spans="1:8" ht="15.75" customHeight="1" x14ac:dyDescent="0.35">
      <c r="A58" s="15"/>
      <c r="B58" s="3" t="s">
        <v>69</v>
      </c>
      <c r="C58" s="16" t="s">
        <v>2617</v>
      </c>
      <c r="D58" s="17" t="s">
        <v>861</v>
      </c>
      <c r="E58" s="16" t="s">
        <v>1758</v>
      </c>
      <c r="F58" s="17" t="s">
        <v>931</v>
      </c>
      <c r="G58" s="3" t="s">
        <v>3469</v>
      </c>
      <c r="H58" s="6">
        <v>19273.295999999998</v>
      </c>
    </row>
    <row r="59" spans="1:8" ht="15.75" customHeight="1" x14ac:dyDescent="0.35">
      <c r="A59" s="15"/>
      <c r="B59" s="3" t="s">
        <v>71</v>
      </c>
      <c r="C59" s="16" t="s">
        <v>2619</v>
      </c>
      <c r="D59" s="17" t="s">
        <v>861</v>
      </c>
      <c r="E59" s="16" t="s">
        <v>1760</v>
      </c>
      <c r="F59" s="17" t="s">
        <v>933</v>
      </c>
      <c r="G59" s="3" t="s">
        <v>3470</v>
      </c>
      <c r="H59" s="6">
        <v>21673.984</v>
      </c>
    </row>
    <row r="60" spans="1:8" ht="15.75" customHeight="1" x14ac:dyDescent="0.35">
      <c r="A60" s="15"/>
      <c r="B60" s="3" t="s">
        <v>72</v>
      </c>
      <c r="C60" s="16" t="s">
        <v>2620</v>
      </c>
      <c r="D60" s="17" t="s">
        <v>860</v>
      </c>
      <c r="E60" s="16" t="s">
        <v>1761</v>
      </c>
      <c r="F60" s="17" t="s">
        <v>934</v>
      </c>
      <c r="G60" s="3" t="s">
        <v>3471</v>
      </c>
      <c r="H60" s="6">
        <v>0</v>
      </c>
    </row>
    <row r="61" spans="1:8" ht="15.75" customHeight="1" x14ac:dyDescent="0.35">
      <c r="A61" s="15"/>
      <c r="B61" s="3" t="s">
        <v>73</v>
      </c>
      <c r="C61" s="16" t="s">
        <v>2621</v>
      </c>
      <c r="D61" s="17" t="s">
        <v>861</v>
      </c>
      <c r="E61" s="16" t="s">
        <v>1762</v>
      </c>
      <c r="F61" s="17" t="s">
        <v>935</v>
      </c>
      <c r="G61" s="3" t="s">
        <v>3472</v>
      </c>
      <c r="H61" s="6">
        <v>27290.687999999998</v>
      </c>
    </row>
    <row r="62" spans="1:8" ht="15.75" customHeight="1" x14ac:dyDescent="0.35">
      <c r="A62" s="15"/>
      <c r="B62" s="3" t="s">
        <v>74</v>
      </c>
      <c r="C62" s="16" t="s">
        <v>2622</v>
      </c>
      <c r="D62" s="17" t="s">
        <v>860</v>
      </c>
      <c r="E62" s="16" t="s">
        <v>1763</v>
      </c>
      <c r="F62" s="17" t="s">
        <v>936</v>
      </c>
      <c r="G62" s="3" t="s">
        <v>3473</v>
      </c>
      <c r="H62" s="6">
        <v>12850.383999999998</v>
      </c>
    </row>
    <row r="63" spans="1:8" ht="15.75" customHeight="1" x14ac:dyDescent="0.35">
      <c r="A63" s="15"/>
      <c r="B63" s="3" t="s">
        <v>75</v>
      </c>
      <c r="C63" s="16" t="s">
        <v>2623</v>
      </c>
      <c r="D63" s="17" t="s">
        <v>860</v>
      </c>
      <c r="E63" s="16" t="s">
        <v>1764</v>
      </c>
      <c r="F63" s="17" t="s">
        <v>904</v>
      </c>
      <c r="G63" s="3" t="s">
        <v>3474</v>
      </c>
      <c r="H63" s="6">
        <v>13015.455999999998</v>
      </c>
    </row>
    <row r="64" spans="1:8" ht="15.75" customHeight="1" x14ac:dyDescent="0.35">
      <c r="A64" s="15"/>
      <c r="B64" s="3" t="s">
        <v>77</v>
      </c>
      <c r="C64" s="16" t="s">
        <v>2625</v>
      </c>
      <c r="D64" s="17" t="s">
        <v>860</v>
      </c>
      <c r="E64" s="16" t="s">
        <v>1766</v>
      </c>
      <c r="F64" s="17" t="s">
        <v>938</v>
      </c>
      <c r="G64" s="3" t="s">
        <v>3475</v>
      </c>
      <c r="H64" s="6">
        <v>7296.9119999999994</v>
      </c>
    </row>
    <row r="65" spans="1:8" ht="15.75" customHeight="1" x14ac:dyDescent="0.35">
      <c r="A65" s="15"/>
      <c r="B65" s="3" t="s">
        <v>78</v>
      </c>
      <c r="C65" s="16" t="s">
        <v>2626</v>
      </c>
      <c r="D65" s="17" t="s">
        <v>860</v>
      </c>
      <c r="E65" s="16" t="s">
        <v>1767</v>
      </c>
      <c r="F65" s="17" t="s">
        <v>939</v>
      </c>
      <c r="G65" s="3" t="s">
        <v>3476</v>
      </c>
      <c r="H65" s="6">
        <v>23765.199999999997</v>
      </c>
    </row>
    <row r="66" spans="1:8" ht="15.75" customHeight="1" x14ac:dyDescent="0.35">
      <c r="A66" s="15"/>
      <c r="B66" s="3" t="s">
        <v>79</v>
      </c>
      <c r="C66" s="16" t="s">
        <v>2627</v>
      </c>
      <c r="D66" s="17" t="s">
        <v>861</v>
      </c>
      <c r="E66" s="16" t="s">
        <v>1768</v>
      </c>
      <c r="F66" s="17" t="s">
        <v>940</v>
      </c>
      <c r="G66" s="3" t="s">
        <v>3477</v>
      </c>
      <c r="H66" s="6">
        <v>19026.752</v>
      </c>
    </row>
    <row r="67" spans="1:8" ht="15.75" customHeight="1" x14ac:dyDescent="0.35">
      <c r="A67" s="15"/>
      <c r="B67" s="3" t="s">
        <v>80</v>
      </c>
      <c r="C67" s="16" t="s">
        <v>2628</v>
      </c>
      <c r="D67" s="17" t="s">
        <v>861</v>
      </c>
      <c r="E67" s="16" t="s">
        <v>1769</v>
      </c>
      <c r="F67" s="17" t="s">
        <v>941</v>
      </c>
      <c r="G67" s="3" t="s">
        <v>3478</v>
      </c>
      <c r="H67" s="6">
        <v>15878.528</v>
      </c>
    </row>
    <row r="68" spans="1:8" ht="15.75" customHeight="1" x14ac:dyDescent="0.35">
      <c r="A68" s="15"/>
      <c r="B68" s="3" t="s">
        <v>81</v>
      </c>
      <c r="C68" s="16" t="s">
        <v>2629</v>
      </c>
      <c r="D68" s="17" t="s">
        <v>860</v>
      </c>
      <c r="E68" s="16" t="s">
        <v>1770</v>
      </c>
      <c r="F68" s="17" t="s">
        <v>942</v>
      </c>
      <c r="G68" s="3" t="s">
        <v>3479</v>
      </c>
      <c r="H68" s="6">
        <v>7915.8559999999989</v>
      </c>
    </row>
    <row r="69" spans="1:8" ht="15.75" customHeight="1" x14ac:dyDescent="0.35">
      <c r="A69" s="15"/>
      <c r="B69" s="3" t="s">
        <v>82</v>
      </c>
      <c r="C69" s="16" t="s">
        <v>2630</v>
      </c>
      <c r="D69" s="17" t="s">
        <v>861</v>
      </c>
      <c r="E69" s="16" t="s">
        <v>1771</v>
      </c>
      <c r="F69" s="17" t="s">
        <v>943</v>
      </c>
      <c r="G69" s="3" t="s">
        <v>3479</v>
      </c>
      <c r="H69" s="6">
        <v>6523.232</v>
      </c>
    </row>
    <row r="70" spans="1:8" ht="15.75" customHeight="1" x14ac:dyDescent="0.35">
      <c r="A70" s="15"/>
      <c r="B70" s="3" t="s">
        <v>84</v>
      </c>
      <c r="C70" s="16" t="s">
        <v>2632</v>
      </c>
      <c r="D70" s="17" t="s">
        <v>861</v>
      </c>
      <c r="E70" s="16" t="s">
        <v>1773</v>
      </c>
      <c r="F70" s="17" t="s">
        <v>945</v>
      </c>
      <c r="G70" s="3" t="s">
        <v>3480</v>
      </c>
      <c r="H70" s="6">
        <v>22522.448</v>
      </c>
    </row>
    <row r="71" spans="1:8" ht="15.75" customHeight="1" x14ac:dyDescent="0.35">
      <c r="A71" s="15"/>
      <c r="B71" s="3" t="s">
        <v>85</v>
      </c>
      <c r="C71" s="16" t="s">
        <v>2633</v>
      </c>
      <c r="D71" s="17" t="s">
        <v>861</v>
      </c>
      <c r="E71" s="16" t="s">
        <v>1774</v>
      </c>
      <c r="F71" s="17" t="s">
        <v>946</v>
      </c>
      <c r="G71" s="3" t="s">
        <v>3481</v>
      </c>
      <c r="H71" s="6">
        <v>17687.632000000001</v>
      </c>
    </row>
    <row r="72" spans="1:8" ht="15.75" customHeight="1" x14ac:dyDescent="0.35">
      <c r="A72" s="15"/>
      <c r="B72" s="3" t="s">
        <v>86</v>
      </c>
      <c r="C72" s="16" t="s">
        <v>2634</v>
      </c>
      <c r="D72" s="17" t="s">
        <v>861</v>
      </c>
      <c r="E72" s="16" t="s">
        <v>1775</v>
      </c>
      <c r="F72" s="17" t="s">
        <v>947</v>
      </c>
      <c r="G72" s="3" t="s">
        <v>3482</v>
      </c>
      <c r="H72" s="6">
        <v>8979.2479999999996</v>
      </c>
    </row>
    <row r="73" spans="1:8" ht="15.75" customHeight="1" x14ac:dyDescent="0.35">
      <c r="A73" s="15"/>
      <c r="B73" s="3" t="s">
        <v>87</v>
      </c>
      <c r="C73" s="16" t="s">
        <v>2635</v>
      </c>
      <c r="D73" s="17" t="s">
        <v>861</v>
      </c>
      <c r="E73" s="16" t="s">
        <v>1776</v>
      </c>
      <c r="F73" s="17" t="s">
        <v>948</v>
      </c>
      <c r="G73" s="3" t="s">
        <v>3483</v>
      </c>
      <c r="H73" s="6">
        <v>5639.808</v>
      </c>
    </row>
    <row r="74" spans="1:8" ht="15.75" customHeight="1" x14ac:dyDescent="0.35">
      <c r="A74" s="15"/>
      <c r="B74" s="3" t="s">
        <v>88</v>
      </c>
      <c r="C74" s="16" t="s">
        <v>2636</v>
      </c>
      <c r="D74" s="17" t="s">
        <v>861</v>
      </c>
      <c r="E74" s="16" t="s">
        <v>1777</v>
      </c>
      <c r="F74" s="17" t="s">
        <v>949</v>
      </c>
      <c r="G74" s="3" t="s">
        <v>3484</v>
      </c>
      <c r="H74" s="6">
        <v>7282.6239999999998</v>
      </c>
    </row>
    <row r="75" spans="1:8" ht="15.75" customHeight="1" x14ac:dyDescent="0.35">
      <c r="A75" s="15"/>
      <c r="B75" s="3" t="s">
        <v>89</v>
      </c>
      <c r="C75" s="16" t="s">
        <v>2637</v>
      </c>
      <c r="D75" s="17" t="s">
        <v>860</v>
      </c>
      <c r="E75" s="16" t="s">
        <v>1778</v>
      </c>
      <c r="F75" s="17" t="s">
        <v>950</v>
      </c>
      <c r="G75" s="3" t="s">
        <v>3485</v>
      </c>
      <c r="H75" s="6">
        <v>37121.135999999999</v>
      </c>
    </row>
    <row r="76" spans="1:8" ht="15.75" customHeight="1" x14ac:dyDescent="0.35">
      <c r="A76" s="15"/>
      <c r="B76" s="3" t="s">
        <v>90</v>
      </c>
      <c r="C76" s="16" t="s">
        <v>2638</v>
      </c>
      <c r="D76" s="17" t="s">
        <v>861</v>
      </c>
      <c r="E76" s="16" t="s">
        <v>1779</v>
      </c>
      <c r="F76" s="17" t="s">
        <v>951</v>
      </c>
      <c r="G76" s="3" t="s">
        <v>3486</v>
      </c>
      <c r="H76" s="6">
        <v>52060.911999999997</v>
      </c>
    </row>
    <row r="77" spans="1:8" ht="15.75" customHeight="1" x14ac:dyDescent="0.35">
      <c r="A77" s="15"/>
      <c r="B77" s="3" t="s">
        <v>91</v>
      </c>
      <c r="C77" s="16" t="s">
        <v>2639</v>
      </c>
      <c r="D77" s="17" t="s">
        <v>860</v>
      </c>
      <c r="E77" s="16" t="s">
        <v>1780</v>
      </c>
      <c r="F77" s="17" t="s">
        <v>952</v>
      </c>
      <c r="G77" s="3" t="s">
        <v>3486</v>
      </c>
      <c r="H77" s="6">
        <v>22929.807999999997</v>
      </c>
    </row>
    <row r="78" spans="1:8" ht="15.75" customHeight="1" x14ac:dyDescent="0.35">
      <c r="A78" s="15"/>
      <c r="B78" s="3" t="s">
        <v>93</v>
      </c>
      <c r="C78" s="16" t="s">
        <v>2641</v>
      </c>
      <c r="D78" s="17" t="s">
        <v>860</v>
      </c>
      <c r="E78" s="16" t="s">
        <v>1782</v>
      </c>
      <c r="F78" s="17" t="s">
        <v>954</v>
      </c>
      <c r="G78" s="3" t="s">
        <v>3487</v>
      </c>
      <c r="H78" s="6">
        <v>10401.664000000001</v>
      </c>
    </row>
    <row r="79" spans="1:8" ht="15.75" customHeight="1" x14ac:dyDescent="0.35">
      <c r="A79" s="15"/>
      <c r="B79" s="3" t="s">
        <v>94</v>
      </c>
      <c r="C79" s="16" t="s">
        <v>2642</v>
      </c>
      <c r="D79" s="17" t="s">
        <v>861</v>
      </c>
      <c r="E79" s="16" t="s">
        <v>1783</v>
      </c>
      <c r="F79" s="17" t="s">
        <v>955</v>
      </c>
      <c r="G79" s="3" t="s">
        <v>3488</v>
      </c>
      <c r="H79" s="6">
        <v>11042.8</v>
      </c>
    </row>
    <row r="80" spans="1:8" ht="15.75" customHeight="1" x14ac:dyDescent="0.35">
      <c r="A80" s="15"/>
      <c r="B80" s="3" t="s">
        <v>95</v>
      </c>
      <c r="C80" s="16" t="s">
        <v>2643</v>
      </c>
      <c r="D80" s="17" t="s">
        <v>861</v>
      </c>
      <c r="E80" s="16" t="s">
        <v>1784</v>
      </c>
      <c r="F80" s="17" t="s">
        <v>956</v>
      </c>
      <c r="G80" s="3" t="s">
        <v>3489</v>
      </c>
      <c r="H80" s="6">
        <v>31498.047999999995</v>
      </c>
    </row>
    <row r="81" spans="1:8" ht="15.75" customHeight="1" x14ac:dyDescent="0.35">
      <c r="A81" s="15"/>
      <c r="B81" s="3" t="s">
        <v>96</v>
      </c>
      <c r="C81" s="16" t="s">
        <v>2644</v>
      </c>
      <c r="D81" s="17" t="s">
        <v>861</v>
      </c>
      <c r="E81" s="16" t="s">
        <v>1785</v>
      </c>
      <c r="F81" s="17" t="s">
        <v>957</v>
      </c>
      <c r="G81" s="3" t="s">
        <v>3490</v>
      </c>
      <c r="H81" s="6">
        <v>20000.463999999996</v>
      </c>
    </row>
    <row r="82" spans="1:8" ht="15.75" customHeight="1" x14ac:dyDescent="0.35">
      <c r="A82" s="15"/>
      <c r="B82" s="3" t="s">
        <v>99</v>
      </c>
      <c r="C82" s="16" t="s">
        <v>2647</v>
      </c>
      <c r="D82" s="17" t="s">
        <v>861</v>
      </c>
      <c r="E82" s="16" t="s">
        <v>1788</v>
      </c>
      <c r="F82" s="17" t="s">
        <v>951</v>
      </c>
      <c r="G82" s="3" t="s">
        <v>3491</v>
      </c>
      <c r="H82" s="6">
        <v>20824.608</v>
      </c>
    </row>
    <row r="83" spans="1:8" ht="15.75" customHeight="1" x14ac:dyDescent="0.35">
      <c r="A83" s="15"/>
      <c r="B83" s="3" t="s">
        <v>100</v>
      </c>
      <c r="C83" s="16" t="s">
        <v>2648</v>
      </c>
      <c r="D83" s="17" t="s">
        <v>861</v>
      </c>
      <c r="E83" s="16" t="s">
        <v>1789</v>
      </c>
      <c r="F83" s="17" t="s">
        <v>960</v>
      </c>
      <c r="G83" s="3" t="s">
        <v>3492</v>
      </c>
      <c r="H83" s="6">
        <v>13160.464</v>
      </c>
    </row>
    <row r="84" spans="1:8" ht="15.75" customHeight="1" x14ac:dyDescent="0.35">
      <c r="A84" s="15"/>
      <c r="B84" s="3" t="s">
        <v>102</v>
      </c>
      <c r="C84" s="16" t="s">
        <v>2650</v>
      </c>
      <c r="D84" s="17" t="s">
        <v>861</v>
      </c>
      <c r="E84" s="16" t="s">
        <v>1791</v>
      </c>
      <c r="F84" s="17" t="s">
        <v>962</v>
      </c>
      <c r="G84" s="3" t="s">
        <v>3493</v>
      </c>
      <c r="H84" s="6">
        <v>26030.911999999997</v>
      </c>
    </row>
    <row r="85" spans="1:8" ht="15.75" customHeight="1" x14ac:dyDescent="0.35">
      <c r="A85" s="15"/>
      <c r="B85" s="3" t="s">
        <v>103</v>
      </c>
      <c r="C85" s="16" t="s">
        <v>2651</v>
      </c>
      <c r="D85" s="17" t="s">
        <v>861</v>
      </c>
      <c r="E85" s="16" t="s">
        <v>1792</v>
      </c>
      <c r="F85" s="17" t="s">
        <v>963</v>
      </c>
      <c r="G85" s="3" t="s">
        <v>3494</v>
      </c>
      <c r="H85" s="6">
        <v>12101.023999999999</v>
      </c>
    </row>
    <row r="86" spans="1:8" ht="15.75" customHeight="1" x14ac:dyDescent="0.35">
      <c r="A86" s="15"/>
      <c r="B86" s="3" t="s">
        <v>104</v>
      </c>
      <c r="C86" s="16" t="s">
        <v>2652</v>
      </c>
      <c r="D86" s="17" t="s">
        <v>861</v>
      </c>
      <c r="E86" s="16" t="s">
        <v>1793</v>
      </c>
      <c r="F86" s="17" t="s">
        <v>964</v>
      </c>
      <c r="G86" s="3" t="s">
        <v>3495</v>
      </c>
      <c r="H86" s="6">
        <v>20656.8</v>
      </c>
    </row>
    <row r="87" spans="1:8" ht="15.75" customHeight="1" x14ac:dyDescent="0.35">
      <c r="A87" s="15"/>
      <c r="B87" s="3" t="s">
        <v>105</v>
      </c>
      <c r="C87" s="16" t="s">
        <v>2653</v>
      </c>
      <c r="D87" s="17" t="s">
        <v>861</v>
      </c>
      <c r="E87" s="16" t="s">
        <v>1794</v>
      </c>
      <c r="F87" s="17" t="s">
        <v>965</v>
      </c>
      <c r="G87" s="3" t="s">
        <v>3496</v>
      </c>
      <c r="H87" s="6">
        <v>5747.7279999999992</v>
      </c>
    </row>
    <row r="88" spans="1:8" ht="15.75" customHeight="1" x14ac:dyDescent="0.35">
      <c r="A88" s="15"/>
      <c r="B88" s="3" t="s">
        <v>106</v>
      </c>
      <c r="C88" s="16" t="s">
        <v>2654</v>
      </c>
      <c r="D88" s="17" t="s">
        <v>861</v>
      </c>
      <c r="E88" s="16" t="s">
        <v>1795</v>
      </c>
      <c r="F88" s="17" t="s">
        <v>966</v>
      </c>
      <c r="G88" s="3" t="s">
        <v>3497</v>
      </c>
      <c r="H88" s="6">
        <v>15204.864</v>
      </c>
    </row>
    <row r="89" spans="1:8" ht="15.75" customHeight="1" x14ac:dyDescent="0.35">
      <c r="A89" s="15"/>
      <c r="B89" s="3" t="s">
        <v>108</v>
      </c>
      <c r="C89" s="16" t="s">
        <v>2656</v>
      </c>
      <c r="D89" s="17" t="s">
        <v>861</v>
      </c>
      <c r="E89" s="16" t="s">
        <v>1797</v>
      </c>
      <c r="F89" s="17" t="s">
        <v>968</v>
      </c>
      <c r="G89" s="3" t="s">
        <v>3498</v>
      </c>
      <c r="H89" s="6">
        <v>14854.047999999999</v>
      </c>
    </row>
    <row r="90" spans="1:8" ht="15.75" customHeight="1" x14ac:dyDescent="0.35">
      <c r="A90" s="15"/>
      <c r="B90" s="3" t="s">
        <v>110</v>
      </c>
      <c r="C90" s="16" t="s">
        <v>2658</v>
      </c>
      <c r="D90" s="17" t="s">
        <v>861</v>
      </c>
      <c r="E90" s="16" t="s">
        <v>1799</v>
      </c>
      <c r="F90" s="17" t="s">
        <v>970</v>
      </c>
      <c r="G90" s="3" t="s">
        <v>3499</v>
      </c>
      <c r="H90" s="6">
        <v>17850.576000000001</v>
      </c>
    </row>
    <row r="91" spans="1:8" ht="15.75" customHeight="1" x14ac:dyDescent="0.35">
      <c r="A91" s="15"/>
      <c r="B91" s="3" t="s">
        <v>111</v>
      </c>
      <c r="C91" s="16" t="s">
        <v>2659</v>
      </c>
      <c r="D91" s="17" t="s">
        <v>861</v>
      </c>
      <c r="E91" s="16" t="s">
        <v>1800</v>
      </c>
      <c r="F91" s="17" t="s">
        <v>971</v>
      </c>
      <c r="G91" s="3" t="s">
        <v>3500</v>
      </c>
      <c r="H91" s="6">
        <v>16472.543999999998</v>
      </c>
    </row>
    <row r="92" spans="1:8" ht="15.75" customHeight="1" x14ac:dyDescent="0.35">
      <c r="A92" s="15"/>
      <c r="B92" s="3" t="s">
        <v>112</v>
      </c>
      <c r="C92" s="16" t="s">
        <v>2660</v>
      </c>
      <c r="D92" s="17" t="s">
        <v>860</v>
      </c>
      <c r="E92" s="16" t="s">
        <v>1801</v>
      </c>
      <c r="F92" s="17" t="s">
        <v>972</v>
      </c>
      <c r="G92" s="3" t="s">
        <v>3501</v>
      </c>
      <c r="H92" s="6">
        <v>11602.768</v>
      </c>
    </row>
    <row r="93" spans="1:8" ht="15.75" customHeight="1" x14ac:dyDescent="0.35">
      <c r="A93" s="15"/>
      <c r="B93" s="3" t="s">
        <v>114</v>
      </c>
      <c r="C93" s="16" t="s">
        <v>2662</v>
      </c>
      <c r="D93" s="17" t="s">
        <v>861</v>
      </c>
      <c r="E93" s="16" t="s">
        <v>1803</v>
      </c>
      <c r="F93" s="17" t="s">
        <v>974</v>
      </c>
      <c r="G93" s="3" t="s">
        <v>3502</v>
      </c>
      <c r="H93" s="6">
        <v>8979.2479999999996</v>
      </c>
    </row>
    <row r="94" spans="1:8" ht="15.75" customHeight="1" x14ac:dyDescent="0.35">
      <c r="A94" s="15"/>
      <c r="B94" s="3" t="s">
        <v>115</v>
      </c>
      <c r="C94" s="16" t="s">
        <v>2663</v>
      </c>
      <c r="D94" s="17" t="s">
        <v>861</v>
      </c>
      <c r="E94" s="16" t="s">
        <v>1804</v>
      </c>
      <c r="F94" s="17" t="s">
        <v>975</v>
      </c>
      <c r="G94" s="3" t="s">
        <v>3503</v>
      </c>
      <c r="H94" s="6">
        <v>8885.3119999999981</v>
      </c>
    </row>
    <row r="95" spans="1:8" ht="15.75" customHeight="1" x14ac:dyDescent="0.35">
      <c r="A95" s="15"/>
      <c r="B95" s="3" t="s">
        <v>116</v>
      </c>
      <c r="C95" s="16" t="s">
        <v>2664</v>
      </c>
      <c r="D95" s="17" t="s">
        <v>861</v>
      </c>
      <c r="E95" s="16" t="s">
        <v>1805</v>
      </c>
      <c r="F95" s="17" t="s">
        <v>976</v>
      </c>
      <c r="G95" s="3" t="s">
        <v>3504</v>
      </c>
      <c r="H95" s="6">
        <v>13341.647999999999</v>
      </c>
    </row>
    <row r="96" spans="1:8" ht="15.75" customHeight="1" x14ac:dyDescent="0.35">
      <c r="A96" s="15"/>
      <c r="B96" s="3" t="s">
        <v>120</v>
      </c>
      <c r="C96" s="16" t="s">
        <v>2668</v>
      </c>
      <c r="D96" s="17" t="s">
        <v>860</v>
      </c>
      <c r="E96" s="16" t="s">
        <v>1809</v>
      </c>
      <c r="F96" s="17" t="s">
        <v>980</v>
      </c>
      <c r="G96" s="3" t="s">
        <v>3505</v>
      </c>
      <c r="H96" s="6">
        <v>12185.84</v>
      </c>
    </row>
    <row r="97" spans="1:8" ht="15.75" customHeight="1" x14ac:dyDescent="0.35">
      <c r="A97" s="15"/>
      <c r="B97" s="3" t="s">
        <v>121</v>
      </c>
      <c r="C97" s="16" t="s">
        <v>2669</v>
      </c>
      <c r="D97" s="17" t="s">
        <v>861</v>
      </c>
      <c r="E97" s="16" t="s">
        <v>1810</v>
      </c>
      <c r="F97" s="17" t="s">
        <v>981</v>
      </c>
      <c r="G97" s="3" t="s">
        <v>3506</v>
      </c>
      <c r="H97" s="6">
        <v>5639.808</v>
      </c>
    </row>
    <row r="98" spans="1:8" ht="15.75" customHeight="1" x14ac:dyDescent="0.35">
      <c r="A98" s="15"/>
      <c r="B98" s="3" t="s">
        <v>122</v>
      </c>
      <c r="C98" s="16" t="s">
        <v>2670</v>
      </c>
      <c r="D98" s="17" t="s">
        <v>861</v>
      </c>
      <c r="E98" s="16" t="s">
        <v>1811</v>
      </c>
      <c r="F98" s="17" t="s">
        <v>982</v>
      </c>
      <c r="G98" s="3" t="s">
        <v>3506</v>
      </c>
      <c r="H98" s="6">
        <v>5639.808</v>
      </c>
    </row>
    <row r="99" spans="1:8" ht="15.75" customHeight="1" x14ac:dyDescent="0.35">
      <c r="A99" s="15"/>
      <c r="B99" s="3" t="s">
        <v>123</v>
      </c>
      <c r="C99" s="16" t="s">
        <v>2671</v>
      </c>
      <c r="D99" s="17" t="s">
        <v>861</v>
      </c>
      <c r="E99" s="16" t="s">
        <v>1812</v>
      </c>
      <c r="F99" s="17" t="s">
        <v>983</v>
      </c>
      <c r="G99" s="3" t="s">
        <v>3507</v>
      </c>
      <c r="H99" s="6">
        <v>8838.1920000000009</v>
      </c>
    </row>
    <row r="100" spans="1:8" ht="15.75" customHeight="1" x14ac:dyDescent="0.35">
      <c r="A100" s="15"/>
      <c r="B100" s="3" t="s">
        <v>124</v>
      </c>
      <c r="C100" s="16" t="s">
        <v>2672</v>
      </c>
      <c r="D100" s="17" t="s">
        <v>861</v>
      </c>
      <c r="E100" s="16" t="s">
        <v>1813</v>
      </c>
      <c r="F100" s="17" t="s">
        <v>984</v>
      </c>
      <c r="G100" s="3" t="s">
        <v>3508</v>
      </c>
      <c r="H100" s="6">
        <v>10707.791999999999</v>
      </c>
    </row>
    <row r="101" spans="1:8" ht="15.75" customHeight="1" x14ac:dyDescent="0.35">
      <c r="A101" s="15"/>
      <c r="B101" s="3" t="s">
        <v>129</v>
      </c>
      <c r="C101" s="16" t="s">
        <v>2677</v>
      </c>
      <c r="D101" s="17" t="s">
        <v>860</v>
      </c>
      <c r="E101" s="16" t="s">
        <v>1818</v>
      </c>
      <c r="F101" s="17" t="s">
        <v>989</v>
      </c>
      <c r="G101" s="3" t="s">
        <v>3509</v>
      </c>
      <c r="H101" s="6">
        <v>12532.4</v>
      </c>
    </row>
    <row r="102" spans="1:8" ht="15.75" customHeight="1" x14ac:dyDescent="0.35">
      <c r="A102" s="15"/>
      <c r="B102" s="3" t="s">
        <v>130</v>
      </c>
      <c r="C102" s="16" t="s">
        <v>2678</v>
      </c>
      <c r="D102" s="17" t="s">
        <v>861</v>
      </c>
      <c r="E102" s="16" t="s">
        <v>1819</v>
      </c>
      <c r="F102" s="17" t="s">
        <v>990</v>
      </c>
      <c r="G102" s="3" t="s">
        <v>3510</v>
      </c>
      <c r="H102" s="6">
        <v>13884.592000000001</v>
      </c>
    </row>
    <row r="103" spans="1:8" ht="15.75" customHeight="1" x14ac:dyDescent="0.35">
      <c r="A103" s="15"/>
      <c r="B103" s="3" t="s">
        <v>131</v>
      </c>
      <c r="C103" s="16" t="s">
        <v>2679</v>
      </c>
      <c r="D103" s="17" t="s">
        <v>861</v>
      </c>
      <c r="E103" s="16" t="s">
        <v>1820</v>
      </c>
      <c r="F103" s="17" t="s">
        <v>991</v>
      </c>
      <c r="G103" s="3" t="s">
        <v>3511</v>
      </c>
      <c r="H103" s="6">
        <v>25742.415999999997</v>
      </c>
    </row>
    <row r="104" spans="1:8" ht="15.75" customHeight="1" x14ac:dyDescent="0.35">
      <c r="A104" s="15"/>
      <c r="B104" s="3" t="s">
        <v>133</v>
      </c>
      <c r="C104" s="16" t="s">
        <v>2681</v>
      </c>
      <c r="D104" s="17" t="s">
        <v>860</v>
      </c>
      <c r="E104" s="16" t="s">
        <v>1822</v>
      </c>
      <c r="F104" s="17" t="s">
        <v>993</v>
      </c>
      <c r="G104" s="3" t="s">
        <v>3512</v>
      </c>
      <c r="H104" s="6">
        <v>15418.271999999999</v>
      </c>
    </row>
    <row r="105" spans="1:8" ht="15.75" customHeight="1" x14ac:dyDescent="0.35">
      <c r="A105" s="15"/>
      <c r="B105" s="3" t="s">
        <v>134</v>
      </c>
      <c r="C105" s="16" t="s">
        <v>2682</v>
      </c>
      <c r="D105" s="17" t="s">
        <v>861</v>
      </c>
      <c r="E105" s="16" t="s">
        <v>1823</v>
      </c>
      <c r="F105" s="17" t="s">
        <v>994</v>
      </c>
      <c r="G105" s="3" t="s">
        <v>3513</v>
      </c>
      <c r="H105" s="6">
        <v>0</v>
      </c>
    </row>
    <row r="106" spans="1:8" ht="15.75" customHeight="1" x14ac:dyDescent="0.35">
      <c r="A106" s="15"/>
      <c r="B106" s="3" t="s">
        <v>135</v>
      </c>
      <c r="C106" s="16" t="s">
        <v>2683</v>
      </c>
      <c r="D106" s="17" t="s">
        <v>861</v>
      </c>
      <c r="E106" s="16" t="s">
        <v>1824</v>
      </c>
      <c r="F106" s="17" t="s">
        <v>995</v>
      </c>
      <c r="G106" s="3" t="s">
        <v>3514</v>
      </c>
      <c r="H106" s="6">
        <v>19636.88</v>
      </c>
    </row>
    <row r="107" spans="1:8" ht="15.75" customHeight="1" x14ac:dyDescent="0.35">
      <c r="A107" s="15"/>
      <c r="B107" s="3" t="s">
        <v>138</v>
      </c>
      <c r="C107" s="16" t="s">
        <v>2686</v>
      </c>
      <c r="D107" s="17" t="s">
        <v>860</v>
      </c>
      <c r="E107" s="16" t="s">
        <v>1827</v>
      </c>
      <c r="F107" s="17" t="s">
        <v>998</v>
      </c>
      <c r="G107" s="3" t="s">
        <v>3515</v>
      </c>
      <c r="H107" s="6">
        <v>10809.632</v>
      </c>
    </row>
    <row r="108" spans="1:8" ht="15.75" customHeight="1" x14ac:dyDescent="0.35">
      <c r="A108" s="15"/>
      <c r="B108" s="3" t="s">
        <v>140</v>
      </c>
      <c r="C108" s="16" t="s">
        <v>2688</v>
      </c>
      <c r="D108" s="17" t="s">
        <v>861</v>
      </c>
      <c r="E108" s="16" t="s">
        <v>1829</v>
      </c>
      <c r="F108" s="17" t="s">
        <v>1000</v>
      </c>
      <c r="G108" s="3" t="s">
        <v>3516</v>
      </c>
      <c r="H108" s="6">
        <v>9631.0239999999994</v>
      </c>
    </row>
    <row r="109" spans="1:8" ht="15.75" customHeight="1" x14ac:dyDescent="0.35">
      <c r="A109" s="15"/>
      <c r="B109" s="3" t="s">
        <v>142</v>
      </c>
      <c r="C109" s="16" t="s">
        <v>2690</v>
      </c>
      <c r="D109" s="17" t="s">
        <v>861</v>
      </c>
      <c r="E109" s="16" t="s">
        <v>1831</v>
      </c>
      <c r="F109" s="17" t="s">
        <v>1002</v>
      </c>
      <c r="G109" s="3" t="s">
        <v>3517</v>
      </c>
      <c r="H109" s="6">
        <v>14289.52</v>
      </c>
    </row>
    <row r="110" spans="1:8" ht="15.75" customHeight="1" x14ac:dyDescent="0.35">
      <c r="A110" s="15"/>
      <c r="B110" s="3" t="s">
        <v>143</v>
      </c>
      <c r="C110" s="16" t="s">
        <v>2691</v>
      </c>
      <c r="D110" s="17" t="s">
        <v>860</v>
      </c>
      <c r="E110" s="16" t="s">
        <v>1832</v>
      </c>
      <c r="F110" s="17" t="s">
        <v>1003</v>
      </c>
      <c r="G110" s="3" t="s">
        <v>3518</v>
      </c>
      <c r="H110" s="6">
        <v>6939.1039999999994</v>
      </c>
    </row>
    <row r="111" spans="1:8" ht="15.75" customHeight="1" x14ac:dyDescent="0.35">
      <c r="A111" s="15"/>
      <c r="B111" s="3" t="s">
        <v>144</v>
      </c>
      <c r="C111" s="16" t="s">
        <v>2692</v>
      </c>
      <c r="D111" s="17" t="s">
        <v>860</v>
      </c>
      <c r="E111" s="16" t="s">
        <v>1833</v>
      </c>
      <c r="F111" s="17" t="s">
        <v>1004</v>
      </c>
      <c r="G111" s="3" t="s">
        <v>3519</v>
      </c>
      <c r="H111" s="6">
        <v>12170.944</v>
      </c>
    </row>
    <row r="112" spans="1:8" ht="15.75" customHeight="1" x14ac:dyDescent="0.35">
      <c r="A112" s="15"/>
      <c r="B112" s="3" t="s">
        <v>145</v>
      </c>
      <c r="C112" s="16" t="s">
        <v>2693</v>
      </c>
      <c r="D112" s="17" t="s">
        <v>860</v>
      </c>
      <c r="E112" s="16" t="s">
        <v>1834</v>
      </c>
      <c r="F112" s="17" t="s">
        <v>1005</v>
      </c>
      <c r="G112" s="3" t="s">
        <v>3520</v>
      </c>
      <c r="H112" s="6">
        <v>14390.751999999999</v>
      </c>
    </row>
    <row r="113" spans="1:8" ht="15.75" customHeight="1" x14ac:dyDescent="0.35">
      <c r="A113" s="15"/>
      <c r="B113" s="3" t="s">
        <v>147</v>
      </c>
      <c r="C113" s="16" t="s">
        <v>2695</v>
      </c>
      <c r="D113" s="17" t="s">
        <v>861</v>
      </c>
      <c r="E113" s="16" t="s">
        <v>1836</v>
      </c>
      <c r="F113" s="17" t="s">
        <v>1007</v>
      </c>
      <c r="G113" s="3" t="s">
        <v>3521</v>
      </c>
      <c r="H113" s="6">
        <v>13411.567999999999</v>
      </c>
    </row>
    <row r="114" spans="1:8" ht="15.75" customHeight="1" x14ac:dyDescent="0.35">
      <c r="A114" s="15"/>
      <c r="B114" s="3" t="s">
        <v>149</v>
      </c>
      <c r="C114" s="16" t="s">
        <v>2697</v>
      </c>
      <c r="D114" s="17" t="s">
        <v>861</v>
      </c>
      <c r="E114" s="16" t="s">
        <v>1838</v>
      </c>
      <c r="F114" s="17" t="s">
        <v>1009</v>
      </c>
      <c r="G114" s="3" t="s">
        <v>3522</v>
      </c>
      <c r="H114" s="6">
        <v>17863.04</v>
      </c>
    </row>
    <row r="115" spans="1:8" ht="15.75" customHeight="1" x14ac:dyDescent="0.35">
      <c r="A115" s="15"/>
      <c r="B115" s="3" t="s">
        <v>150</v>
      </c>
      <c r="C115" s="16" t="s">
        <v>2698</v>
      </c>
      <c r="D115" s="17" t="s">
        <v>860</v>
      </c>
      <c r="E115" s="16" t="s">
        <v>1839</v>
      </c>
      <c r="F115" s="17" t="s">
        <v>1010</v>
      </c>
      <c r="G115" s="3" t="s">
        <v>3523</v>
      </c>
      <c r="H115" s="6">
        <v>20779.007999999998</v>
      </c>
    </row>
    <row r="116" spans="1:8" ht="15.75" customHeight="1" x14ac:dyDescent="0.35">
      <c r="A116" s="15"/>
      <c r="B116" s="3" t="s">
        <v>151</v>
      </c>
      <c r="C116" s="16" t="s">
        <v>2699</v>
      </c>
      <c r="D116" s="17" t="s">
        <v>860</v>
      </c>
      <c r="E116" s="16" t="s">
        <v>1840</v>
      </c>
      <c r="F116" s="17" t="s">
        <v>1011</v>
      </c>
      <c r="G116" s="3" t="s">
        <v>3524</v>
      </c>
      <c r="H116" s="6">
        <v>34444.112000000001</v>
      </c>
    </row>
    <row r="117" spans="1:8" ht="15.75" customHeight="1" x14ac:dyDescent="0.35">
      <c r="A117" s="15"/>
      <c r="B117" s="3" t="s">
        <v>152</v>
      </c>
      <c r="C117" s="16" t="s">
        <v>2700</v>
      </c>
      <c r="D117" s="17" t="s">
        <v>861</v>
      </c>
      <c r="E117" s="16" t="s">
        <v>1841</v>
      </c>
      <c r="F117" s="17" t="s">
        <v>1012</v>
      </c>
      <c r="G117" s="3" t="s">
        <v>3525</v>
      </c>
      <c r="H117" s="6">
        <v>23316.495999999999</v>
      </c>
    </row>
    <row r="118" spans="1:8" ht="15.75" customHeight="1" x14ac:dyDescent="0.35">
      <c r="A118" s="15"/>
      <c r="B118" s="3" t="s">
        <v>153</v>
      </c>
      <c r="C118" s="16" t="s">
        <v>2701</v>
      </c>
      <c r="D118" s="17" t="s">
        <v>860</v>
      </c>
      <c r="E118" s="16" t="s">
        <v>1842</v>
      </c>
      <c r="F118" s="17" t="s">
        <v>1013</v>
      </c>
      <c r="G118" s="3" t="s">
        <v>3526</v>
      </c>
      <c r="H118" s="6">
        <v>14412.944</v>
      </c>
    </row>
    <row r="119" spans="1:8" ht="15.75" customHeight="1" x14ac:dyDescent="0.35">
      <c r="A119" s="15"/>
      <c r="B119" s="3" t="s">
        <v>154</v>
      </c>
      <c r="C119" s="16" t="s">
        <v>2702</v>
      </c>
      <c r="D119" s="17" t="s">
        <v>861</v>
      </c>
      <c r="E119" s="16" t="s">
        <v>1843</v>
      </c>
      <c r="F119" s="17" t="s">
        <v>1014</v>
      </c>
      <c r="G119" s="3" t="s">
        <v>3527</v>
      </c>
      <c r="H119" s="6">
        <v>10322.928</v>
      </c>
    </row>
    <row r="120" spans="1:8" ht="15.75" customHeight="1" x14ac:dyDescent="0.35">
      <c r="A120" s="15"/>
      <c r="B120" s="3" t="s">
        <v>156</v>
      </c>
      <c r="C120" s="16" t="s">
        <v>2704</v>
      </c>
      <c r="D120" s="17" t="s">
        <v>861</v>
      </c>
      <c r="E120" s="16" t="s">
        <v>1845</v>
      </c>
      <c r="F120" s="17" t="s">
        <v>1016</v>
      </c>
      <c r="G120" s="3" t="s">
        <v>3528</v>
      </c>
      <c r="H120" s="6">
        <v>22175.583999999999</v>
      </c>
    </row>
    <row r="121" spans="1:8" ht="15.75" customHeight="1" x14ac:dyDescent="0.35">
      <c r="A121" s="15"/>
      <c r="B121" s="3" t="s">
        <v>157</v>
      </c>
      <c r="C121" s="16" t="s">
        <v>2705</v>
      </c>
      <c r="D121" s="17" t="s">
        <v>861</v>
      </c>
      <c r="E121" s="16" t="s">
        <v>1846</v>
      </c>
      <c r="F121" s="17" t="s">
        <v>1017</v>
      </c>
      <c r="G121" s="3" t="s">
        <v>3529</v>
      </c>
      <c r="H121" s="6">
        <v>7844.4160000000002</v>
      </c>
    </row>
    <row r="122" spans="1:8" ht="15.75" customHeight="1" x14ac:dyDescent="0.35">
      <c r="A122" s="15"/>
      <c r="B122" s="3" t="s">
        <v>158</v>
      </c>
      <c r="C122" s="16" t="s">
        <v>2706</v>
      </c>
      <c r="D122" s="17" t="s">
        <v>861</v>
      </c>
      <c r="E122" s="16" t="s">
        <v>1847</v>
      </c>
      <c r="F122" s="17" t="s">
        <v>1018</v>
      </c>
      <c r="G122" s="3" t="s">
        <v>3530</v>
      </c>
      <c r="H122" s="6">
        <v>16070.351999999999</v>
      </c>
    </row>
    <row r="123" spans="1:8" ht="15.75" customHeight="1" x14ac:dyDescent="0.35">
      <c r="A123" s="15"/>
      <c r="B123" s="3" t="s">
        <v>159</v>
      </c>
      <c r="C123" s="16" t="s">
        <v>2707</v>
      </c>
      <c r="D123" s="17" t="s">
        <v>861</v>
      </c>
      <c r="E123" s="16" t="s">
        <v>1848</v>
      </c>
      <c r="F123" s="17" t="s">
        <v>1019</v>
      </c>
      <c r="G123" s="3" t="s">
        <v>3531</v>
      </c>
      <c r="H123" s="6">
        <v>11917.103999999999</v>
      </c>
    </row>
    <row r="124" spans="1:8" ht="15.75" customHeight="1" x14ac:dyDescent="0.35">
      <c r="A124" s="15"/>
      <c r="B124" s="3" t="s">
        <v>160</v>
      </c>
      <c r="C124" s="16" t="s">
        <v>2708</v>
      </c>
      <c r="D124" s="17" t="s">
        <v>861</v>
      </c>
      <c r="E124" s="16" t="s">
        <v>1849</v>
      </c>
      <c r="F124" s="17" t="s">
        <v>1020</v>
      </c>
      <c r="G124" s="3" t="s">
        <v>3532</v>
      </c>
      <c r="H124" s="6">
        <v>5899.12</v>
      </c>
    </row>
    <row r="125" spans="1:8" ht="15.75" customHeight="1" x14ac:dyDescent="0.35">
      <c r="A125" s="15"/>
      <c r="B125" s="3" t="s">
        <v>161</v>
      </c>
      <c r="C125" s="16" t="s">
        <v>2709</v>
      </c>
      <c r="D125" s="17" t="s">
        <v>860</v>
      </c>
      <c r="E125" s="16" t="s">
        <v>1850</v>
      </c>
      <c r="F125" s="17" t="s">
        <v>1021</v>
      </c>
      <c r="G125" s="3" t="s">
        <v>3533</v>
      </c>
      <c r="H125" s="6">
        <v>15661.471999999998</v>
      </c>
    </row>
    <row r="126" spans="1:8" ht="15.75" customHeight="1" x14ac:dyDescent="0.35">
      <c r="A126" s="15"/>
      <c r="B126" s="3" t="s">
        <v>162</v>
      </c>
      <c r="C126" s="16" t="s">
        <v>2710</v>
      </c>
      <c r="D126" s="17" t="s">
        <v>861</v>
      </c>
      <c r="E126" s="16" t="s">
        <v>1851</v>
      </c>
      <c r="F126" s="17" t="s">
        <v>1022</v>
      </c>
      <c r="G126" s="3" t="s">
        <v>3534</v>
      </c>
      <c r="H126" s="6">
        <v>17736.576000000001</v>
      </c>
    </row>
    <row r="127" spans="1:8" ht="15.75" customHeight="1" x14ac:dyDescent="0.35">
      <c r="A127" s="15"/>
      <c r="B127" s="3" t="s">
        <v>163</v>
      </c>
      <c r="C127" s="16" t="s">
        <v>2711</v>
      </c>
      <c r="D127" s="17" t="s">
        <v>861</v>
      </c>
      <c r="E127" s="16" t="s">
        <v>1852</v>
      </c>
      <c r="F127" s="17" t="s">
        <v>1023</v>
      </c>
      <c r="G127" s="3" t="s">
        <v>3535</v>
      </c>
      <c r="H127" s="6">
        <v>20029.344000000001</v>
      </c>
    </row>
    <row r="128" spans="1:8" ht="15.75" customHeight="1" x14ac:dyDescent="0.35">
      <c r="A128" s="15"/>
      <c r="B128" s="3" t="s">
        <v>164</v>
      </c>
      <c r="C128" s="16" t="s">
        <v>2712</v>
      </c>
      <c r="D128" s="17" t="s">
        <v>860</v>
      </c>
      <c r="E128" s="16" t="s">
        <v>1853</v>
      </c>
      <c r="F128" s="17" t="s">
        <v>1024</v>
      </c>
      <c r="G128" s="3" t="s">
        <v>3536</v>
      </c>
      <c r="H128" s="6">
        <v>8193.7119999999995</v>
      </c>
    </row>
    <row r="129" spans="1:8" ht="15.75" customHeight="1" x14ac:dyDescent="0.35">
      <c r="A129" s="15"/>
      <c r="B129" s="3" t="s">
        <v>167</v>
      </c>
      <c r="C129" s="16" t="s">
        <v>2715</v>
      </c>
      <c r="D129" s="17" t="s">
        <v>860</v>
      </c>
      <c r="E129" s="16" t="s">
        <v>1856</v>
      </c>
      <c r="F129" s="17" t="s">
        <v>1027</v>
      </c>
      <c r="G129" s="3" t="s">
        <v>3537</v>
      </c>
      <c r="H129" s="6">
        <v>20127.232</v>
      </c>
    </row>
    <row r="130" spans="1:8" ht="15.75" customHeight="1" x14ac:dyDescent="0.35">
      <c r="A130" s="15"/>
      <c r="B130" s="3" t="s">
        <v>168</v>
      </c>
      <c r="C130" s="16" t="s">
        <v>2716</v>
      </c>
      <c r="D130" s="17" t="s">
        <v>860</v>
      </c>
      <c r="E130" s="16" t="s">
        <v>1857</v>
      </c>
      <c r="F130" s="17" t="s">
        <v>1028</v>
      </c>
      <c r="G130" s="3" t="s">
        <v>3538</v>
      </c>
      <c r="H130" s="6">
        <v>8859.4719999999998</v>
      </c>
    </row>
    <row r="131" spans="1:8" ht="15.75" customHeight="1" x14ac:dyDescent="0.35">
      <c r="A131" s="15"/>
      <c r="B131" s="3" t="s">
        <v>169</v>
      </c>
      <c r="C131" s="16" t="s">
        <v>2717</v>
      </c>
      <c r="D131" s="17" t="s">
        <v>861</v>
      </c>
      <c r="E131" s="16" t="s">
        <v>1858</v>
      </c>
      <c r="F131" s="17" t="s">
        <v>1029</v>
      </c>
      <c r="G131" s="3" t="s">
        <v>3539</v>
      </c>
      <c r="H131" s="6">
        <v>8401.3439999999991</v>
      </c>
    </row>
    <row r="132" spans="1:8" ht="15.75" customHeight="1" x14ac:dyDescent="0.35">
      <c r="A132" s="15"/>
      <c r="B132" s="3" t="s">
        <v>170</v>
      </c>
      <c r="C132" s="16" t="s">
        <v>2718</v>
      </c>
      <c r="D132" s="17" t="s">
        <v>861</v>
      </c>
      <c r="E132" s="16" t="s">
        <v>1859</v>
      </c>
      <c r="F132" s="17" t="s">
        <v>1030</v>
      </c>
      <c r="G132" s="3" t="s">
        <v>3540</v>
      </c>
      <c r="H132" s="6">
        <v>5639.808</v>
      </c>
    </row>
    <row r="133" spans="1:8" ht="15.75" customHeight="1" x14ac:dyDescent="0.35">
      <c r="A133" s="15"/>
      <c r="B133" s="3" t="s">
        <v>171</v>
      </c>
      <c r="C133" s="16" t="s">
        <v>2719</v>
      </c>
      <c r="D133" s="17" t="s">
        <v>861</v>
      </c>
      <c r="E133" s="16" t="s">
        <v>1860</v>
      </c>
      <c r="F133" s="17" t="s">
        <v>1031</v>
      </c>
      <c r="G133" s="3" t="s">
        <v>3541</v>
      </c>
      <c r="H133" s="6">
        <v>17295.471999999998</v>
      </c>
    </row>
    <row r="134" spans="1:8" ht="15.75" customHeight="1" x14ac:dyDescent="0.35">
      <c r="A134" s="15"/>
      <c r="B134" s="3" t="s">
        <v>172</v>
      </c>
      <c r="C134" s="16" t="s">
        <v>2720</v>
      </c>
      <c r="D134" s="17" t="s">
        <v>860</v>
      </c>
      <c r="E134" s="16" t="s">
        <v>1861</v>
      </c>
      <c r="F134" s="17" t="s">
        <v>1032</v>
      </c>
      <c r="G134" s="3" t="s">
        <v>3541</v>
      </c>
      <c r="H134" s="6">
        <v>15991.919999999998</v>
      </c>
    </row>
    <row r="135" spans="1:8" ht="15.75" customHeight="1" x14ac:dyDescent="0.35">
      <c r="A135" s="15"/>
      <c r="B135" s="3" t="s">
        <v>174</v>
      </c>
      <c r="C135" s="16" t="s">
        <v>2722</v>
      </c>
      <c r="D135" s="17" t="s">
        <v>860</v>
      </c>
      <c r="E135" s="16" t="s">
        <v>1863</v>
      </c>
      <c r="F135" s="17" t="s">
        <v>1034</v>
      </c>
      <c r="G135" s="3" t="s">
        <v>3542</v>
      </c>
      <c r="H135" s="6">
        <v>10483.744000000001</v>
      </c>
    </row>
    <row r="136" spans="1:8" ht="15.75" customHeight="1" x14ac:dyDescent="0.35">
      <c r="A136" s="15"/>
      <c r="B136" s="3" t="s">
        <v>175</v>
      </c>
      <c r="C136" s="16" t="s">
        <v>2723</v>
      </c>
      <c r="D136" s="17" t="s">
        <v>861</v>
      </c>
      <c r="E136" s="16" t="s">
        <v>1864</v>
      </c>
      <c r="F136" s="17" t="s">
        <v>1035</v>
      </c>
      <c r="G136" s="3" t="s">
        <v>3543</v>
      </c>
      <c r="H136" s="6">
        <v>12196.48</v>
      </c>
    </row>
    <row r="137" spans="1:8" ht="15.75" customHeight="1" x14ac:dyDescent="0.35">
      <c r="A137" s="15"/>
      <c r="B137" s="3" t="s">
        <v>176</v>
      </c>
      <c r="C137" s="16" t="s">
        <v>2724</v>
      </c>
      <c r="D137" s="17" t="s">
        <v>860</v>
      </c>
      <c r="E137" s="16" t="s">
        <v>1865</v>
      </c>
      <c r="F137" s="17" t="s">
        <v>1036</v>
      </c>
      <c r="G137" s="3" t="s">
        <v>3543</v>
      </c>
      <c r="H137" s="6">
        <v>9900.9759999999987</v>
      </c>
    </row>
    <row r="138" spans="1:8" ht="15.75" customHeight="1" x14ac:dyDescent="0.35">
      <c r="A138" s="15"/>
      <c r="B138" s="3" t="s">
        <v>178</v>
      </c>
      <c r="C138" s="16" t="s">
        <v>2726</v>
      </c>
      <c r="D138" s="17" t="s">
        <v>860</v>
      </c>
      <c r="E138" s="16" t="s">
        <v>1867</v>
      </c>
      <c r="F138" s="17" t="s">
        <v>929</v>
      </c>
      <c r="G138" s="3" t="s">
        <v>3544</v>
      </c>
      <c r="H138" s="6">
        <v>17572.719999999998</v>
      </c>
    </row>
    <row r="139" spans="1:8" ht="15.75" customHeight="1" x14ac:dyDescent="0.35">
      <c r="A139" s="15"/>
      <c r="B139" s="3" t="s">
        <v>179</v>
      </c>
      <c r="C139" s="16" t="s">
        <v>2727</v>
      </c>
      <c r="D139" s="17" t="s">
        <v>860</v>
      </c>
      <c r="E139" s="16" t="s">
        <v>1868</v>
      </c>
      <c r="F139" s="17" t="s">
        <v>1038</v>
      </c>
      <c r="G139" s="3" t="s">
        <v>3545</v>
      </c>
      <c r="H139" s="6">
        <v>10128.368</v>
      </c>
    </row>
    <row r="140" spans="1:8" ht="15.75" customHeight="1" x14ac:dyDescent="0.35">
      <c r="A140" s="15"/>
      <c r="B140" s="3" t="s">
        <v>183</v>
      </c>
      <c r="C140" s="16" t="s">
        <v>2731</v>
      </c>
      <c r="D140" s="17" t="s">
        <v>860</v>
      </c>
      <c r="E140" s="16" t="s">
        <v>1872</v>
      </c>
      <c r="F140" s="17" t="s">
        <v>1042</v>
      </c>
      <c r="G140" s="3" t="s">
        <v>3546</v>
      </c>
      <c r="H140" s="6">
        <v>22138.191999999999</v>
      </c>
    </row>
    <row r="141" spans="1:8" ht="15.75" customHeight="1" x14ac:dyDescent="0.35">
      <c r="A141" s="15"/>
      <c r="B141" s="3" t="s">
        <v>184</v>
      </c>
      <c r="C141" s="16" t="s">
        <v>2732</v>
      </c>
      <c r="D141" s="17" t="s">
        <v>861</v>
      </c>
      <c r="E141" s="16" t="s">
        <v>1873</v>
      </c>
      <c r="F141" s="17" t="s">
        <v>1043</v>
      </c>
      <c r="G141" s="3" t="s">
        <v>3547</v>
      </c>
      <c r="H141" s="6">
        <v>5639.808</v>
      </c>
    </row>
    <row r="142" spans="1:8" ht="15.75" customHeight="1" x14ac:dyDescent="0.35">
      <c r="A142" s="15"/>
      <c r="B142" s="3" t="s">
        <v>185</v>
      </c>
      <c r="C142" s="16" t="s">
        <v>2733</v>
      </c>
      <c r="D142" s="17" t="s">
        <v>861</v>
      </c>
      <c r="E142" s="16" t="s">
        <v>1874</v>
      </c>
      <c r="F142" s="17" t="s">
        <v>1044</v>
      </c>
      <c r="G142" s="3" t="s">
        <v>3548</v>
      </c>
      <c r="H142" s="6">
        <v>13235.248</v>
      </c>
    </row>
    <row r="143" spans="1:8" ht="15.75" customHeight="1" x14ac:dyDescent="0.35">
      <c r="A143" s="15"/>
      <c r="B143" s="3" t="s">
        <v>187</v>
      </c>
      <c r="C143" s="16" t="s">
        <v>2735</v>
      </c>
      <c r="D143" s="17" t="s">
        <v>861</v>
      </c>
      <c r="E143" s="16" t="s">
        <v>1876</v>
      </c>
      <c r="F143" s="17" t="s">
        <v>1046</v>
      </c>
      <c r="G143" s="3" t="s">
        <v>3549</v>
      </c>
      <c r="H143" s="6">
        <v>19263.263999999999</v>
      </c>
    </row>
    <row r="144" spans="1:8" ht="15.75" customHeight="1" x14ac:dyDescent="0.35">
      <c r="A144" s="15"/>
      <c r="B144" s="3" t="s">
        <v>188</v>
      </c>
      <c r="C144" s="16" t="s">
        <v>2736</v>
      </c>
      <c r="D144" s="17" t="s">
        <v>861</v>
      </c>
      <c r="E144" s="16" t="s">
        <v>1877</v>
      </c>
      <c r="F144" s="17" t="s">
        <v>1047</v>
      </c>
      <c r="G144" s="3" t="s">
        <v>3550</v>
      </c>
      <c r="H144" s="6">
        <v>17740.223999999998</v>
      </c>
    </row>
    <row r="145" spans="1:8" ht="15.75" customHeight="1" x14ac:dyDescent="0.35">
      <c r="A145" s="15"/>
      <c r="B145" s="3" t="s">
        <v>190</v>
      </c>
      <c r="C145" s="16" t="s">
        <v>2738</v>
      </c>
      <c r="D145" s="17" t="s">
        <v>861</v>
      </c>
      <c r="E145" s="16" t="s">
        <v>1879</v>
      </c>
      <c r="F145" s="17" t="s">
        <v>1049</v>
      </c>
      <c r="G145" s="3" t="s">
        <v>3551</v>
      </c>
      <c r="H145" s="6">
        <v>24264.671999999999</v>
      </c>
    </row>
    <row r="146" spans="1:8" ht="15.75" customHeight="1" x14ac:dyDescent="0.35">
      <c r="A146" s="15"/>
      <c r="B146" s="3" t="s">
        <v>192</v>
      </c>
      <c r="C146" s="16" t="s">
        <v>2740</v>
      </c>
      <c r="D146" s="17" t="s">
        <v>861</v>
      </c>
      <c r="E146" s="16" t="s">
        <v>1881</v>
      </c>
      <c r="F146" s="17" t="s">
        <v>1051</v>
      </c>
      <c r="G146" s="3" t="s">
        <v>3552</v>
      </c>
      <c r="H146" s="6">
        <v>8475.52</v>
      </c>
    </row>
    <row r="147" spans="1:8" ht="15.75" customHeight="1" x14ac:dyDescent="0.35">
      <c r="A147" s="15"/>
      <c r="B147" s="3" t="s">
        <v>193</v>
      </c>
      <c r="C147" s="16" t="s">
        <v>2741</v>
      </c>
      <c r="D147" s="17" t="s">
        <v>860</v>
      </c>
      <c r="E147" s="16" t="s">
        <v>1882</v>
      </c>
      <c r="F147" s="17" t="s">
        <v>1052</v>
      </c>
      <c r="G147" s="3" t="s">
        <v>3553</v>
      </c>
      <c r="H147" s="6">
        <v>10983.216</v>
      </c>
    </row>
    <row r="148" spans="1:8" ht="15.75" customHeight="1" x14ac:dyDescent="0.35">
      <c r="A148" s="15"/>
      <c r="B148" s="3" t="s">
        <v>195</v>
      </c>
      <c r="C148" s="16" t="s">
        <v>2743</v>
      </c>
      <c r="D148" s="17" t="s">
        <v>861</v>
      </c>
      <c r="E148" s="16" t="s">
        <v>1884</v>
      </c>
      <c r="F148" s="17" t="s">
        <v>1054</v>
      </c>
      <c r="G148" s="3" t="s">
        <v>3553</v>
      </c>
      <c r="H148" s="6">
        <v>22150.047999999999</v>
      </c>
    </row>
    <row r="149" spans="1:8" ht="15.75" customHeight="1" x14ac:dyDescent="0.35">
      <c r="A149" s="15"/>
      <c r="B149" s="3" t="s">
        <v>197</v>
      </c>
      <c r="C149" s="16" t="s">
        <v>2745</v>
      </c>
      <c r="D149" s="17" t="s">
        <v>861</v>
      </c>
      <c r="E149" s="16" t="s">
        <v>1886</v>
      </c>
      <c r="F149" s="17" t="s">
        <v>1056</v>
      </c>
      <c r="G149" s="3" t="s">
        <v>3554</v>
      </c>
      <c r="H149" s="6">
        <v>22966.896000000001</v>
      </c>
    </row>
    <row r="150" spans="1:8" ht="15.75" customHeight="1" x14ac:dyDescent="0.35">
      <c r="A150" s="15"/>
      <c r="B150" s="3" t="s">
        <v>198</v>
      </c>
      <c r="C150" s="16" t="s">
        <v>2746</v>
      </c>
      <c r="D150" s="17" t="s">
        <v>861</v>
      </c>
      <c r="E150" s="16" t="s">
        <v>1887</v>
      </c>
      <c r="F150" s="17" t="s">
        <v>1057</v>
      </c>
      <c r="G150" s="3" t="s">
        <v>3555</v>
      </c>
      <c r="H150" s="6">
        <v>11312.751999999999</v>
      </c>
    </row>
    <row r="151" spans="1:8" ht="15.75" customHeight="1" x14ac:dyDescent="0.35">
      <c r="A151" s="15"/>
      <c r="B151" s="3" t="s">
        <v>199</v>
      </c>
      <c r="C151" s="16" t="s">
        <v>2747</v>
      </c>
      <c r="D151" s="17" t="s">
        <v>861</v>
      </c>
      <c r="E151" s="16" t="s">
        <v>1888</v>
      </c>
      <c r="F151" s="17" t="s">
        <v>1058</v>
      </c>
      <c r="G151" s="3" t="s">
        <v>3556</v>
      </c>
      <c r="H151" s="6">
        <v>26031.519999999997</v>
      </c>
    </row>
    <row r="152" spans="1:8" ht="15.75" customHeight="1" x14ac:dyDescent="0.35">
      <c r="A152" s="15"/>
      <c r="B152" s="3" t="s">
        <v>200</v>
      </c>
      <c r="C152" s="16" t="s">
        <v>2748</v>
      </c>
      <c r="D152" s="17" t="s">
        <v>861</v>
      </c>
      <c r="E152" s="16" t="s">
        <v>1889</v>
      </c>
      <c r="F152" s="17" t="s">
        <v>1059</v>
      </c>
      <c r="G152" s="3" t="s">
        <v>3557</v>
      </c>
      <c r="H152" s="6">
        <v>24121.791999999998</v>
      </c>
    </row>
    <row r="153" spans="1:8" ht="15.75" customHeight="1" x14ac:dyDescent="0.35">
      <c r="A153" s="15"/>
      <c r="B153" s="3" t="s">
        <v>201</v>
      </c>
      <c r="C153" s="16" t="s">
        <v>2749</v>
      </c>
      <c r="D153" s="17" t="s">
        <v>860</v>
      </c>
      <c r="E153" s="16" t="s">
        <v>1890</v>
      </c>
      <c r="F153" s="17" t="s">
        <v>1060</v>
      </c>
      <c r="G153" s="3" t="s">
        <v>3558</v>
      </c>
      <c r="H153" s="6">
        <v>20103.215999999997</v>
      </c>
    </row>
    <row r="154" spans="1:8" ht="15.75" customHeight="1" x14ac:dyDescent="0.35">
      <c r="A154" s="15"/>
      <c r="B154" s="3" t="s">
        <v>203</v>
      </c>
      <c r="C154" s="16" t="s">
        <v>2751</v>
      </c>
      <c r="D154" s="17" t="s">
        <v>860</v>
      </c>
      <c r="E154" s="16" t="s">
        <v>1892</v>
      </c>
      <c r="F154" s="17" t="s">
        <v>1062</v>
      </c>
      <c r="G154" s="3" t="s">
        <v>3559</v>
      </c>
      <c r="H154" s="6">
        <v>37314.480000000003</v>
      </c>
    </row>
    <row r="155" spans="1:8" ht="15.75" customHeight="1" x14ac:dyDescent="0.35">
      <c r="A155" s="15"/>
      <c r="B155" s="3" t="s">
        <v>204</v>
      </c>
      <c r="C155" s="16" t="s">
        <v>2752</v>
      </c>
      <c r="D155" s="17" t="s">
        <v>861</v>
      </c>
      <c r="E155" s="16" t="s">
        <v>1893</v>
      </c>
      <c r="F155" s="17" t="s">
        <v>1063</v>
      </c>
      <c r="G155" s="3" t="s">
        <v>3560</v>
      </c>
      <c r="H155" s="6">
        <v>10150.255999999999</v>
      </c>
    </row>
    <row r="156" spans="1:8" ht="15.75" customHeight="1" x14ac:dyDescent="0.35">
      <c r="A156" s="15"/>
      <c r="B156" s="3" t="s">
        <v>205</v>
      </c>
      <c r="C156" s="16" t="s">
        <v>2753</v>
      </c>
      <c r="D156" s="17" t="s">
        <v>861</v>
      </c>
      <c r="E156" s="16" t="s">
        <v>1894</v>
      </c>
      <c r="F156" s="17" t="s">
        <v>1064</v>
      </c>
      <c r="G156" s="3" t="s">
        <v>3561</v>
      </c>
      <c r="H156" s="6">
        <v>9264.0959999999995</v>
      </c>
    </row>
    <row r="157" spans="1:8" ht="15.75" customHeight="1" x14ac:dyDescent="0.35">
      <c r="A157" s="15"/>
      <c r="B157" s="3" t="s">
        <v>206</v>
      </c>
      <c r="C157" s="16" t="s">
        <v>2754</v>
      </c>
      <c r="D157" s="17" t="s">
        <v>860</v>
      </c>
      <c r="E157" s="16" t="s">
        <v>1895</v>
      </c>
      <c r="F157" s="17" t="s">
        <v>1065</v>
      </c>
      <c r="G157" s="3" t="s">
        <v>3562</v>
      </c>
      <c r="H157" s="6">
        <v>10568.56</v>
      </c>
    </row>
    <row r="158" spans="1:8" ht="15.75" customHeight="1" x14ac:dyDescent="0.35">
      <c r="A158" s="15"/>
      <c r="B158" s="3" t="s">
        <v>207</v>
      </c>
      <c r="C158" s="16" t="s">
        <v>2755</v>
      </c>
      <c r="D158" s="17" t="s">
        <v>860</v>
      </c>
      <c r="E158" s="16" t="s">
        <v>1896</v>
      </c>
      <c r="F158" s="17" t="s">
        <v>1066</v>
      </c>
      <c r="G158" s="3" t="s">
        <v>3563</v>
      </c>
      <c r="H158" s="6">
        <v>7011.76</v>
      </c>
    </row>
    <row r="159" spans="1:8" ht="15.75" customHeight="1" x14ac:dyDescent="0.35">
      <c r="A159" s="15"/>
      <c r="B159" s="3" t="s">
        <v>208</v>
      </c>
      <c r="C159" s="16" t="s">
        <v>2756</v>
      </c>
      <c r="D159" s="17" t="s">
        <v>860</v>
      </c>
      <c r="E159" s="16" t="s">
        <v>1897</v>
      </c>
      <c r="F159" s="17" t="s">
        <v>1067</v>
      </c>
      <c r="G159" s="3" t="s">
        <v>3564</v>
      </c>
      <c r="H159" s="6">
        <v>8574.9279999999999</v>
      </c>
    </row>
    <row r="160" spans="1:8" ht="15.75" customHeight="1" x14ac:dyDescent="0.35">
      <c r="A160" s="15"/>
      <c r="B160" s="3" t="s">
        <v>209</v>
      </c>
      <c r="C160" s="16" t="s">
        <v>2757</v>
      </c>
      <c r="D160" s="17" t="s">
        <v>861</v>
      </c>
      <c r="E160" s="16" t="s">
        <v>1898</v>
      </c>
      <c r="F160" s="17" t="s">
        <v>1068</v>
      </c>
      <c r="G160" s="3" t="s">
        <v>3565</v>
      </c>
      <c r="H160" s="6">
        <v>27496.495999999999</v>
      </c>
    </row>
    <row r="161" spans="1:8" ht="15.75" customHeight="1" x14ac:dyDescent="0.35">
      <c r="A161" s="15"/>
      <c r="B161" s="3" t="s">
        <v>211</v>
      </c>
      <c r="C161" s="16" t="s">
        <v>2759</v>
      </c>
      <c r="D161" s="17" t="s">
        <v>861</v>
      </c>
      <c r="E161" s="16" t="s">
        <v>1900</v>
      </c>
      <c r="F161" s="17" t="s">
        <v>1070</v>
      </c>
      <c r="G161" s="3" t="s">
        <v>3566</v>
      </c>
      <c r="H161" s="6">
        <v>10397.712</v>
      </c>
    </row>
    <row r="162" spans="1:8" ht="15.75" customHeight="1" x14ac:dyDescent="0.35">
      <c r="A162" s="15"/>
      <c r="B162" s="3" t="s">
        <v>212</v>
      </c>
      <c r="C162" s="16" t="s">
        <v>2760</v>
      </c>
      <c r="D162" s="17" t="s">
        <v>860</v>
      </c>
      <c r="E162" s="16" t="s">
        <v>1901</v>
      </c>
      <c r="F162" s="17" t="s">
        <v>1071</v>
      </c>
      <c r="G162" s="3" t="s">
        <v>3567</v>
      </c>
      <c r="H162" s="6">
        <v>7999.7599999999993</v>
      </c>
    </row>
    <row r="163" spans="1:8" ht="15.75" customHeight="1" x14ac:dyDescent="0.35">
      <c r="A163" s="15"/>
      <c r="B163" s="3" t="s">
        <v>213</v>
      </c>
      <c r="C163" s="16" t="s">
        <v>2761</v>
      </c>
      <c r="D163" s="17" t="s">
        <v>861</v>
      </c>
      <c r="E163" s="16" t="s">
        <v>1902</v>
      </c>
      <c r="F163" s="17" t="s">
        <v>1072</v>
      </c>
      <c r="G163" s="3" t="s">
        <v>3568</v>
      </c>
      <c r="H163" s="6">
        <v>23270.592000000001</v>
      </c>
    </row>
    <row r="164" spans="1:8" ht="15.75" customHeight="1" x14ac:dyDescent="0.35">
      <c r="A164" s="15"/>
      <c r="B164" s="3" t="s">
        <v>215</v>
      </c>
      <c r="C164" s="16" t="s">
        <v>2763</v>
      </c>
      <c r="D164" s="17" t="s">
        <v>861</v>
      </c>
      <c r="E164" s="16" t="s">
        <v>1904</v>
      </c>
      <c r="F164" s="17" t="s">
        <v>1051</v>
      </c>
      <c r="G164" s="3" t="s">
        <v>3569</v>
      </c>
      <c r="H164" s="6">
        <v>10070</v>
      </c>
    </row>
    <row r="165" spans="1:8" ht="15.75" customHeight="1" x14ac:dyDescent="0.35">
      <c r="A165" s="15"/>
      <c r="B165" s="3" t="s">
        <v>219</v>
      </c>
      <c r="C165" s="16" t="s">
        <v>2767</v>
      </c>
      <c r="D165" s="17" t="s">
        <v>861</v>
      </c>
      <c r="E165" s="16" t="s">
        <v>1908</v>
      </c>
      <c r="F165" s="17" t="s">
        <v>1077</v>
      </c>
      <c r="G165" s="3" t="s">
        <v>3570</v>
      </c>
      <c r="H165" s="6">
        <v>11468.704</v>
      </c>
    </row>
    <row r="166" spans="1:8" ht="15.75" customHeight="1" x14ac:dyDescent="0.35">
      <c r="A166" s="15"/>
      <c r="B166" s="3" t="s">
        <v>220</v>
      </c>
      <c r="C166" s="16" t="s">
        <v>2768</v>
      </c>
      <c r="D166" s="17" t="s">
        <v>861</v>
      </c>
      <c r="E166" s="16" t="s">
        <v>1909</v>
      </c>
      <c r="F166" s="17" t="s">
        <v>1078</v>
      </c>
      <c r="G166" s="3" t="s">
        <v>3571</v>
      </c>
      <c r="H166" s="6">
        <v>18441.856</v>
      </c>
    </row>
    <row r="167" spans="1:8" ht="15.75" customHeight="1" x14ac:dyDescent="0.35">
      <c r="A167" s="15"/>
      <c r="B167" s="3" t="s">
        <v>222</v>
      </c>
      <c r="C167" s="16" t="s">
        <v>2770</v>
      </c>
      <c r="D167" s="17" t="s">
        <v>861</v>
      </c>
      <c r="E167" s="16" t="s">
        <v>1911</v>
      </c>
      <c r="F167" s="17" t="s">
        <v>1080</v>
      </c>
      <c r="G167" s="3" t="s">
        <v>3572</v>
      </c>
      <c r="H167" s="6">
        <v>6435.3759999999993</v>
      </c>
    </row>
    <row r="168" spans="1:8" ht="15.75" customHeight="1" x14ac:dyDescent="0.35">
      <c r="A168" s="15"/>
      <c r="B168" s="3" t="s">
        <v>224</v>
      </c>
      <c r="C168" s="16" t="s">
        <v>2772</v>
      </c>
      <c r="D168" s="17" t="s">
        <v>861</v>
      </c>
      <c r="E168" s="16" t="s">
        <v>1913</v>
      </c>
      <c r="F168" s="17" t="s">
        <v>1082</v>
      </c>
      <c r="G168" s="3" t="s">
        <v>3573</v>
      </c>
      <c r="H168" s="6">
        <v>7848.9759999999997</v>
      </c>
    </row>
    <row r="169" spans="1:8" ht="15.75" customHeight="1" x14ac:dyDescent="0.35">
      <c r="A169" s="15"/>
      <c r="B169" s="3" t="s">
        <v>226</v>
      </c>
      <c r="C169" s="16" t="s">
        <v>2774</v>
      </c>
      <c r="D169" s="17" t="s">
        <v>860</v>
      </c>
      <c r="E169" s="16" t="s">
        <v>1915</v>
      </c>
      <c r="F169" s="17" t="s">
        <v>1084</v>
      </c>
      <c r="G169" s="3" t="s">
        <v>3574</v>
      </c>
      <c r="H169" s="6">
        <v>5857.4719999999998</v>
      </c>
    </row>
    <row r="170" spans="1:8" ht="15.75" customHeight="1" x14ac:dyDescent="0.35">
      <c r="A170" s="15"/>
      <c r="B170" s="3" t="s">
        <v>227</v>
      </c>
      <c r="C170" s="16" t="s">
        <v>2775</v>
      </c>
      <c r="D170" s="17" t="s">
        <v>861</v>
      </c>
      <c r="E170" s="16" t="s">
        <v>1916</v>
      </c>
      <c r="F170" s="17" t="s">
        <v>1085</v>
      </c>
      <c r="G170" s="3" t="s">
        <v>3575</v>
      </c>
      <c r="H170" s="6">
        <v>19202.464</v>
      </c>
    </row>
    <row r="171" spans="1:8" ht="15.75" customHeight="1" x14ac:dyDescent="0.35">
      <c r="A171" s="15"/>
      <c r="B171" s="3" t="s">
        <v>228</v>
      </c>
      <c r="C171" s="16" t="s">
        <v>2776</v>
      </c>
      <c r="D171" s="17" t="s">
        <v>860</v>
      </c>
      <c r="E171" s="16" t="s">
        <v>1917</v>
      </c>
      <c r="F171" s="17" t="s">
        <v>1086</v>
      </c>
      <c r="G171" s="3" t="s">
        <v>3576</v>
      </c>
      <c r="H171" s="6">
        <v>11023.343999999999</v>
      </c>
    </row>
    <row r="172" spans="1:8" ht="15.75" customHeight="1" x14ac:dyDescent="0.35">
      <c r="A172" s="15"/>
      <c r="B172" s="3" t="s">
        <v>229</v>
      </c>
      <c r="C172" s="16" t="s">
        <v>2777</v>
      </c>
      <c r="D172" s="17" t="s">
        <v>861</v>
      </c>
      <c r="E172" s="16" t="s">
        <v>1918</v>
      </c>
      <c r="F172" s="17" t="s">
        <v>1087</v>
      </c>
      <c r="G172" s="3" t="s">
        <v>3577</v>
      </c>
      <c r="H172" s="6">
        <v>21577.311999999998</v>
      </c>
    </row>
    <row r="173" spans="1:8" ht="15.75" customHeight="1" x14ac:dyDescent="0.35">
      <c r="A173" s="15"/>
      <c r="B173" s="3" t="s">
        <v>230</v>
      </c>
      <c r="C173" s="16" t="s">
        <v>2778</v>
      </c>
      <c r="D173" s="17" t="s">
        <v>861</v>
      </c>
      <c r="E173" s="16" t="s">
        <v>1919</v>
      </c>
      <c r="F173" s="17" t="s">
        <v>1088</v>
      </c>
      <c r="G173" s="3" t="s">
        <v>3577</v>
      </c>
      <c r="H173" s="6">
        <v>24388.703999999998</v>
      </c>
    </row>
    <row r="174" spans="1:8" ht="15.75" customHeight="1" x14ac:dyDescent="0.35">
      <c r="A174" s="15"/>
      <c r="B174" s="3" t="s">
        <v>233</v>
      </c>
      <c r="C174" s="16" t="s">
        <v>2781</v>
      </c>
      <c r="D174" s="17" t="s">
        <v>861</v>
      </c>
      <c r="E174" s="16" t="s">
        <v>1922</v>
      </c>
      <c r="F174" s="17" t="s">
        <v>1091</v>
      </c>
      <c r="G174" s="3" t="s">
        <v>3578</v>
      </c>
      <c r="H174" s="6">
        <v>16398.671999999999</v>
      </c>
    </row>
    <row r="175" spans="1:8" ht="15.75" customHeight="1" x14ac:dyDescent="0.35">
      <c r="A175" s="15"/>
      <c r="B175" s="3" t="s">
        <v>234</v>
      </c>
      <c r="C175" s="16" t="s">
        <v>2782</v>
      </c>
      <c r="D175" s="17" t="s">
        <v>860</v>
      </c>
      <c r="E175" s="16" t="s">
        <v>1923</v>
      </c>
      <c r="F175" s="17" t="s">
        <v>1092</v>
      </c>
      <c r="G175" s="3" t="s">
        <v>3579</v>
      </c>
      <c r="H175" s="6">
        <v>8473.3919999999998</v>
      </c>
    </row>
    <row r="176" spans="1:8" ht="15.75" customHeight="1" x14ac:dyDescent="0.35">
      <c r="A176" s="15"/>
      <c r="B176" s="3" t="s">
        <v>236</v>
      </c>
      <c r="C176" s="16" t="s">
        <v>2784</v>
      </c>
      <c r="D176" s="17" t="s">
        <v>861</v>
      </c>
      <c r="E176" s="16" t="s">
        <v>1925</v>
      </c>
      <c r="F176" s="17" t="s">
        <v>1094</v>
      </c>
      <c r="G176" s="3" t="s">
        <v>3580</v>
      </c>
      <c r="H176" s="6">
        <v>17135.567999999999</v>
      </c>
    </row>
    <row r="177" spans="1:8" ht="15.75" customHeight="1" x14ac:dyDescent="0.35">
      <c r="A177" s="15"/>
      <c r="B177" s="3" t="s">
        <v>3581</v>
      </c>
      <c r="C177" s="16" t="s">
        <v>3582</v>
      </c>
      <c r="D177" s="17" t="s">
        <v>860</v>
      </c>
      <c r="E177" s="16" t="s">
        <v>3583</v>
      </c>
      <c r="F177" s="17" t="s">
        <v>3584</v>
      </c>
      <c r="G177" s="3" t="s">
        <v>3585</v>
      </c>
      <c r="H177" s="6">
        <v>13656.592000000001</v>
      </c>
    </row>
    <row r="178" spans="1:8" ht="15.75" customHeight="1" x14ac:dyDescent="0.35">
      <c r="A178" s="15"/>
      <c r="B178" s="3" t="s">
        <v>3586</v>
      </c>
      <c r="C178" s="16" t="s">
        <v>3587</v>
      </c>
      <c r="D178" s="17" t="s">
        <v>861</v>
      </c>
      <c r="E178" s="16" t="s">
        <v>3588</v>
      </c>
      <c r="F178" s="17" t="s">
        <v>3589</v>
      </c>
      <c r="G178" s="3" t="s">
        <v>3590</v>
      </c>
      <c r="H178" s="6">
        <v>5602.72</v>
      </c>
    </row>
    <row r="179" spans="1:8" ht="15.75" customHeight="1" x14ac:dyDescent="0.35">
      <c r="A179" s="15"/>
      <c r="B179" s="3" t="s">
        <v>237</v>
      </c>
      <c r="C179" s="16" t="s">
        <v>2785</v>
      </c>
      <c r="D179" s="17" t="s">
        <v>861</v>
      </c>
      <c r="E179" s="16" t="s">
        <v>1926</v>
      </c>
      <c r="F179" s="17" t="s">
        <v>1095</v>
      </c>
      <c r="G179" s="3" t="s">
        <v>3591</v>
      </c>
      <c r="H179" s="6">
        <v>16772.896000000001</v>
      </c>
    </row>
    <row r="180" spans="1:8" ht="15.75" customHeight="1" x14ac:dyDescent="0.35">
      <c r="A180" s="15"/>
      <c r="B180" s="3" t="s">
        <v>238</v>
      </c>
      <c r="C180" s="16" t="s">
        <v>2786</v>
      </c>
      <c r="D180" s="17" t="s">
        <v>861</v>
      </c>
      <c r="E180" s="16" t="s">
        <v>1927</v>
      </c>
      <c r="F180" s="17" t="s">
        <v>1096</v>
      </c>
      <c r="G180" s="3" t="s">
        <v>3592</v>
      </c>
      <c r="H180" s="6">
        <v>14165.183999999999</v>
      </c>
    </row>
    <row r="181" spans="1:8" ht="15.75" customHeight="1" x14ac:dyDescent="0.35">
      <c r="A181" s="15"/>
      <c r="B181" s="3" t="s">
        <v>241</v>
      </c>
      <c r="C181" s="16" t="s">
        <v>2789</v>
      </c>
      <c r="D181" s="17" t="s">
        <v>861</v>
      </c>
      <c r="E181" s="16" t="s">
        <v>1930</v>
      </c>
      <c r="F181" s="17" t="s">
        <v>1099</v>
      </c>
      <c r="G181" s="3" t="s">
        <v>3593</v>
      </c>
      <c r="H181" s="6">
        <v>13798.56</v>
      </c>
    </row>
    <row r="182" spans="1:8" ht="15.75" customHeight="1" x14ac:dyDescent="0.35">
      <c r="A182" s="15"/>
      <c r="B182" s="3" t="s">
        <v>242</v>
      </c>
      <c r="C182" s="16" t="s">
        <v>2790</v>
      </c>
      <c r="D182" s="17" t="s">
        <v>861</v>
      </c>
      <c r="E182" s="16" t="s">
        <v>1931</v>
      </c>
      <c r="F182" s="17" t="s">
        <v>1100</v>
      </c>
      <c r="G182" s="3" t="s">
        <v>3594</v>
      </c>
      <c r="H182" s="6">
        <v>12287.679999999998</v>
      </c>
    </row>
    <row r="183" spans="1:8" ht="15.75" customHeight="1" x14ac:dyDescent="0.35">
      <c r="A183" s="15"/>
      <c r="B183" s="3" t="s">
        <v>243</v>
      </c>
      <c r="C183" s="16" t="s">
        <v>2791</v>
      </c>
      <c r="D183" s="17" t="s">
        <v>861</v>
      </c>
      <c r="E183" s="16" t="s">
        <v>1932</v>
      </c>
      <c r="F183" s="17" t="s">
        <v>1101</v>
      </c>
      <c r="G183" s="3" t="s">
        <v>3595</v>
      </c>
      <c r="H183" s="6">
        <v>19260.223999999998</v>
      </c>
    </row>
    <row r="184" spans="1:8" ht="15.75" customHeight="1" x14ac:dyDescent="0.35">
      <c r="A184" s="15"/>
      <c r="B184" s="3" t="s">
        <v>246</v>
      </c>
      <c r="C184" s="16" t="s">
        <v>2794</v>
      </c>
      <c r="D184" s="17" t="s">
        <v>861</v>
      </c>
      <c r="E184" s="16" t="s">
        <v>1935</v>
      </c>
      <c r="F184" s="17" t="s">
        <v>1104</v>
      </c>
      <c r="G184" s="3" t="s">
        <v>3596</v>
      </c>
      <c r="H184" s="6">
        <v>8326.56</v>
      </c>
    </row>
    <row r="185" spans="1:8" ht="15.75" customHeight="1" x14ac:dyDescent="0.35">
      <c r="A185" s="15"/>
      <c r="B185" s="3" t="s">
        <v>247</v>
      </c>
      <c r="C185" s="16" t="s">
        <v>2795</v>
      </c>
      <c r="D185" s="17" t="s">
        <v>861</v>
      </c>
      <c r="E185" s="16" t="s">
        <v>1936</v>
      </c>
      <c r="F185" s="17" t="s">
        <v>1105</v>
      </c>
      <c r="G185" s="3" t="s">
        <v>3597</v>
      </c>
      <c r="H185" s="6">
        <v>6000.655999999999</v>
      </c>
    </row>
    <row r="186" spans="1:8" ht="15.75" customHeight="1" x14ac:dyDescent="0.35">
      <c r="A186" s="15"/>
      <c r="B186" s="3" t="s">
        <v>248</v>
      </c>
      <c r="C186" s="16" t="s">
        <v>2796</v>
      </c>
      <c r="D186" s="17" t="s">
        <v>861</v>
      </c>
      <c r="E186" s="16" t="s">
        <v>1937</v>
      </c>
      <c r="F186" s="17" t="s">
        <v>1106</v>
      </c>
      <c r="G186" s="3" t="s">
        <v>3598</v>
      </c>
      <c r="H186" s="6">
        <v>22369.84</v>
      </c>
    </row>
    <row r="187" spans="1:8" ht="15.75" customHeight="1" x14ac:dyDescent="0.35">
      <c r="A187" s="15"/>
      <c r="B187" s="3" t="s">
        <v>249</v>
      </c>
      <c r="C187" s="16" t="s">
        <v>2797</v>
      </c>
      <c r="D187" s="17" t="s">
        <v>860</v>
      </c>
      <c r="E187" s="16" t="s">
        <v>1938</v>
      </c>
      <c r="F187" s="17" t="s">
        <v>1107</v>
      </c>
      <c r="G187" s="3" t="s">
        <v>3599</v>
      </c>
      <c r="H187" s="6">
        <v>10498.944</v>
      </c>
    </row>
    <row r="188" spans="1:8" ht="15.75" customHeight="1" x14ac:dyDescent="0.35">
      <c r="A188" s="15"/>
      <c r="B188" s="3" t="s">
        <v>250</v>
      </c>
      <c r="C188" s="16" t="s">
        <v>2798</v>
      </c>
      <c r="D188" s="17" t="s">
        <v>861</v>
      </c>
      <c r="E188" s="16" t="s">
        <v>1939</v>
      </c>
      <c r="F188" s="17" t="s">
        <v>1108</v>
      </c>
      <c r="G188" s="3" t="s">
        <v>3600</v>
      </c>
      <c r="H188" s="6">
        <v>9179.2799999999988</v>
      </c>
    </row>
    <row r="189" spans="1:8" ht="15.75" customHeight="1" x14ac:dyDescent="0.35">
      <c r="A189" s="15"/>
      <c r="B189" s="3" t="s">
        <v>252</v>
      </c>
      <c r="C189" s="16" t="s">
        <v>2800</v>
      </c>
      <c r="D189" s="17" t="s">
        <v>860</v>
      </c>
      <c r="E189" s="16" t="s">
        <v>1941</v>
      </c>
      <c r="F189" s="17" t="s">
        <v>1110</v>
      </c>
      <c r="G189" s="3" t="s">
        <v>3601</v>
      </c>
      <c r="H189" s="6">
        <v>15892.815999999999</v>
      </c>
    </row>
    <row r="190" spans="1:8" ht="15.75" customHeight="1" x14ac:dyDescent="0.35">
      <c r="A190" s="15"/>
      <c r="B190" s="3" t="s">
        <v>253</v>
      </c>
      <c r="C190" s="16" t="s">
        <v>2801</v>
      </c>
      <c r="D190" s="17" t="s">
        <v>860</v>
      </c>
      <c r="E190" s="16" t="s">
        <v>1942</v>
      </c>
      <c r="F190" s="17" t="s">
        <v>1111</v>
      </c>
      <c r="G190" s="3" t="s">
        <v>3602</v>
      </c>
      <c r="H190" s="6">
        <v>7430.0639999999994</v>
      </c>
    </row>
    <row r="191" spans="1:8" ht="15.75" customHeight="1" x14ac:dyDescent="0.35">
      <c r="A191" s="15"/>
      <c r="B191" s="3" t="s">
        <v>254</v>
      </c>
      <c r="C191" s="16" t="s">
        <v>2802</v>
      </c>
      <c r="D191" s="17" t="s">
        <v>861</v>
      </c>
      <c r="E191" s="16" t="s">
        <v>1943</v>
      </c>
      <c r="F191" s="17" t="s">
        <v>1112</v>
      </c>
      <c r="G191" s="3" t="s">
        <v>3602</v>
      </c>
      <c r="H191" s="6">
        <v>18507.215999999997</v>
      </c>
    </row>
    <row r="192" spans="1:8" ht="15.75" customHeight="1" x14ac:dyDescent="0.35">
      <c r="A192" s="15"/>
      <c r="B192" s="3" t="s">
        <v>255</v>
      </c>
      <c r="C192" s="16" t="s">
        <v>2803</v>
      </c>
      <c r="D192" s="17" t="s">
        <v>861</v>
      </c>
      <c r="E192" s="16" t="s">
        <v>1944</v>
      </c>
      <c r="F192" s="17" t="s">
        <v>1113</v>
      </c>
      <c r="G192" s="3" t="s">
        <v>3603</v>
      </c>
      <c r="H192" s="6">
        <v>7381.12</v>
      </c>
    </row>
    <row r="193" spans="1:8" ht="15.75" customHeight="1" x14ac:dyDescent="0.35">
      <c r="A193" s="15"/>
      <c r="B193" s="3" t="s">
        <v>256</v>
      </c>
      <c r="C193" s="16" t="s">
        <v>2804</v>
      </c>
      <c r="D193" s="17" t="s">
        <v>860</v>
      </c>
      <c r="E193" s="16" t="s">
        <v>1945</v>
      </c>
      <c r="F193" s="17" t="s">
        <v>1114</v>
      </c>
      <c r="G193" s="3" t="s">
        <v>3604</v>
      </c>
      <c r="H193" s="6">
        <v>19443.84</v>
      </c>
    </row>
    <row r="194" spans="1:8" ht="15.75" customHeight="1" x14ac:dyDescent="0.35">
      <c r="A194" s="15"/>
      <c r="B194" s="3" t="s">
        <v>257</v>
      </c>
      <c r="C194" s="16" t="s">
        <v>2805</v>
      </c>
      <c r="D194" s="17" t="s">
        <v>860</v>
      </c>
      <c r="E194" s="16" t="s">
        <v>1946</v>
      </c>
      <c r="F194" s="17" t="s">
        <v>1115</v>
      </c>
      <c r="G194" s="3" t="s">
        <v>3605</v>
      </c>
      <c r="H194" s="6">
        <v>7870.5599999999986</v>
      </c>
    </row>
    <row r="195" spans="1:8" ht="15.75" customHeight="1" x14ac:dyDescent="0.35">
      <c r="A195" s="15"/>
      <c r="B195" s="3" t="s">
        <v>258</v>
      </c>
      <c r="C195" s="16" t="s">
        <v>2806</v>
      </c>
      <c r="D195" s="17" t="s">
        <v>860</v>
      </c>
      <c r="E195" s="16" t="s">
        <v>1947</v>
      </c>
      <c r="F195" s="17" t="s">
        <v>1116</v>
      </c>
      <c r="G195" s="3" t="s">
        <v>3605</v>
      </c>
      <c r="H195" s="6">
        <v>13217.92</v>
      </c>
    </row>
    <row r="196" spans="1:8" ht="15.75" customHeight="1" x14ac:dyDescent="0.35">
      <c r="A196" s="15"/>
      <c r="B196" s="3" t="s">
        <v>259</v>
      </c>
      <c r="C196" s="16" t="s">
        <v>2807</v>
      </c>
      <c r="D196" s="17" t="s">
        <v>861</v>
      </c>
      <c r="E196" s="16" t="s">
        <v>1948</v>
      </c>
      <c r="F196" s="17" t="s">
        <v>1117</v>
      </c>
      <c r="G196" s="3" t="s">
        <v>3606</v>
      </c>
      <c r="H196" s="6">
        <v>18177.68</v>
      </c>
    </row>
    <row r="197" spans="1:8" ht="15.75" customHeight="1" x14ac:dyDescent="0.35">
      <c r="A197" s="15"/>
      <c r="B197" s="3" t="s">
        <v>260</v>
      </c>
      <c r="C197" s="16" t="s">
        <v>2808</v>
      </c>
      <c r="D197" s="17" t="s">
        <v>861</v>
      </c>
      <c r="E197" s="16" t="s">
        <v>1949</v>
      </c>
      <c r="F197" s="17" t="s">
        <v>1118</v>
      </c>
      <c r="G197" s="3" t="s">
        <v>3607</v>
      </c>
      <c r="H197" s="6">
        <v>7430.0639999999994</v>
      </c>
    </row>
    <row r="198" spans="1:8" ht="15.75" customHeight="1" x14ac:dyDescent="0.35">
      <c r="A198" s="15"/>
      <c r="B198" s="3" t="s">
        <v>261</v>
      </c>
      <c r="C198" s="16" t="s">
        <v>2809</v>
      </c>
      <c r="D198" s="17" t="s">
        <v>861</v>
      </c>
      <c r="E198" s="16" t="s">
        <v>1950</v>
      </c>
      <c r="F198" s="17" t="s">
        <v>1119</v>
      </c>
      <c r="G198" s="3" t="s">
        <v>3608</v>
      </c>
      <c r="H198" s="6">
        <v>11595.776</v>
      </c>
    </row>
    <row r="199" spans="1:8" ht="15.75" customHeight="1" x14ac:dyDescent="0.35">
      <c r="A199" s="15"/>
      <c r="B199" s="3" t="s">
        <v>262</v>
      </c>
      <c r="C199" s="16" t="s">
        <v>2810</v>
      </c>
      <c r="D199" s="17" t="s">
        <v>861</v>
      </c>
      <c r="E199" s="16" t="s">
        <v>1951</v>
      </c>
      <c r="F199" s="17" t="s">
        <v>1120</v>
      </c>
      <c r="G199" s="3" t="s">
        <v>3609</v>
      </c>
      <c r="H199" s="6">
        <v>15753.28</v>
      </c>
    </row>
    <row r="200" spans="1:8" ht="15.75" customHeight="1" x14ac:dyDescent="0.35">
      <c r="A200" s="15"/>
      <c r="B200" s="3" t="s">
        <v>264</v>
      </c>
      <c r="C200" s="16" t="s">
        <v>2812</v>
      </c>
      <c r="D200" s="17" t="s">
        <v>861</v>
      </c>
      <c r="E200" s="16" t="s">
        <v>1953</v>
      </c>
      <c r="F200" s="17" t="s">
        <v>1122</v>
      </c>
      <c r="G200" s="3" t="s">
        <v>3610</v>
      </c>
      <c r="H200" s="6">
        <v>5632.2079999999996</v>
      </c>
    </row>
    <row r="201" spans="1:8" ht="15.75" customHeight="1" x14ac:dyDescent="0.35">
      <c r="A201" s="15"/>
      <c r="B201" s="3" t="s">
        <v>265</v>
      </c>
      <c r="C201" s="16" t="s">
        <v>2813</v>
      </c>
      <c r="D201" s="17" t="s">
        <v>861</v>
      </c>
      <c r="E201" s="16" t="s">
        <v>1954</v>
      </c>
      <c r="F201" s="17" t="s">
        <v>1123</v>
      </c>
      <c r="G201" s="3" t="s">
        <v>3611</v>
      </c>
      <c r="H201" s="6">
        <v>10073.951999999999</v>
      </c>
    </row>
    <row r="202" spans="1:8" ht="15.75" customHeight="1" x14ac:dyDescent="0.35">
      <c r="A202" s="15"/>
      <c r="B202" s="3" t="s">
        <v>266</v>
      </c>
      <c r="C202" s="16" t="s">
        <v>2814</v>
      </c>
      <c r="D202" s="17" t="s">
        <v>861</v>
      </c>
      <c r="E202" s="16" t="s">
        <v>1955</v>
      </c>
      <c r="F202" s="17" t="s">
        <v>1124</v>
      </c>
      <c r="G202" s="3" t="s">
        <v>3612</v>
      </c>
      <c r="H202" s="6">
        <v>9079.8719999999994</v>
      </c>
    </row>
    <row r="203" spans="1:8" ht="15.75" customHeight="1" x14ac:dyDescent="0.35">
      <c r="A203" s="15"/>
      <c r="B203" s="3" t="s">
        <v>267</v>
      </c>
      <c r="C203" s="16" t="s">
        <v>2815</v>
      </c>
      <c r="D203" s="17" t="s">
        <v>861</v>
      </c>
      <c r="E203" s="16" t="s">
        <v>1956</v>
      </c>
      <c r="F203" s="17" t="s">
        <v>1125</v>
      </c>
      <c r="G203" s="3" t="s">
        <v>3613</v>
      </c>
      <c r="H203" s="6">
        <v>17380.896000000001</v>
      </c>
    </row>
    <row r="204" spans="1:8" ht="15.75" customHeight="1" x14ac:dyDescent="0.35">
      <c r="A204" s="15"/>
      <c r="B204" s="3" t="s">
        <v>269</v>
      </c>
      <c r="C204" s="16" t="s">
        <v>2817</v>
      </c>
      <c r="D204" s="17" t="s">
        <v>860</v>
      </c>
      <c r="E204" s="16" t="s">
        <v>1958</v>
      </c>
      <c r="F204" s="17" t="s">
        <v>1127</v>
      </c>
      <c r="G204" s="3" t="s">
        <v>3614</v>
      </c>
      <c r="H204" s="6">
        <v>27210.128000000001</v>
      </c>
    </row>
    <row r="205" spans="1:8" ht="15.75" customHeight="1" x14ac:dyDescent="0.35">
      <c r="A205" s="15"/>
      <c r="B205" s="3" t="s">
        <v>271</v>
      </c>
      <c r="C205" s="16" t="s">
        <v>2819</v>
      </c>
      <c r="D205" s="17" t="s">
        <v>860</v>
      </c>
      <c r="E205" s="16" t="s">
        <v>1960</v>
      </c>
      <c r="F205" s="17" t="s">
        <v>1129</v>
      </c>
      <c r="G205" s="3" t="s">
        <v>3615</v>
      </c>
      <c r="H205" s="6">
        <v>22011.423999999999</v>
      </c>
    </row>
    <row r="206" spans="1:8" ht="15.75" customHeight="1" x14ac:dyDescent="0.35">
      <c r="A206" s="15"/>
      <c r="B206" s="3" t="s">
        <v>272</v>
      </c>
      <c r="C206" s="16" t="s">
        <v>2820</v>
      </c>
      <c r="D206" s="17" t="s">
        <v>860</v>
      </c>
      <c r="E206" s="16" t="s">
        <v>1961</v>
      </c>
      <c r="F206" s="17" t="s">
        <v>1130</v>
      </c>
      <c r="G206" s="3" t="s">
        <v>3615</v>
      </c>
      <c r="H206" s="6">
        <v>12936.111999999999</v>
      </c>
    </row>
    <row r="207" spans="1:8" ht="15.75" customHeight="1" x14ac:dyDescent="0.35">
      <c r="A207" s="15"/>
      <c r="B207" s="3" t="s">
        <v>275</v>
      </c>
      <c r="C207" s="16" t="s">
        <v>2823</v>
      </c>
      <c r="D207" s="17" t="s">
        <v>860</v>
      </c>
      <c r="E207" s="16" t="s">
        <v>1964</v>
      </c>
      <c r="F207" s="17" t="s">
        <v>1133</v>
      </c>
      <c r="G207" s="3" t="s">
        <v>3616</v>
      </c>
      <c r="H207" s="6">
        <v>18738.863999999998</v>
      </c>
    </row>
    <row r="208" spans="1:8" ht="15.75" customHeight="1" x14ac:dyDescent="0.35">
      <c r="A208" s="15"/>
      <c r="B208" s="3" t="s">
        <v>276</v>
      </c>
      <c r="C208" s="16" t="s">
        <v>2824</v>
      </c>
      <c r="D208" s="17" t="s">
        <v>861</v>
      </c>
      <c r="E208" s="16" t="s">
        <v>1965</v>
      </c>
      <c r="F208" s="17" t="s">
        <v>1134</v>
      </c>
      <c r="G208" s="3" t="s">
        <v>3617</v>
      </c>
      <c r="H208" s="6">
        <v>19748.144</v>
      </c>
    </row>
    <row r="209" spans="1:8" ht="15.75" customHeight="1" x14ac:dyDescent="0.35">
      <c r="A209" s="15"/>
      <c r="B209" s="3" t="s">
        <v>277</v>
      </c>
      <c r="C209" s="16" t="s">
        <v>2825</v>
      </c>
      <c r="D209" s="17" t="s">
        <v>861</v>
      </c>
      <c r="E209" s="16" t="s">
        <v>1966</v>
      </c>
      <c r="F209" s="17" t="s">
        <v>1135</v>
      </c>
      <c r="G209" s="3" t="s">
        <v>3618</v>
      </c>
      <c r="H209" s="6">
        <v>14659.791999999999</v>
      </c>
    </row>
    <row r="210" spans="1:8" ht="15.75" customHeight="1" x14ac:dyDescent="0.35">
      <c r="A210" s="15"/>
      <c r="B210" s="3" t="s">
        <v>278</v>
      </c>
      <c r="C210" s="16" t="s">
        <v>2826</v>
      </c>
      <c r="D210" s="17" t="s">
        <v>861</v>
      </c>
      <c r="E210" s="16" t="s">
        <v>1967</v>
      </c>
      <c r="F210" s="17" t="s">
        <v>1136</v>
      </c>
      <c r="G210" s="3" t="s">
        <v>3619</v>
      </c>
      <c r="H210" s="6">
        <v>8480.9920000000002</v>
      </c>
    </row>
    <row r="211" spans="1:8" ht="15.75" customHeight="1" x14ac:dyDescent="0.35">
      <c r="A211" s="15"/>
      <c r="B211" s="3" t="s">
        <v>280</v>
      </c>
      <c r="C211" s="16" t="s">
        <v>2828</v>
      </c>
      <c r="D211" s="17" t="s">
        <v>861</v>
      </c>
      <c r="E211" s="16" t="s">
        <v>1969</v>
      </c>
      <c r="F211" s="17" t="s">
        <v>1138</v>
      </c>
      <c r="G211" s="3" t="s">
        <v>3620</v>
      </c>
      <c r="H211" s="6">
        <v>11839.279999999999</v>
      </c>
    </row>
    <row r="212" spans="1:8" ht="15.75" customHeight="1" x14ac:dyDescent="0.35">
      <c r="A212" s="15"/>
      <c r="B212" s="3" t="s">
        <v>281</v>
      </c>
      <c r="C212" s="16" t="s">
        <v>2829</v>
      </c>
      <c r="D212" s="17" t="s">
        <v>860</v>
      </c>
      <c r="E212" s="16" t="s">
        <v>1970</v>
      </c>
      <c r="F212" s="17" t="s">
        <v>1139</v>
      </c>
      <c r="G212" s="3" t="s">
        <v>3621</v>
      </c>
      <c r="H212" s="6">
        <v>9169.2479999999996</v>
      </c>
    </row>
    <row r="213" spans="1:8" ht="15.75" customHeight="1" x14ac:dyDescent="0.35">
      <c r="A213" s="15"/>
      <c r="B213" s="3" t="s">
        <v>283</v>
      </c>
      <c r="C213" s="16" t="s">
        <v>2831</v>
      </c>
      <c r="D213" s="17" t="s">
        <v>861</v>
      </c>
      <c r="E213" s="16" t="s">
        <v>1972</v>
      </c>
      <c r="F213" s="17" t="s">
        <v>1141</v>
      </c>
      <c r="G213" s="3" t="s">
        <v>3622</v>
      </c>
      <c r="H213" s="6">
        <v>5632.2079999999996</v>
      </c>
    </row>
    <row r="214" spans="1:8" ht="15.75" customHeight="1" x14ac:dyDescent="0.35">
      <c r="A214" s="15"/>
      <c r="B214" s="3" t="s">
        <v>286</v>
      </c>
      <c r="C214" s="16" t="s">
        <v>2834</v>
      </c>
      <c r="D214" s="17" t="s">
        <v>860</v>
      </c>
      <c r="E214" s="16" t="s">
        <v>1975</v>
      </c>
      <c r="F214" s="17" t="s">
        <v>1144</v>
      </c>
      <c r="G214" s="3" t="s">
        <v>3623</v>
      </c>
      <c r="H214" s="6">
        <v>11811.311999999998</v>
      </c>
    </row>
    <row r="215" spans="1:8" ht="15.75" customHeight="1" x14ac:dyDescent="0.35">
      <c r="A215" s="15"/>
      <c r="B215" s="3" t="s">
        <v>287</v>
      </c>
      <c r="C215" s="16" t="s">
        <v>2835</v>
      </c>
      <c r="D215" s="17" t="s">
        <v>861</v>
      </c>
      <c r="E215" s="16" t="s">
        <v>1976</v>
      </c>
      <c r="F215" s="17" t="s">
        <v>1145</v>
      </c>
      <c r="G215" s="3" t="s">
        <v>3624</v>
      </c>
      <c r="H215" s="6">
        <v>5602.72</v>
      </c>
    </row>
    <row r="216" spans="1:8" ht="15.75" customHeight="1" x14ac:dyDescent="0.35">
      <c r="A216" s="15"/>
      <c r="B216" s="3" t="s">
        <v>288</v>
      </c>
      <c r="C216" s="16" t="s">
        <v>2836</v>
      </c>
      <c r="D216" s="17" t="s">
        <v>860</v>
      </c>
      <c r="E216" s="16" t="s">
        <v>1977</v>
      </c>
      <c r="F216" s="17" t="s">
        <v>1146</v>
      </c>
      <c r="G216" s="3" t="s">
        <v>3625</v>
      </c>
      <c r="H216" s="6">
        <v>10351.807999999999</v>
      </c>
    </row>
    <row r="217" spans="1:8" ht="15.75" customHeight="1" x14ac:dyDescent="0.35">
      <c r="A217" s="15"/>
      <c r="B217" s="3" t="s">
        <v>289</v>
      </c>
      <c r="C217" s="16" t="s">
        <v>2837</v>
      </c>
      <c r="D217" s="17" t="s">
        <v>860</v>
      </c>
      <c r="E217" s="16" t="s">
        <v>1978</v>
      </c>
      <c r="F217" s="17" t="s">
        <v>1147</v>
      </c>
      <c r="G217" s="3" t="s">
        <v>3626</v>
      </c>
      <c r="H217" s="6">
        <v>11377.503999999999</v>
      </c>
    </row>
    <row r="218" spans="1:8" ht="15.75" customHeight="1" x14ac:dyDescent="0.35">
      <c r="A218" s="15"/>
      <c r="B218" s="3" t="s">
        <v>290</v>
      </c>
      <c r="C218" s="16" t="s">
        <v>2838</v>
      </c>
      <c r="D218" s="17" t="s">
        <v>860</v>
      </c>
      <c r="E218" s="16" t="s">
        <v>1979</v>
      </c>
      <c r="F218" s="17" t="s">
        <v>1148</v>
      </c>
      <c r="G218" s="3" t="s">
        <v>3626</v>
      </c>
      <c r="H218" s="6">
        <v>7207.5360000000001</v>
      </c>
    </row>
    <row r="219" spans="1:8" ht="15.75" customHeight="1" x14ac:dyDescent="0.35">
      <c r="A219" s="15"/>
      <c r="B219" s="3" t="s">
        <v>294</v>
      </c>
      <c r="C219" s="16" t="s">
        <v>2842</v>
      </c>
      <c r="D219" s="17" t="s">
        <v>860</v>
      </c>
      <c r="E219" s="16" t="s">
        <v>1983</v>
      </c>
      <c r="F219" s="17" t="s">
        <v>1152</v>
      </c>
      <c r="G219" s="3" t="s">
        <v>3627</v>
      </c>
      <c r="H219" s="6">
        <v>61487.039999999994</v>
      </c>
    </row>
    <row r="220" spans="1:8" ht="15.75" customHeight="1" x14ac:dyDescent="0.35">
      <c r="A220" s="15"/>
      <c r="B220" s="3" t="s">
        <v>297</v>
      </c>
      <c r="C220" s="16" t="s">
        <v>2845</v>
      </c>
      <c r="D220" s="17" t="s">
        <v>860</v>
      </c>
      <c r="E220" s="16" t="s">
        <v>1986</v>
      </c>
      <c r="F220" s="17" t="s">
        <v>1155</v>
      </c>
      <c r="G220" s="3" t="s">
        <v>3628</v>
      </c>
      <c r="H220" s="6">
        <v>18743.423999999999</v>
      </c>
    </row>
    <row r="221" spans="1:8" ht="15.75" customHeight="1" x14ac:dyDescent="0.35">
      <c r="A221" s="15"/>
      <c r="B221" s="3" t="s">
        <v>299</v>
      </c>
      <c r="C221" s="16" t="s">
        <v>2847</v>
      </c>
      <c r="D221" s="17" t="s">
        <v>861</v>
      </c>
      <c r="E221" s="16" t="s">
        <v>1988</v>
      </c>
      <c r="F221" s="17" t="s">
        <v>1157</v>
      </c>
      <c r="G221" s="3" t="s">
        <v>3629</v>
      </c>
      <c r="H221" s="6">
        <v>5632.2079999999996</v>
      </c>
    </row>
    <row r="222" spans="1:8" ht="15.75" customHeight="1" x14ac:dyDescent="0.35">
      <c r="A222" s="15"/>
      <c r="B222" s="3" t="s">
        <v>300</v>
      </c>
      <c r="C222" s="16" t="s">
        <v>2848</v>
      </c>
      <c r="D222" s="17" t="s">
        <v>861</v>
      </c>
      <c r="E222" s="16" t="s">
        <v>1989</v>
      </c>
      <c r="F222" s="17" t="s">
        <v>1158</v>
      </c>
      <c r="G222" s="3" t="s">
        <v>3630</v>
      </c>
      <c r="H222" s="6">
        <v>5632.2079999999996</v>
      </c>
    </row>
    <row r="223" spans="1:8" ht="15.75" customHeight="1" x14ac:dyDescent="0.35">
      <c r="A223" s="15"/>
      <c r="B223" s="3" t="s">
        <v>301</v>
      </c>
      <c r="C223" s="16" t="s">
        <v>2849</v>
      </c>
      <c r="D223" s="17" t="s">
        <v>861</v>
      </c>
      <c r="E223" s="16" t="s">
        <v>1990</v>
      </c>
      <c r="F223" s="17" t="s">
        <v>1159</v>
      </c>
      <c r="G223" s="3" t="s">
        <v>3631</v>
      </c>
      <c r="H223" s="6">
        <v>10260.304</v>
      </c>
    </row>
    <row r="224" spans="1:8" ht="15.75" customHeight="1" x14ac:dyDescent="0.35">
      <c r="A224" s="15"/>
      <c r="B224" s="3" t="s">
        <v>304</v>
      </c>
      <c r="C224" s="16" t="s">
        <v>2852</v>
      </c>
      <c r="D224" s="17" t="s">
        <v>861</v>
      </c>
      <c r="E224" s="16" t="s">
        <v>1993</v>
      </c>
      <c r="F224" s="17" t="s">
        <v>1162</v>
      </c>
      <c r="G224" s="3" t="s">
        <v>3632</v>
      </c>
      <c r="H224" s="6">
        <v>5632.2079999999996</v>
      </c>
    </row>
    <row r="225" spans="1:8" ht="15.75" customHeight="1" x14ac:dyDescent="0.35">
      <c r="A225" s="15"/>
      <c r="B225" s="3" t="s">
        <v>305</v>
      </c>
      <c r="C225" s="16" t="s">
        <v>2853</v>
      </c>
      <c r="D225" s="17" t="s">
        <v>860</v>
      </c>
      <c r="E225" s="16" t="s">
        <v>1994</v>
      </c>
      <c r="F225" s="17" t="s">
        <v>1163</v>
      </c>
      <c r="G225" s="3" t="s">
        <v>3633</v>
      </c>
      <c r="H225" s="6">
        <v>21924.48</v>
      </c>
    </row>
    <row r="226" spans="1:8" ht="15.75" customHeight="1" x14ac:dyDescent="0.35">
      <c r="A226" s="15"/>
      <c r="B226" s="3" t="s">
        <v>306</v>
      </c>
      <c r="C226" s="16" t="s">
        <v>2854</v>
      </c>
      <c r="D226" s="17" t="s">
        <v>861</v>
      </c>
      <c r="E226" s="16" t="s">
        <v>1995</v>
      </c>
      <c r="F226" s="17" t="s">
        <v>1164</v>
      </c>
      <c r="G226" s="3" t="s">
        <v>3634</v>
      </c>
      <c r="H226" s="6">
        <v>9002.655999999999</v>
      </c>
    </row>
    <row r="227" spans="1:8" ht="15.75" customHeight="1" x14ac:dyDescent="0.35">
      <c r="A227" s="15"/>
      <c r="B227" s="3" t="s">
        <v>307</v>
      </c>
      <c r="C227" s="16" t="s">
        <v>2855</v>
      </c>
      <c r="D227" s="17" t="s">
        <v>861</v>
      </c>
      <c r="E227" s="16" t="s">
        <v>1996</v>
      </c>
      <c r="F227" s="17" t="s">
        <v>1165</v>
      </c>
      <c r="G227" s="3" t="s">
        <v>3635</v>
      </c>
      <c r="H227" s="6">
        <v>20141.823999999997</v>
      </c>
    </row>
    <row r="228" spans="1:8" ht="15.75" customHeight="1" x14ac:dyDescent="0.35">
      <c r="A228" s="15"/>
      <c r="B228" s="3" t="s">
        <v>308</v>
      </c>
      <c r="C228" s="16" t="s">
        <v>2856</v>
      </c>
      <c r="D228" s="17" t="s">
        <v>861</v>
      </c>
      <c r="E228" s="16" t="s">
        <v>1997</v>
      </c>
      <c r="F228" s="17" t="s">
        <v>1166</v>
      </c>
      <c r="G228" s="3" t="s">
        <v>3635</v>
      </c>
      <c r="H228" s="6">
        <v>6117.0879999999997</v>
      </c>
    </row>
    <row r="229" spans="1:8" ht="15.75" customHeight="1" x14ac:dyDescent="0.35">
      <c r="A229" s="15"/>
      <c r="B229" s="3" t="s">
        <v>315</v>
      </c>
      <c r="C229" s="16" t="s">
        <v>2863</v>
      </c>
      <c r="D229" s="17" t="s">
        <v>861</v>
      </c>
      <c r="E229" s="16" t="s">
        <v>2004</v>
      </c>
      <c r="F229" s="17" t="s">
        <v>1173</v>
      </c>
      <c r="G229" s="3" t="s">
        <v>3636</v>
      </c>
      <c r="H229" s="6">
        <v>14994.495999999999</v>
      </c>
    </row>
    <row r="230" spans="1:8" ht="15.75" customHeight="1" x14ac:dyDescent="0.35">
      <c r="A230" s="15"/>
      <c r="B230" s="3" t="s">
        <v>316</v>
      </c>
      <c r="C230" s="16" t="s">
        <v>2864</v>
      </c>
      <c r="D230" s="17" t="s">
        <v>861</v>
      </c>
      <c r="E230" s="16" t="s">
        <v>2005</v>
      </c>
      <c r="F230" s="17" t="s">
        <v>1174</v>
      </c>
      <c r="G230" s="3" t="s">
        <v>3637</v>
      </c>
      <c r="H230" s="6">
        <v>24388.703999999998</v>
      </c>
    </row>
    <row r="231" spans="1:8" ht="15.75" customHeight="1" x14ac:dyDescent="0.35">
      <c r="A231" s="15"/>
      <c r="B231" s="3" t="s">
        <v>317</v>
      </c>
      <c r="C231" s="16" t="s">
        <v>2865</v>
      </c>
      <c r="D231" s="17" t="s">
        <v>860</v>
      </c>
      <c r="E231" s="16" t="s">
        <v>2006</v>
      </c>
      <c r="F231" s="17" t="s">
        <v>1175</v>
      </c>
      <c r="G231" s="3" t="s">
        <v>3638</v>
      </c>
      <c r="H231" s="6">
        <v>12573.135999999999</v>
      </c>
    </row>
    <row r="232" spans="1:8" ht="15.75" customHeight="1" x14ac:dyDescent="0.35">
      <c r="A232" s="15"/>
      <c r="B232" s="3" t="s">
        <v>318</v>
      </c>
      <c r="C232" s="16" t="s">
        <v>2866</v>
      </c>
      <c r="D232" s="17" t="s">
        <v>861</v>
      </c>
      <c r="E232" s="16" t="s">
        <v>2007</v>
      </c>
      <c r="F232" s="17" t="s">
        <v>1176</v>
      </c>
      <c r="G232" s="3" t="s">
        <v>3639</v>
      </c>
      <c r="H232" s="6">
        <v>19207.936000000002</v>
      </c>
    </row>
    <row r="233" spans="1:8" ht="15.75" customHeight="1" x14ac:dyDescent="0.35">
      <c r="A233" s="15"/>
      <c r="B233" s="3" t="s">
        <v>320</v>
      </c>
      <c r="C233" s="16" t="s">
        <v>2868</v>
      </c>
      <c r="D233" s="17" t="s">
        <v>860</v>
      </c>
      <c r="E233" s="16" t="s">
        <v>2009</v>
      </c>
      <c r="F233" s="17" t="s">
        <v>1178</v>
      </c>
      <c r="G233" s="3" t="s">
        <v>3640</v>
      </c>
      <c r="H233" s="6">
        <v>7610.9440000000004</v>
      </c>
    </row>
    <row r="234" spans="1:8" ht="15.75" customHeight="1" x14ac:dyDescent="0.35">
      <c r="A234" s="15"/>
      <c r="B234" s="3" t="s">
        <v>321</v>
      </c>
      <c r="C234" s="16" t="s">
        <v>2869</v>
      </c>
      <c r="D234" s="17" t="s">
        <v>861</v>
      </c>
      <c r="E234" s="16" t="s">
        <v>2010</v>
      </c>
      <c r="F234" s="17" t="s">
        <v>1179</v>
      </c>
      <c r="G234" s="3" t="s">
        <v>3641</v>
      </c>
      <c r="H234" s="6">
        <v>5632.2079999999996</v>
      </c>
    </row>
    <row r="235" spans="1:8" ht="15.75" customHeight="1" x14ac:dyDescent="0.35">
      <c r="A235" s="15"/>
      <c r="B235" s="3" t="s">
        <v>322</v>
      </c>
      <c r="C235" s="16" t="s">
        <v>2870</v>
      </c>
      <c r="D235" s="17" t="s">
        <v>861</v>
      </c>
      <c r="E235" s="16" t="s">
        <v>2011</v>
      </c>
      <c r="F235" s="17" t="s">
        <v>1180</v>
      </c>
      <c r="G235" s="3" t="s">
        <v>3642</v>
      </c>
      <c r="H235" s="6">
        <v>10398.016</v>
      </c>
    </row>
    <row r="236" spans="1:8" ht="15.75" customHeight="1" x14ac:dyDescent="0.35">
      <c r="A236" s="15"/>
      <c r="B236" s="3" t="s">
        <v>323</v>
      </c>
      <c r="C236" s="16" t="s">
        <v>2871</v>
      </c>
      <c r="D236" s="17" t="s">
        <v>861</v>
      </c>
      <c r="E236" s="16" t="s">
        <v>2012</v>
      </c>
      <c r="F236" s="17" t="s">
        <v>1181</v>
      </c>
      <c r="G236" s="3" t="s">
        <v>3643</v>
      </c>
      <c r="H236" s="6">
        <v>7709.7439999999997</v>
      </c>
    </row>
    <row r="237" spans="1:8" ht="15.75" customHeight="1" x14ac:dyDescent="0.35">
      <c r="A237" s="15"/>
      <c r="B237" s="3" t="s">
        <v>325</v>
      </c>
      <c r="C237" s="16" t="s">
        <v>2873</v>
      </c>
      <c r="D237" s="17" t="s">
        <v>861</v>
      </c>
      <c r="E237" s="16" t="s">
        <v>2014</v>
      </c>
      <c r="F237" s="17" t="s">
        <v>1183</v>
      </c>
      <c r="G237" s="3" t="s">
        <v>3644</v>
      </c>
      <c r="H237" s="6">
        <v>19987.696</v>
      </c>
    </row>
    <row r="238" spans="1:8" ht="15.75" customHeight="1" x14ac:dyDescent="0.35">
      <c r="A238" s="15"/>
      <c r="B238" s="3" t="s">
        <v>327</v>
      </c>
      <c r="C238" s="16" t="s">
        <v>2875</v>
      </c>
      <c r="D238" s="17" t="s">
        <v>861</v>
      </c>
      <c r="E238" s="16" t="s">
        <v>2016</v>
      </c>
      <c r="F238" s="17" t="s">
        <v>1185</v>
      </c>
      <c r="G238" s="3" t="s">
        <v>3645</v>
      </c>
      <c r="H238" s="6">
        <v>5632.2079999999996</v>
      </c>
    </row>
    <row r="239" spans="1:8" ht="15.75" customHeight="1" x14ac:dyDescent="0.35">
      <c r="A239" s="15"/>
      <c r="B239" s="3" t="s">
        <v>328</v>
      </c>
      <c r="C239" s="16" t="s">
        <v>2876</v>
      </c>
      <c r="D239" s="17" t="s">
        <v>861</v>
      </c>
      <c r="E239" s="16" t="s">
        <v>2017</v>
      </c>
      <c r="F239" s="17" t="s">
        <v>1186</v>
      </c>
      <c r="G239" s="3" t="s">
        <v>3646</v>
      </c>
      <c r="H239" s="6">
        <v>15656.911999999998</v>
      </c>
    </row>
    <row r="240" spans="1:8" ht="15.75" customHeight="1" x14ac:dyDescent="0.35">
      <c r="A240" s="15"/>
      <c r="B240" s="3" t="s">
        <v>329</v>
      </c>
      <c r="C240" s="16" t="s">
        <v>2877</v>
      </c>
      <c r="D240" s="17" t="s">
        <v>860</v>
      </c>
      <c r="E240" s="16" t="s">
        <v>2018</v>
      </c>
      <c r="F240" s="17" t="s">
        <v>1187</v>
      </c>
      <c r="G240" s="3" t="s">
        <v>3646</v>
      </c>
      <c r="H240" s="6">
        <v>10394.672</v>
      </c>
    </row>
    <row r="241" spans="1:8" ht="15.75" customHeight="1" x14ac:dyDescent="0.35">
      <c r="A241" s="15"/>
      <c r="B241" s="3" t="s">
        <v>330</v>
      </c>
      <c r="C241" s="16" t="s">
        <v>2878</v>
      </c>
      <c r="D241" s="17" t="s">
        <v>860</v>
      </c>
      <c r="E241" s="16" t="s">
        <v>2019</v>
      </c>
      <c r="F241" s="17" t="s">
        <v>1188</v>
      </c>
      <c r="G241" s="3" t="s">
        <v>3647</v>
      </c>
      <c r="H241" s="6">
        <v>30494.847999999998</v>
      </c>
    </row>
    <row r="242" spans="1:8" ht="15.75" customHeight="1" x14ac:dyDescent="0.35">
      <c r="A242" s="15"/>
      <c r="B242" s="3" t="s">
        <v>331</v>
      </c>
      <c r="C242" s="16" t="s">
        <v>2879</v>
      </c>
      <c r="D242" s="17" t="s">
        <v>861</v>
      </c>
      <c r="E242" s="16" t="s">
        <v>2020</v>
      </c>
      <c r="F242" s="17" t="s">
        <v>1189</v>
      </c>
      <c r="G242" s="3" t="s">
        <v>3648</v>
      </c>
      <c r="H242" s="6">
        <v>16027.487999999999</v>
      </c>
    </row>
    <row r="243" spans="1:8" ht="15.75" customHeight="1" x14ac:dyDescent="0.35">
      <c r="A243" s="15"/>
      <c r="B243" s="3" t="s">
        <v>332</v>
      </c>
      <c r="C243" s="16" t="s">
        <v>2880</v>
      </c>
      <c r="D243" s="17" t="s">
        <v>860</v>
      </c>
      <c r="E243" s="16" t="s">
        <v>2021</v>
      </c>
      <c r="F243" s="17" t="s">
        <v>1190</v>
      </c>
      <c r="G243" s="3" t="s">
        <v>3649</v>
      </c>
      <c r="H243" s="6">
        <v>24436.736000000001</v>
      </c>
    </row>
    <row r="244" spans="1:8" ht="15.75" customHeight="1" x14ac:dyDescent="0.35">
      <c r="A244" s="15"/>
      <c r="B244" s="3" t="s">
        <v>333</v>
      </c>
      <c r="C244" s="16" t="s">
        <v>2881</v>
      </c>
      <c r="D244" s="17" t="s">
        <v>861</v>
      </c>
      <c r="E244" s="16" t="s">
        <v>2022</v>
      </c>
      <c r="F244" s="17" t="s">
        <v>1191</v>
      </c>
      <c r="G244" s="3" t="s">
        <v>3649</v>
      </c>
      <c r="H244" s="6">
        <v>8316.2240000000002</v>
      </c>
    </row>
    <row r="245" spans="1:8" ht="15.75" customHeight="1" x14ac:dyDescent="0.35">
      <c r="A245" s="15"/>
      <c r="B245" s="3" t="s">
        <v>334</v>
      </c>
      <c r="C245" s="16" t="s">
        <v>2882</v>
      </c>
      <c r="D245" s="17" t="s">
        <v>861</v>
      </c>
      <c r="E245" s="16" t="s">
        <v>2023</v>
      </c>
      <c r="F245" s="17" t="s">
        <v>1192</v>
      </c>
      <c r="G245" s="3" t="s">
        <v>3650</v>
      </c>
      <c r="H245" s="6">
        <v>24828.592000000001</v>
      </c>
    </row>
    <row r="246" spans="1:8" ht="15.75" customHeight="1" x14ac:dyDescent="0.35">
      <c r="A246" s="15"/>
      <c r="B246" s="3" t="s">
        <v>336</v>
      </c>
      <c r="C246" s="16" t="s">
        <v>2884</v>
      </c>
      <c r="D246" s="17" t="s">
        <v>861</v>
      </c>
      <c r="E246" s="16" t="s">
        <v>2025</v>
      </c>
      <c r="F246" s="17" t="s">
        <v>1194</v>
      </c>
      <c r="G246" s="3" t="s">
        <v>3651</v>
      </c>
      <c r="H246" s="6">
        <v>5632.2079999999996</v>
      </c>
    </row>
    <row r="247" spans="1:8" ht="15.75" customHeight="1" x14ac:dyDescent="0.35">
      <c r="A247" s="15"/>
      <c r="B247" s="3" t="s">
        <v>337</v>
      </c>
      <c r="C247" s="16" t="s">
        <v>2885</v>
      </c>
      <c r="D247" s="17" t="s">
        <v>861</v>
      </c>
      <c r="E247" s="16" t="s">
        <v>2026</v>
      </c>
      <c r="F247" s="17" t="s">
        <v>1195</v>
      </c>
      <c r="G247" s="3" t="s">
        <v>3652</v>
      </c>
      <c r="H247" s="6">
        <v>11722.848</v>
      </c>
    </row>
    <row r="248" spans="1:8" ht="15.75" customHeight="1" x14ac:dyDescent="0.35">
      <c r="A248" s="15"/>
      <c r="B248" s="3" t="s">
        <v>338</v>
      </c>
      <c r="C248" s="16" t="s">
        <v>2886</v>
      </c>
      <c r="D248" s="17" t="s">
        <v>861</v>
      </c>
      <c r="E248" s="16" t="s">
        <v>2027</v>
      </c>
      <c r="F248" s="17" t="s">
        <v>1196</v>
      </c>
      <c r="G248" s="3" t="s">
        <v>3653</v>
      </c>
      <c r="H248" s="6">
        <v>10070</v>
      </c>
    </row>
    <row r="249" spans="1:8" ht="15.75" customHeight="1" x14ac:dyDescent="0.35">
      <c r="A249" s="15"/>
      <c r="B249" s="3" t="s">
        <v>339</v>
      </c>
      <c r="C249" s="16" t="s">
        <v>2887</v>
      </c>
      <c r="D249" s="17" t="s">
        <v>861</v>
      </c>
      <c r="E249" s="16" t="s">
        <v>2028</v>
      </c>
      <c r="F249" s="17" t="s">
        <v>1197</v>
      </c>
      <c r="G249" s="3" t="s">
        <v>3654</v>
      </c>
      <c r="H249" s="6">
        <v>5632.2079999999996</v>
      </c>
    </row>
    <row r="250" spans="1:8" ht="15.75" customHeight="1" x14ac:dyDescent="0.35">
      <c r="A250" s="15"/>
      <c r="B250" s="3" t="s">
        <v>341</v>
      </c>
      <c r="C250" s="16" t="s">
        <v>2889</v>
      </c>
      <c r="D250" s="17" t="s">
        <v>860</v>
      </c>
      <c r="E250" s="16" t="s">
        <v>2030</v>
      </c>
      <c r="F250" s="17" t="s">
        <v>1199</v>
      </c>
      <c r="G250" s="3" t="s">
        <v>3655</v>
      </c>
      <c r="H250" s="6">
        <v>18811.823999999997</v>
      </c>
    </row>
    <row r="251" spans="1:8" ht="15.75" customHeight="1" x14ac:dyDescent="0.35">
      <c r="A251" s="15"/>
      <c r="B251" s="3" t="s">
        <v>342</v>
      </c>
      <c r="C251" s="16" t="s">
        <v>2890</v>
      </c>
      <c r="D251" s="17" t="s">
        <v>861</v>
      </c>
      <c r="E251" s="16" t="s">
        <v>2031</v>
      </c>
      <c r="F251" s="17" t="s">
        <v>1200</v>
      </c>
      <c r="G251" s="3" t="s">
        <v>3656</v>
      </c>
      <c r="H251" s="6">
        <v>18032.367999999999</v>
      </c>
    </row>
    <row r="252" spans="1:8" ht="15.75" customHeight="1" x14ac:dyDescent="0.35">
      <c r="A252" s="15"/>
      <c r="B252" s="3" t="s">
        <v>346</v>
      </c>
      <c r="C252" s="16" t="s">
        <v>2894</v>
      </c>
      <c r="D252" s="17" t="s">
        <v>861</v>
      </c>
      <c r="E252" s="16" t="s">
        <v>2035</v>
      </c>
      <c r="F252" s="17" t="s">
        <v>1189</v>
      </c>
      <c r="G252" s="3" t="s">
        <v>3657</v>
      </c>
      <c r="H252" s="6">
        <v>13767.552</v>
      </c>
    </row>
    <row r="253" spans="1:8" ht="15.75" customHeight="1" x14ac:dyDescent="0.35">
      <c r="A253" s="15"/>
      <c r="B253" s="3" t="s">
        <v>347</v>
      </c>
      <c r="C253" s="16" t="s">
        <v>2895</v>
      </c>
      <c r="D253" s="17" t="s">
        <v>861</v>
      </c>
      <c r="E253" s="16" t="s">
        <v>2036</v>
      </c>
      <c r="F253" s="17" t="s">
        <v>1204</v>
      </c>
      <c r="G253" s="3" t="s">
        <v>3658</v>
      </c>
      <c r="H253" s="6">
        <v>12803.871999999999</v>
      </c>
    </row>
    <row r="254" spans="1:8" ht="15.75" customHeight="1" x14ac:dyDescent="0.35">
      <c r="A254" s="15"/>
      <c r="B254" s="3" t="s">
        <v>349</v>
      </c>
      <c r="C254" s="16" t="s">
        <v>2897</v>
      </c>
      <c r="D254" s="17" t="s">
        <v>860</v>
      </c>
      <c r="E254" s="16" t="s">
        <v>2038</v>
      </c>
      <c r="F254" s="17" t="s">
        <v>1206</v>
      </c>
      <c r="G254" s="3" t="s">
        <v>3659</v>
      </c>
      <c r="H254" s="6">
        <v>8226.5439999999999</v>
      </c>
    </row>
    <row r="255" spans="1:8" ht="15.75" customHeight="1" x14ac:dyDescent="0.35">
      <c r="A255" s="15"/>
      <c r="B255" s="3" t="s">
        <v>350</v>
      </c>
      <c r="C255" s="16" t="s">
        <v>2898</v>
      </c>
      <c r="D255" s="17" t="s">
        <v>861</v>
      </c>
      <c r="E255" s="16" t="s">
        <v>2039</v>
      </c>
      <c r="F255" s="17" t="s">
        <v>1207</v>
      </c>
      <c r="G255" s="3" t="s">
        <v>3659</v>
      </c>
      <c r="H255" s="6">
        <v>10022.575999999999</v>
      </c>
    </row>
    <row r="256" spans="1:8" ht="15.75" customHeight="1" x14ac:dyDescent="0.35">
      <c r="A256" s="15"/>
      <c r="B256" s="3" t="s">
        <v>352</v>
      </c>
      <c r="C256" s="16" t="s">
        <v>2900</v>
      </c>
      <c r="D256" s="17" t="s">
        <v>861</v>
      </c>
      <c r="E256" s="16" t="s">
        <v>2041</v>
      </c>
      <c r="F256" s="17" t="s">
        <v>1209</v>
      </c>
      <c r="G256" s="3" t="s">
        <v>3660</v>
      </c>
      <c r="H256" s="6">
        <v>21347.488000000001</v>
      </c>
    </row>
    <row r="257" spans="1:8" ht="15.75" customHeight="1" x14ac:dyDescent="0.35">
      <c r="A257" s="15"/>
      <c r="B257" s="3" t="s">
        <v>353</v>
      </c>
      <c r="C257" s="16" t="s">
        <v>2901</v>
      </c>
      <c r="D257" s="17" t="s">
        <v>861</v>
      </c>
      <c r="E257" s="16" t="s">
        <v>2042</v>
      </c>
      <c r="F257" s="17" t="s">
        <v>1201</v>
      </c>
      <c r="G257" s="3" t="s">
        <v>3660</v>
      </c>
      <c r="H257" s="6">
        <v>11413.679999999998</v>
      </c>
    </row>
    <row r="258" spans="1:8" ht="15.75" customHeight="1" x14ac:dyDescent="0.35">
      <c r="A258" s="15"/>
      <c r="B258" s="3" t="s">
        <v>354</v>
      </c>
      <c r="C258" s="16" t="s">
        <v>2902</v>
      </c>
      <c r="D258" s="17" t="s">
        <v>861</v>
      </c>
      <c r="E258" s="16" t="s">
        <v>2043</v>
      </c>
      <c r="F258" s="17" t="s">
        <v>1210</v>
      </c>
      <c r="G258" s="3" t="s">
        <v>3661</v>
      </c>
      <c r="H258" s="6">
        <v>5632.2079999999996</v>
      </c>
    </row>
    <row r="259" spans="1:8" ht="15.75" customHeight="1" x14ac:dyDescent="0.35">
      <c r="A259" s="15"/>
      <c r="B259" s="3" t="s">
        <v>355</v>
      </c>
      <c r="C259" s="16" t="s">
        <v>2903</v>
      </c>
      <c r="D259" s="17" t="s">
        <v>861</v>
      </c>
      <c r="E259" s="16" t="s">
        <v>2044</v>
      </c>
      <c r="F259" s="17" t="s">
        <v>1211</v>
      </c>
      <c r="G259" s="3" t="s">
        <v>3662</v>
      </c>
      <c r="H259" s="6">
        <v>13864.527999999998</v>
      </c>
    </row>
    <row r="260" spans="1:8" ht="15.75" customHeight="1" x14ac:dyDescent="0.35">
      <c r="A260" s="15"/>
      <c r="B260" s="3" t="s">
        <v>357</v>
      </c>
      <c r="C260" s="16" t="s">
        <v>2905</v>
      </c>
      <c r="D260" s="17" t="s">
        <v>860</v>
      </c>
      <c r="E260" s="16" t="s">
        <v>2046</v>
      </c>
      <c r="F260" s="17" t="s">
        <v>1213</v>
      </c>
      <c r="G260" s="3" t="s">
        <v>3663</v>
      </c>
      <c r="H260" s="6">
        <v>16210.8</v>
      </c>
    </row>
    <row r="261" spans="1:8" ht="15.75" customHeight="1" x14ac:dyDescent="0.35">
      <c r="A261" s="15"/>
      <c r="B261" s="3" t="s">
        <v>359</v>
      </c>
      <c r="C261" s="16" t="s">
        <v>2907</v>
      </c>
      <c r="D261" s="17" t="s">
        <v>860</v>
      </c>
      <c r="E261" s="16" t="s">
        <v>2048</v>
      </c>
      <c r="F261" s="17" t="s">
        <v>1215</v>
      </c>
      <c r="G261" s="3" t="s">
        <v>3664</v>
      </c>
      <c r="H261" s="6">
        <v>5632.2079999999996</v>
      </c>
    </row>
    <row r="262" spans="1:8" ht="15.75" customHeight="1" x14ac:dyDescent="0.35">
      <c r="A262" s="15"/>
      <c r="B262" s="3" t="s">
        <v>361</v>
      </c>
      <c r="C262" s="16" t="s">
        <v>2909</v>
      </c>
      <c r="D262" s="17" t="s">
        <v>861</v>
      </c>
      <c r="E262" s="16" t="s">
        <v>2050</v>
      </c>
      <c r="F262" s="17" t="s">
        <v>1217</v>
      </c>
      <c r="G262" s="3" t="s">
        <v>3665</v>
      </c>
      <c r="H262" s="6">
        <v>5602.72</v>
      </c>
    </row>
    <row r="263" spans="1:8" ht="15.75" customHeight="1" x14ac:dyDescent="0.35">
      <c r="A263" s="15"/>
      <c r="B263" s="3" t="s">
        <v>362</v>
      </c>
      <c r="C263" s="16" t="s">
        <v>2910</v>
      </c>
      <c r="D263" s="17" t="s">
        <v>861</v>
      </c>
      <c r="E263" s="16" t="s">
        <v>2051</v>
      </c>
      <c r="F263" s="17" t="s">
        <v>1218</v>
      </c>
      <c r="G263" s="3" t="s">
        <v>3666</v>
      </c>
      <c r="H263" s="6">
        <v>6200.6880000000001</v>
      </c>
    </row>
    <row r="264" spans="1:8" ht="15.75" customHeight="1" x14ac:dyDescent="0.35">
      <c r="A264" s="15"/>
      <c r="B264" s="3" t="s">
        <v>364</v>
      </c>
      <c r="C264" s="16" t="s">
        <v>2912</v>
      </c>
      <c r="D264" s="17" t="s">
        <v>860</v>
      </c>
      <c r="E264" s="16" t="s">
        <v>2053</v>
      </c>
      <c r="F264" s="17" t="s">
        <v>1220</v>
      </c>
      <c r="G264" s="3" t="s">
        <v>3667</v>
      </c>
      <c r="H264" s="6">
        <v>11506.704</v>
      </c>
    </row>
    <row r="265" spans="1:8" ht="15.75" customHeight="1" x14ac:dyDescent="0.35">
      <c r="A265" s="15"/>
      <c r="B265" s="3" t="s">
        <v>365</v>
      </c>
      <c r="C265" s="16" t="s">
        <v>2913</v>
      </c>
      <c r="D265" s="17" t="s">
        <v>860</v>
      </c>
      <c r="E265" s="16" t="s">
        <v>2054</v>
      </c>
      <c r="F265" s="17" t="s">
        <v>1221</v>
      </c>
      <c r="G265" s="3" t="s">
        <v>3668</v>
      </c>
      <c r="H265" s="6">
        <v>20267.984</v>
      </c>
    </row>
    <row r="266" spans="1:8" ht="15.75" customHeight="1" x14ac:dyDescent="0.35">
      <c r="A266" s="15"/>
      <c r="B266" s="3" t="s">
        <v>366</v>
      </c>
      <c r="C266" s="16" t="s">
        <v>2914</v>
      </c>
      <c r="D266" s="17" t="s">
        <v>861</v>
      </c>
      <c r="E266" s="16" t="s">
        <v>2055</v>
      </c>
      <c r="F266" s="17" t="s">
        <v>1222</v>
      </c>
      <c r="G266" s="3" t="s">
        <v>3669</v>
      </c>
      <c r="H266" s="6">
        <v>23399.184000000001</v>
      </c>
    </row>
    <row r="267" spans="1:8" ht="15.75" customHeight="1" x14ac:dyDescent="0.35">
      <c r="A267" s="15"/>
      <c r="B267" s="3" t="s">
        <v>367</v>
      </c>
      <c r="C267" s="16" t="s">
        <v>2915</v>
      </c>
      <c r="D267" s="17" t="s">
        <v>860</v>
      </c>
      <c r="E267" s="16" t="s">
        <v>2056</v>
      </c>
      <c r="F267" s="17" t="s">
        <v>1223</v>
      </c>
      <c r="G267" s="3" t="s">
        <v>3670</v>
      </c>
      <c r="H267" s="6">
        <v>8480.6880000000001</v>
      </c>
    </row>
    <row r="268" spans="1:8" ht="15.75" customHeight="1" x14ac:dyDescent="0.35">
      <c r="A268" s="15"/>
      <c r="B268" s="3" t="s">
        <v>369</v>
      </c>
      <c r="C268" s="16" t="s">
        <v>2917</v>
      </c>
      <c r="D268" s="17" t="s">
        <v>861</v>
      </c>
      <c r="E268" s="16" t="s">
        <v>2058</v>
      </c>
      <c r="F268" s="17" t="s">
        <v>1225</v>
      </c>
      <c r="G268" s="3" t="s">
        <v>3671</v>
      </c>
      <c r="H268" s="6">
        <v>8583.44</v>
      </c>
    </row>
    <row r="269" spans="1:8" ht="15.75" customHeight="1" x14ac:dyDescent="0.35">
      <c r="A269" s="15"/>
      <c r="B269" s="3" t="s">
        <v>370</v>
      </c>
      <c r="C269" s="16" t="s">
        <v>2918</v>
      </c>
      <c r="D269" s="17" t="s">
        <v>860</v>
      </c>
      <c r="E269" s="16" t="s">
        <v>2059</v>
      </c>
      <c r="F269" s="17" t="s">
        <v>1226</v>
      </c>
      <c r="G269" s="3" t="s">
        <v>3672</v>
      </c>
      <c r="H269" s="6">
        <v>7868.4319999999989</v>
      </c>
    </row>
    <row r="270" spans="1:8" ht="15.75" customHeight="1" x14ac:dyDescent="0.35">
      <c r="A270" s="15"/>
      <c r="B270" s="3" t="s">
        <v>371</v>
      </c>
      <c r="C270" s="16" t="s">
        <v>2919</v>
      </c>
      <c r="D270" s="17" t="s">
        <v>861</v>
      </c>
      <c r="E270" s="16" t="s">
        <v>2060</v>
      </c>
      <c r="F270" s="17" t="s">
        <v>1227</v>
      </c>
      <c r="G270" s="3" t="s">
        <v>3673</v>
      </c>
      <c r="H270" s="6">
        <v>17258.991999999998</v>
      </c>
    </row>
    <row r="271" spans="1:8" ht="15.75" customHeight="1" x14ac:dyDescent="0.35">
      <c r="A271" s="15"/>
      <c r="B271" s="3" t="s">
        <v>372</v>
      </c>
      <c r="C271" s="16" t="s">
        <v>2920</v>
      </c>
      <c r="D271" s="17" t="s">
        <v>861</v>
      </c>
      <c r="E271" s="16" t="s">
        <v>2061</v>
      </c>
      <c r="F271" s="17" t="s">
        <v>1228</v>
      </c>
      <c r="G271" s="3" t="s">
        <v>3674</v>
      </c>
      <c r="H271" s="6">
        <v>10597.44</v>
      </c>
    </row>
    <row r="272" spans="1:8" ht="15.75" customHeight="1" x14ac:dyDescent="0.35">
      <c r="A272" s="15"/>
      <c r="B272" s="3" t="s">
        <v>373</v>
      </c>
      <c r="C272" s="16" t="s">
        <v>2921</v>
      </c>
      <c r="D272" s="17" t="s">
        <v>860</v>
      </c>
      <c r="E272" s="16" t="s">
        <v>2062</v>
      </c>
      <c r="F272" s="17" t="s">
        <v>1229</v>
      </c>
      <c r="G272" s="3" t="s">
        <v>3675</v>
      </c>
      <c r="H272" s="6">
        <v>7358.0159999999996</v>
      </c>
    </row>
    <row r="273" spans="1:8" ht="15.75" customHeight="1" x14ac:dyDescent="0.35">
      <c r="A273" s="15"/>
      <c r="B273" s="3" t="s">
        <v>376</v>
      </c>
      <c r="C273" s="16" t="s">
        <v>2924</v>
      </c>
      <c r="D273" s="17" t="s">
        <v>860</v>
      </c>
      <c r="E273" s="16" t="s">
        <v>2065</v>
      </c>
      <c r="F273" s="17" t="s">
        <v>1231</v>
      </c>
      <c r="G273" s="3" t="s">
        <v>3676</v>
      </c>
      <c r="H273" s="6">
        <v>11867.856</v>
      </c>
    </row>
    <row r="274" spans="1:8" ht="15.75" customHeight="1" x14ac:dyDescent="0.35">
      <c r="A274" s="15"/>
      <c r="B274" s="3" t="s">
        <v>380</v>
      </c>
      <c r="C274" s="16" t="s">
        <v>2928</v>
      </c>
      <c r="D274" s="17" t="s">
        <v>861</v>
      </c>
      <c r="E274" s="16" t="s">
        <v>2069</v>
      </c>
      <c r="F274" s="17" t="s">
        <v>1235</v>
      </c>
      <c r="G274" s="3" t="s">
        <v>3677</v>
      </c>
      <c r="H274" s="6">
        <v>10070</v>
      </c>
    </row>
    <row r="275" spans="1:8" ht="15.75" customHeight="1" x14ac:dyDescent="0.35">
      <c r="A275" s="15"/>
      <c r="B275" s="3" t="s">
        <v>381</v>
      </c>
      <c r="C275" s="16" t="s">
        <v>2929</v>
      </c>
      <c r="D275" s="17" t="s">
        <v>861</v>
      </c>
      <c r="E275" s="16" t="s">
        <v>2070</v>
      </c>
      <c r="F275" s="17" t="s">
        <v>1236</v>
      </c>
      <c r="G275" s="3" t="s">
        <v>3678</v>
      </c>
      <c r="H275" s="6">
        <v>8172.4319999999989</v>
      </c>
    </row>
    <row r="276" spans="1:8" ht="15.75" customHeight="1" x14ac:dyDescent="0.35">
      <c r="A276" s="15"/>
      <c r="B276" s="3" t="s">
        <v>382</v>
      </c>
      <c r="C276" s="16" t="s">
        <v>2930</v>
      </c>
      <c r="D276" s="17" t="s">
        <v>860</v>
      </c>
      <c r="E276" s="16" t="s">
        <v>2071</v>
      </c>
      <c r="F276" s="17" t="s">
        <v>1237</v>
      </c>
      <c r="G276" s="3" t="s">
        <v>3678</v>
      </c>
      <c r="H276" s="6">
        <v>27410.463999999996</v>
      </c>
    </row>
    <row r="277" spans="1:8" ht="15.75" customHeight="1" x14ac:dyDescent="0.35">
      <c r="A277" s="15"/>
      <c r="B277" s="3" t="s">
        <v>383</v>
      </c>
      <c r="C277" s="16" t="s">
        <v>2931</v>
      </c>
      <c r="D277" s="17" t="s">
        <v>860</v>
      </c>
      <c r="E277" s="16" t="s">
        <v>2072</v>
      </c>
      <c r="F277" s="17" t="s">
        <v>1238</v>
      </c>
      <c r="G277" s="3" t="s">
        <v>3679</v>
      </c>
      <c r="H277" s="6">
        <v>21688.880000000001</v>
      </c>
    </row>
    <row r="278" spans="1:8" ht="15.75" customHeight="1" x14ac:dyDescent="0.35">
      <c r="A278" s="15"/>
      <c r="B278" s="3" t="s">
        <v>384</v>
      </c>
      <c r="C278" s="16" t="s">
        <v>2932</v>
      </c>
      <c r="D278" s="17" t="s">
        <v>861</v>
      </c>
      <c r="E278" s="16" t="s">
        <v>2073</v>
      </c>
      <c r="F278" s="17" t="s">
        <v>1239</v>
      </c>
      <c r="G278" s="3" t="s">
        <v>3679</v>
      </c>
      <c r="H278" s="6">
        <v>8967.3919999999998</v>
      </c>
    </row>
    <row r="279" spans="1:8" ht="15.75" customHeight="1" x14ac:dyDescent="0.35">
      <c r="A279" s="15"/>
      <c r="B279" s="3" t="s">
        <v>385</v>
      </c>
      <c r="C279" s="16" t="s">
        <v>2933</v>
      </c>
      <c r="D279" s="17" t="s">
        <v>861</v>
      </c>
      <c r="E279" s="16" t="s">
        <v>2074</v>
      </c>
      <c r="F279" s="17" t="s">
        <v>1240</v>
      </c>
      <c r="G279" s="3" t="s">
        <v>3680</v>
      </c>
      <c r="H279" s="6">
        <v>10618.72</v>
      </c>
    </row>
    <row r="280" spans="1:8" ht="15.75" customHeight="1" x14ac:dyDescent="0.35">
      <c r="A280" s="15"/>
      <c r="B280" s="3" t="s">
        <v>387</v>
      </c>
      <c r="C280" s="16" t="s">
        <v>2935</v>
      </c>
      <c r="D280" s="17" t="s">
        <v>861</v>
      </c>
      <c r="E280" s="16" t="s">
        <v>2076</v>
      </c>
      <c r="F280" s="17" t="s">
        <v>1242</v>
      </c>
      <c r="G280" s="3" t="s">
        <v>3681</v>
      </c>
      <c r="H280" s="6">
        <v>26393.279999999999</v>
      </c>
    </row>
    <row r="281" spans="1:8" ht="15.75" customHeight="1" x14ac:dyDescent="0.35">
      <c r="A281" s="15"/>
      <c r="B281" s="3" t="s">
        <v>389</v>
      </c>
      <c r="C281" s="16" t="s">
        <v>2937</v>
      </c>
      <c r="D281" s="17" t="s">
        <v>860</v>
      </c>
      <c r="E281" s="16" t="s">
        <v>2078</v>
      </c>
      <c r="F281" s="17" t="s">
        <v>1208</v>
      </c>
      <c r="G281" s="3" t="s">
        <v>3682</v>
      </c>
      <c r="H281" s="6">
        <v>7557.44</v>
      </c>
    </row>
    <row r="282" spans="1:8" ht="15.75" customHeight="1" x14ac:dyDescent="0.35">
      <c r="A282" s="15"/>
      <c r="B282" s="3" t="s">
        <v>391</v>
      </c>
      <c r="C282" s="16" t="s">
        <v>2939</v>
      </c>
      <c r="D282" s="17" t="s">
        <v>861</v>
      </c>
      <c r="E282" s="16" t="s">
        <v>2080</v>
      </c>
      <c r="F282" s="17" t="s">
        <v>1245</v>
      </c>
      <c r="G282" s="3" t="s">
        <v>3683</v>
      </c>
      <c r="H282" s="6">
        <v>10509.279999999999</v>
      </c>
    </row>
    <row r="283" spans="1:8" ht="15.75" customHeight="1" x14ac:dyDescent="0.35">
      <c r="A283" s="15"/>
      <c r="B283" s="3" t="s">
        <v>392</v>
      </c>
      <c r="C283" s="16" t="s">
        <v>2940</v>
      </c>
      <c r="D283" s="17" t="s">
        <v>861</v>
      </c>
      <c r="E283" s="16" t="s">
        <v>2081</v>
      </c>
      <c r="F283" s="17" t="s">
        <v>1246</v>
      </c>
      <c r="G283" s="3" t="s">
        <v>3684</v>
      </c>
      <c r="H283" s="6">
        <v>26577.503999999997</v>
      </c>
    </row>
    <row r="284" spans="1:8" ht="15.75" customHeight="1" x14ac:dyDescent="0.35">
      <c r="A284" s="15"/>
      <c r="B284" s="3" t="s">
        <v>394</v>
      </c>
      <c r="C284" s="16" t="s">
        <v>2942</v>
      </c>
      <c r="D284" s="17" t="s">
        <v>861</v>
      </c>
      <c r="E284" s="16" t="s">
        <v>2083</v>
      </c>
      <c r="F284" s="17" t="s">
        <v>1248</v>
      </c>
      <c r="G284" s="3" t="s">
        <v>3685</v>
      </c>
      <c r="H284" s="6">
        <v>15912.880000000001</v>
      </c>
    </row>
    <row r="285" spans="1:8" ht="15.75" customHeight="1" x14ac:dyDescent="0.35">
      <c r="A285" s="15"/>
      <c r="B285" s="3" t="s">
        <v>396</v>
      </c>
      <c r="C285" s="16" t="s">
        <v>2944</v>
      </c>
      <c r="D285" s="17" t="s">
        <v>861</v>
      </c>
      <c r="E285" s="16" t="s">
        <v>2085</v>
      </c>
      <c r="F285" s="17" t="s">
        <v>1250</v>
      </c>
      <c r="G285" s="3" t="s">
        <v>3686</v>
      </c>
      <c r="H285" s="6">
        <v>23666.703999999998</v>
      </c>
    </row>
    <row r="286" spans="1:8" ht="15.75" customHeight="1" x14ac:dyDescent="0.35">
      <c r="A286" s="15"/>
      <c r="B286" s="3" t="s">
        <v>398</v>
      </c>
      <c r="C286" s="16" t="s">
        <v>2946</v>
      </c>
      <c r="D286" s="17" t="s">
        <v>861</v>
      </c>
      <c r="E286" s="16" t="s">
        <v>2087</v>
      </c>
      <c r="F286" s="17" t="s">
        <v>1252</v>
      </c>
      <c r="G286" s="3" t="s">
        <v>3687</v>
      </c>
      <c r="H286" s="6">
        <v>5632.2079999999996</v>
      </c>
    </row>
    <row r="287" spans="1:8" ht="15.75" customHeight="1" x14ac:dyDescent="0.35">
      <c r="A287" s="15"/>
      <c r="B287" s="3" t="s">
        <v>399</v>
      </c>
      <c r="C287" s="16" t="s">
        <v>2947</v>
      </c>
      <c r="D287" s="17" t="s">
        <v>860</v>
      </c>
      <c r="E287" s="16" t="s">
        <v>2088</v>
      </c>
      <c r="F287" s="17" t="s">
        <v>1253</v>
      </c>
      <c r="G287" s="3" t="s">
        <v>3688</v>
      </c>
      <c r="H287" s="6">
        <v>20095.311999999998</v>
      </c>
    </row>
    <row r="288" spans="1:8" ht="15.75" customHeight="1" x14ac:dyDescent="0.35">
      <c r="A288" s="15"/>
      <c r="B288" s="3" t="s">
        <v>400</v>
      </c>
      <c r="C288" s="16" t="s">
        <v>2948</v>
      </c>
      <c r="D288" s="17" t="s">
        <v>860</v>
      </c>
      <c r="E288" s="16" t="s">
        <v>2089</v>
      </c>
      <c r="F288" s="17" t="s">
        <v>1254</v>
      </c>
      <c r="G288" s="3" t="s">
        <v>3688</v>
      </c>
      <c r="H288" s="6">
        <v>18212.031999999999</v>
      </c>
    </row>
    <row r="289" spans="1:8" ht="15.75" customHeight="1" x14ac:dyDescent="0.35">
      <c r="A289" s="15"/>
      <c r="B289" s="3" t="s">
        <v>401</v>
      </c>
      <c r="C289" s="16" t="s">
        <v>2949</v>
      </c>
      <c r="D289" s="17" t="s">
        <v>860</v>
      </c>
      <c r="E289" s="16" t="s">
        <v>2090</v>
      </c>
      <c r="F289" s="17" t="s">
        <v>1255</v>
      </c>
      <c r="G289" s="3" t="s">
        <v>3689</v>
      </c>
      <c r="H289" s="6">
        <v>15849.039999999999</v>
      </c>
    </row>
    <row r="290" spans="1:8" ht="15.75" customHeight="1" x14ac:dyDescent="0.35">
      <c r="A290" s="15"/>
      <c r="B290" s="3" t="s">
        <v>403</v>
      </c>
      <c r="C290" s="16" t="s">
        <v>2951</v>
      </c>
      <c r="D290" s="17" t="s">
        <v>861</v>
      </c>
      <c r="E290" s="16" t="s">
        <v>2092</v>
      </c>
      <c r="F290" s="17" t="s">
        <v>1257</v>
      </c>
      <c r="G290" s="3" t="s">
        <v>3690</v>
      </c>
      <c r="H290" s="6">
        <v>5632.2079999999996</v>
      </c>
    </row>
    <row r="291" spans="1:8" ht="15.75" customHeight="1" x14ac:dyDescent="0.35">
      <c r="A291" s="15"/>
      <c r="B291" s="3" t="s">
        <v>404</v>
      </c>
      <c r="C291" s="16" t="s">
        <v>2952</v>
      </c>
      <c r="D291" s="17" t="s">
        <v>861</v>
      </c>
      <c r="E291" s="16" t="s">
        <v>2093</v>
      </c>
      <c r="F291" s="17" t="s">
        <v>1258</v>
      </c>
      <c r="G291" s="3" t="s">
        <v>3691</v>
      </c>
      <c r="H291" s="6">
        <v>5632.2079999999996</v>
      </c>
    </row>
    <row r="292" spans="1:8" ht="15.75" customHeight="1" x14ac:dyDescent="0.35">
      <c r="A292" s="15"/>
      <c r="B292" s="3" t="s">
        <v>405</v>
      </c>
      <c r="C292" s="16" t="s">
        <v>2953</v>
      </c>
      <c r="D292" s="17" t="s">
        <v>861</v>
      </c>
      <c r="E292" s="16" t="s">
        <v>2094</v>
      </c>
      <c r="F292" s="17" t="s">
        <v>1259</v>
      </c>
      <c r="G292" s="3" t="s">
        <v>3691</v>
      </c>
      <c r="H292" s="6">
        <v>13460.816000000001</v>
      </c>
    </row>
    <row r="293" spans="1:8" ht="15.75" customHeight="1" x14ac:dyDescent="0.35">
      <c r="A293" s="15"/>
      <c r="B293" s="3" t="s">
        <v>407</v>
      </c>
      <c r="C293" s="16" t="s">
        <v>2955</v>
      </c>
      <c r="D293" s="17" t="s">
        <v>861</v>
      </c>
      <c r="E293" s="16" t="s">
        <v>2096</v>
      </c>
      <c r="F293" s="17" t="s">
        <v>1261</v>
      </c>
      <c r="G293" s="3" t="s">
        <v>3692</v>
      </c>
      <c r="H293" s="6">
        <v>11372.335999999999</v>
      </c>
    </row>
    <row r="294" spans="1:8" ht="15.75" customHeight="1" x14ac:dyDescent="0.35">
      <c r="A294" s="15"/>
      <c r="B294" s="3" t="s">
        <v>408</v>
      </c>
      <c r="C294" s="16" t="s">
        <v>2956</v>
      </c>
      <c r="D294" s="17" t="s">
        <v>861</v>
      </c>
      <c r="E294" s="16" t="s">
        <v>2097</v>
      </c>
      <c r="F294" s="17" t="s">
        <v>1262</v>
      </c>
      <c r="G294" s="3" t="s">
        <v>3693</v>
      </c>
      <c r="H294" s="6">
        <v>15242.56</v>
      </c>
    </row>
    <row r="295" spans="1:8" ht="15.75" customHeight="1" x14ac:dyDescent="0.35">
      <c r="A295" s="15"/>
      <c r="B295" s="3" t="s">
        <v>409</v>
      </c>
      <c r="C295" s="16" t="s">
        <v>2957</v>
      </c>
      <c r="D295" s="17" t="s">
        <v>861</v>
      </c>
      <c r="E295" s="16" t="s">
        <v>2098</v>
      </c>
      <c r="F295" s="17" t="s">
        <v>1263</v>
      </c>
      <c r="G295" s="3" t="s">
        <v>3694</v>
      </c>
      <c r="H295" s="6">
        <v>21973.423999999999</v>
      </c>
    </row>
    <row r="296" spans="1:8" ht="15.75" customHeight="1" x14ac:dyDescent="0.35">
      <c r="A296" s="15"/>
      <c r="B296" s="3" t="s">
        <v>410</v>
      </c>
      <c r="C296" s="16" t="s">
        <v>2958</v>
      </c>
      <c r="D296" s="17" t="s">
        <v>861</v>
      </c>
      <c r="E296" s="16" t="s">
        <v>2099</v>
      </c>
      <c r="F296" s="17" t="s">
        <v>1264</v>
      </c>
      <c r="G296" s="3" t="s">
        <v>3695</v>
      </c>
      <c r="H296" s="6">
        <v>18476.511999999999</v>
      </c>
    </row>
    <row r="297" spans="1:8" ht="15.75" customHeight="1" x14ac:dyDescent="0.35">
      <c r="A297" s="15"/>
      <c r="B297" s="3" t="s">
        <v>412</v>
      </c>
      <c r="C297" s="16" t="s">
        <v>2960</v>
      </c>
      <c r="D297" s="17" t="s">
        <v>861</v>
      </c>
      <c r="E297" s="16" t="s">
        <v>2101</v>
      </c>
      <c r="F297" s="17" t="s">
        <v>903</v>
      </c>
      <c r="G297" s="3" t="s">
        <v>3696</v>
      </c>
      <c r="H297" s="6">
        <v>10176.096</v>
      </c>
    </row>
    <row r="298" spans="1:8" ht="15.75" customHeight="1" x14ac:dyDescent="0.35">
      <c r="A298" s="15"/>
      <c r="B298" s="3" t="s">
        <v>413</v>
      </c>
      <c r="C298" s="16" t="s">
        <v>2961</v>
      </c>
      <c r="D298" s="17" t="s">
        <v>861</v>
      </c>
      <c r="E298" s="16" t="s">
        <v>2102</v>
      </c>
      <c r="F298" s="17" t="s">
        <v>1266</v>
      </c>
      <c r="G298" s="3" t="s">
        <v>3696</v>
      </c>
      <c r="H298" s="6">
        <v>23990.463999999996</v>
      </c>
    </row>
    <row r="299" spans="1:8" ht="15.75" customHeight="1" x14ac:dyDescent="0.35">
      <c r="A299" s="15"/>
      <c r="B299" s="3" t="s">
        <v>414</v>
      </c>
      <c r="C299" s="16" t="s">
        <v>2962</v>
      </c>
      <c r="D299" s="17" t="s">
        <v>861</v>
      </c>
      <c r="E299" s="16" t="s">
        <v>2103</v>
      </c>
      <c r="F299" s="17" t="s">
        <v>1267</v>
      </c>
      <c r="G299" s="3" t="s">
        <v>3697</v>
      </c>
      <c r="H299" s="6">
        <v>18885.392</v>
      </c>
    </row>
    <row r="300" spans="1:8" ht="15.75" customHeight="1" x14ac:dyDescent="0.35">
      <c r="A300" s="15"/>
      <c r="B300" s="3" t="s">
        <v>415</v>
      </c>
      <c r="C300" s="16" t="s">
        <v>2963</v>
      </c>
      <c r="D300" s="17" t="s">
        <v>860</v>
      </c>
      <c r="E300" s="16" t="s">
        <v>2104</v>
      </c>
      <c r="F300" s="17" t="s">
        <v>1268</v>
      </c>
      <c r="G300" s="3" t="s">
        <v>3698</v>
      </c>
      <c r="H300" s="6">
        <v>15116.4</v>
      </c>
    </row>
    <row r="301" spans="1:8" ht="15.75" customHeight="1" x14ac:dyDescent="0.35">
      <c r="A301" s="15"/>
      <c r="B301" s="3" t="s">
        <v>418</v>
      </c>
      <c r="C301" s="16" t="s">
        <v>2966</v>
      </c>
      <c r="D301" s="17" t="s">
        <v>861</v>
      </c>
      <c r="E301" s="16" t="s">
        <v>2107</v>
      </c>
      <c r="F301" s="17" t="s">
        <v>1271</v>
      </c>
      <c r="G301" s="3" t="s">
        <v>3699</v>
      </c>
      <c r="H301" s="6">
        <v>6290.9759999999997</v>
      </c>
    </row>
    <row r="302" spans="1:8" ht="15.75" customHeight="1" x14ac:dyDescent="0.35">
      <c r="A302" s="15"/>
      <c r="B302" s="3" t="s">
        <v>419</v>
      </c>
      <c r="C302" s="16" t="s">
        <v>2967</v>
      </c>
      <c r="D302" s="17" t="s">
        <v>861</v>
      </c>
      <c r="E302" s="16" t="s">
        <v>2108</v>
      </c>
      <c r="F302" s="17" t="s">
        <v>1272</v>
      </c>
      <c r="G302" s="3" t="s">
        <v>3700</v>
      </c>
      <c r="H302" s="6">
        <v>23069.647999999997</v>
      </c>
    </row>
    <row r="303" spans="1:8" ht="15.75" customHeight="1" x14ac:dyDescent="0.35">
      <c r="A303" s="15"/>
      <c r="B303" s="3" t="s">
        <v>420</v>
      </c>
      <c r="C303" s="16" t="s">
        <v>2968</v>
      </c>
      <c r="D303" s="17" t="s">
        <v>861</v>
      </c>
      <c r="E303" s="16" t="s">
        <v>2109</v>
      </c>
      <c r="F303" s="17" t="s">
        <v>1273</v>
      </c>
      <c r="G303" s="3" t="s">
        <v>3700</v>
      </c>
      <c r="H303" s="6">
        <v>8886.8319999999985</v>
      </c>
    </row>
    <row r="304" spans="1:8" ht="15.75" customHeight="1" x14ac:dyDescent="0.35">
      <c r="A304" s="15"/>
      <c r="B304" s="3" t="s">
        <v>421</v>
      </c>
      <c r="C304" s="16" t="s">
        <v>2969</v>
      </c>
      <c r="D304" s="17" t="s">
        <v>860</v>
      </c>
      <c r="E304" s="16" t="s">
        <v>2110</v>
      </c>
      <c r="F304" s="17" t="s">
        <v>1274</v>
      </c>
      <c r="G304" s="3" t="s">
        <v>3701</v>
      </c>
      <c r="H304" s="6">
        <v>11435.264000000001</v>
      </c>
    </row>
    <row r="305" spans="1:8" ht="15.75" customHeight="1" x14ac:dyDescent="0.35">
      <c r="A305" s="15"/>
      <c r="B305" s="3" t="s">
        <v>423</v>
      </c>
      <c r="C305" s="16" t="s">
        <v>2971</v>
      </c>
      <c r="D305" s="17" t="s">
        <v>861</v>
      </c>
      <c r="E305" s="16" t="s">
        <v>2112</v>
      </c>
      <c r="F305" s="17" t="s">
        <v>1276</v>
      </c>
      <c r="G305" s="3" t="s">
        <v>3702</v>
      </c>
      <c r="H305" s="6">
        <v>21461.488000000001</v>
      </c>
    </row>
    <row r="306" spans="1:8" ht="15.75" customHeight="1" x14ac:dyDescent="0.35">
      <c r="A306" s="15"/>
      <c r="B306" s="3" t="s">
        <v>424</v>
      </c>
      <c r="C306" s="16" t="s">
        <v>2972</v>
      </c>
      <c r="D306" s="17" t="s">
        <v>860</v>
      </c>
      <c r="E306" s="16" t="s">
        <v>2113</v>
      </c>
      <c r="F306" s="17" t="s">
        <v>1277</v>
      </c>
      <c r="G306" s="3" t="s">
        <v>3702</v>
      </c>
      <c r="H306" s="6">
        <v>18158.223999999998</v>
      </c>
    </row>
    <row r="307" spans="1:8" ht="15.75" customHeight="1" x14ac:dyDescent="0.35">
      <c r="A307" s="15"/>
      <c r="B307" s="3" t="s">
        <v>425</v>
      </c>
      <c r="C307" s="16" t="s">
        <v>2973</v>
      </c>
      <c r="D307" s="17" t="s">
        <v>861</v>
      </c>
      <c r="E307" s="16" t="s">
        <v>2114</v>
      </c>
      <c r="F307" s="17" t="s">
        <v>1278</v>
      </c>
      <c r="G307" s="3" t="s">
        <v>3702</v>
      </c>
      <c r="H307" s="6">
        <v>19345.648000000001</v>
      </c>
    </row>
    <row r="308" spans="1:8" ht="15.75" customHeight="1" x14ac:dyDescent="0.35">
      <c r="A308" s="15"/>
      <c r="B308" s="3" t="s">
        <v>427</v>
      </c>
      <c r="C308" s="16" t="s">
        <v>2975</v>
      </c>
      <c r="D308" s="17" t="s">
        <v>860</v>
      </c>
      <c r="E308" s="16" t="s">
        <v>2116</v>
      </c>
      <c r="F308" s="17" t="s">
        <v>1280</v>
      </c>
      <c r="G308" s="3" t="s">
        <v>3703</v>
      </c>
      <c r="H308" s="6">
        <v>10590.751999999999</v>
      </c>
    </row>
    <row r="309" spans="1:8" ht="15.75" customHeight="1" x14ac:dyDescent="0.35">
      <c r="A309" s="15"/>
      <c r="B309" s="3" t="s">
        <v>428</v>
      </c>
      <c r="C309" s="16" t="s">
        <v>2976</v>
      </c>
      <c r="D309" s="17" t="s">
        <v>860</v>
      </c>
      <c r="E309" s="16" t="s">
        <v>2117</v>
      </c>
      <c r="F309" s="17" t="s">
        <v>1281</v>
      </c>
      <c r="G309" s="3" t="s">
        <v>3704</v>
      </c>
      <c r="H309" s="6">
        <v>69151.792000000001</v>
      </c>
    </row>
    <row r="310" spans="1:8" ht="15.75" customHeight="1" x14ac:dyDescent="0.35">
      <c r="A310" s="15"/>
      <c r="B310" s="3" t="s">
        <v>429</v>
      </c>
      <c r="C310" s="16" t="s">
        <v>2977</v>
      </c>
      <c r="D310" s="17" t="s">
        <v>860</v>
      </c>
      <c r="E310" s="16" t="s">
        <v>2118</v>
      </c>
      <c r="F310" s="17" t="s">
        <v>1282</v>
      </c>
      <c r="G310" s="3" t="s">
        <v>3705</v>
      </c>
      <c r="H310" s="6">
        <v>6992.3039999999992</v>
      </c>
    </row>
    <row r="311" spans="1:8" ht="15.75" customHeight="1" x14ac:dyDescent="0.35">
      <c r="A311" s="15"/>
      <c r="B311" s="3" t="s">
        <v>430</v>
      </c>
      <c r="C311" s="16" t="s">
        <v>2978</v>
      </c>
      <c r="D311" s="17" t="s">
        <v>860</v>
      </c>
      <c r="E311" s="16" t="s">
        <v>2119</v>
      </c>
      <c r="F311" s="17" t="s">
        <v>1283</v>
      </c>
      <c r="G311" s="3" t="s">
        <v>3705</v>
      </c>
      <c r="H311" s="6">
        <v>15014.255999999999</v>
      </c>
    </row>
    <row r="312" spans="1:8" ht="15.75" customHeight="1" x14ac:dyDescent="0.35">
      <c r="A312" s="15"/>
      <c r="B312" s="3" t="s">
        <v>432</v>
      </c>
      <c r="C312" s="16" t="s">
        <v>2980</v>
      </c>
      <c r="D312" s="17" t="s">
        <v>861</v>
      </c>
      <c r="E312" s="16" t="s">
        <v>2121</v>
      </c>
      <c r="F312" s="17" t="s">
        <v>1285</v>
      </c>
      <c r="G312" s="3" t="s">
        <v>3706</v>
      </c>
      <c r="H312" s="6">
        <v>5632.2079999999996</v>
      </c>
    </row>
    <row r="313" spans="1:8" ht="15.75" customHeight="1" x14ac:dyDescent="0.35">
      <c r="A313" s="15"/>
      <c r="B313" s="3" t="s">
        <v>433</v>
      </c>
      <c r="C313" s="16" t="s">
        <v>2981</v>
      </c>
      <c r="D313" s="17" t="s">
        <v>861</v>
      </c>
      <c r="E313" s="16" t="s">
        <v>2122</v>
      </c>
      <c r="F313" s="17" t="s">
        <v>1286</v>
      </c>
      <c r="G313" s="3" t="s">
        <v>3707</v>
      </c>
      <c r="H313" s="6">
        <v>5632.2079999999996</v>
      </c>
    </row>
    <row r="314" spans="1:8" ht="15.75" customHeight="1" x14ac:dyDescent="0.35">
      <c r="A314" s="15"/>
      <c r="B314" s="3" t="s">
        <v>434</v>
      </c>
      <c r="C314" s="16" t="s">
        <v>2982</v>
      </c>
      <c r="D314" s="17" t="s">
        <v>860</v>
      </c>
      <c r="E314" s="16" t="s">
        <v>2123</v>
      </c>
      <c r="F314" s="17" t="s">
        <v>1287</v>
      </c>
      <c r="G314" s="3" t="s">
        <v>3708</v>
      </c>
      <c r="H314" s="6">
        <v>5632.2079999999996</v>
      </c>
    </row>
    <row r="315" spans="1:8" ht="15.75" customHeight="1" x14ac:dyDescent="0.35">
      <c r="A315" s="15"/>
      <c r="B315" s="3" t="s">
        <v>435</v>
      </c>
      <c r="C315" s="16" t="s">
        <v>2983</v>
      </c>
      <c r="D315" s="17" t="s">
        <v>861</v>
      </c>
      <c r="E315" s="16" t="s">
        <v>2124</v>
      </c>
      <c r="F315" s="17" t="s">
        <v>1288</v>
      </c>
      <c r="G315" s="3" t="s">
        <v>3708</v>
      </c>
      <c r="H315" s="6">
        <v>17150.767999999996</v>
      </c>
    </row>
    <row r="316" spans="1:8" ht="15.75" customHeight="1" x14ac:dyDescent="0.35">
      <c r="A316" s="15"/>
      <c r="B316" s="3" t="s">
        <v>437</v>
      </c>
      <c r="C316" s="16" t="s">
        <v>2985</v>
      </c>
      <c r="D316" s="17" t="s">
        <v>860</v>
      </c>
      <c r="E316" s="16" t="s">
        <v>2126</v>
      </c>
      <c r="F316" s="17" t="s">
        <v>1290</v>
      </c>
      <c r="G316" s="3" t="s">
        <v>3709</v>
      </c>
      <c r="H316" s="6">
        <v>21829.328000000001</v>
      </c>
    </row>
    <row r="317" spans="1:8" ht="15.75" customHeight="1" x14ac:dyDescent="0.35">
      <c r="A317" s="15"/>
      <c r="B317" s="3" t="s">
        <v>438</v>
      </c>
      <c r="C317" s="16" t="s">
        <v>2986</v>
      </c>
      <c r="D317" s="17" t="s">
        <v>860</v>
      </c>
      <c r="E317" s="16" t="s">
        <v>2127</v>
      </c>
      <c r="F317" s="17" t="s">
        <v>1291</v>
      </c>
      <c r="G317" s="3" t="s">
        <v>3710</v>
      </c>
      <c r="H317" s="6">
        <v>20200.191999999999</v>
      </c>
    </row>
    <row r="318" spans="1:8" ht="15.75" customHeight="1" x14ac:dyDescent="0.35">
      <c r="A318" s="15"/>
      <c r="B318" s="3" t="s">
        <v>439</v>
      </c>
      <c r="C318" s="16" t="s">
        <v>2987</v>
      </c>
      <c r="D318" s="17" t="s">
        <v>860</v>
      </c>
      <c r="E318" s="16" t="s">
        <v>2128</v>
      </c>
      <c r="F318" s="17" t="s">
        <v>1292</v>
      </c>
      <c r="G318" s="3" t="s">
        <v>3711</v>
      </c>
      <c r="H318" s="6">
        <v>7330.3519999999999</v>
      </c>
    </row>
    <row r="319" spans="1:8" ht="15.75" customHeight="1" x14ac:dyDescent="0.35">
      <c r="A319" s="15"/>
      <c r="B319" s="3" t="s">
        <v>440</v>
      </c>
      <c r="C319" s="16" t="s">
        <v>2988</v>
      </c>
      <c r="D319" s="17" t="s">
        <v>861</v>
      </c>
      <c r="E319" s="16" t="s">
        <v>2129</v>
      </c>
      <c r="F319" s="17" t="s">
        <v>1293</v>
      </c>
      <c r="G319" s="3" t="s">
        <v>3712</v>
      </c>
      <c r="H319" s="6">
        <v>5632.2079999999996</v>
      </c>
    </row>
    <row r="320" spans="1:8" ht="15.75" customHeight="1" x14ac:dyDescent="0.35">
      <c r="A320" s="15"/>
      <c r="B320" s="3" t="s">
        <v>441</v>
      </c>
      <c r="C320" s="16" t="s">
        <v>2989</v>
      </c>
      <c r="D320" s="17" t="s">
        <v>861</v>
      </c>
      <c r="E320" s="16" t="s">
        <v>2130</v>
      </c>
      <c r="F320" s="17" t="s">
        <v>1294</v>
      </c>
      <c r="G320" s="3" t="s">
        <v>3713</v>
      </c>
      <c r="H320" s="6">
        <v>17592.175999999999</v>
      </c>
    </row>
    <row r="321" spans="1:8" ht="15.75" customHeight="1" x14ac:dyDescent="0.35">
      <c r="A321" s="15"/>
      <c r="B321" s="3" t="s">
        <v>442</v>
      </c>
      <c r="C321" s="16" t="s">
        <v>2990</v>
      </c>
      <c r="D321" s="17" t="s">
        <v>861</v>
      </c>
      <c r="E321" s="16" t="s">
        <v>2131</v>
      </c>
      <c r="F321" s="17" t="s">
        <v>1295</v>
      </c>
      <c r="G321" s="3" t="s">
        <v>3714</v>
      </c>
      <c r="H321" s="6">
        <v>13089.023999999999</v>
      </c>
    </row>
    <row r="322" spans="1:8" ht="15.75" customHeight="1" x14ac:dyDescent="0.35">
      <c r="A322" s="15"/>
      <c r="B322" s="3" t="s">
        <v>444</v>
      </c>
      <c r="C322" s="16" t="s">
        <v>2992</v>
      </c>
      <c r="D322" s="17" t="s">
        <v>861</v>
      </c>
      <c r="E322" s="16" t="s">
        <v>2133</v>
      </c>
      <c r="F322" s="17" t="s">
        <v>1297</v>
      </c>
      <c r="G322" s="3" t="s">
        <v>3715</v>
      </c>
      <c r="H322" s="6">
        <v>8219.5519999999997</v>
      </c>
    </row>
    <row r="323" spans="1:8" ht="15.75" customHeight="1" x14ac:dyDescent="0.35">
      <c r="A323" s="15"/>
      <c r="B323" s="3" t="s">
        <v>445</v>
      </c>
      <c r="C323" s="16" t="s">
        <v>2993</v>
      </c>
      <c r="D323" s="17" t="s">
        <v>860</v>
      </c>
      <c r="E323" s="16" t="s">
        <v>2134</v>
      </c>
      <c r="F323" s="17" t="s">
        <v>1298</v>
      </c>
      <c r="G323" s="3" t="s">
        <v>3716</v>
      </c>
      <c r="H323" s="6">
        <v>5632.2079999999996</v>
      </c>
    </row>
    <row r="324" spans="1:8" ht="15.75" customHeight="1" x14ac:dyDescent="0.35">
      <c r="A324" s="15"/>
      <c r="B324" s="3" t="s">
        <v>446</v>
      </c>
      <c r="C324" s="16" t="s">
        <v>2994</v>
      </c>
      <c r="D324" s="17" t="s">
        <v>860</v>
      </c>
      <c r="E324" s="16" t="s">
        <v>2135</v>
      </c>
      <c r="F324" s="17" t="s">
        <v>1299</v>
      </c>
      <c r="G324" s="3" t="s">
        <v>3717</v>
      </c>
      <c r="H324" s="6">
        <v>22229.088</v>
      </c>
    </row>
    <row r="325" spans="1:8" ht="15.75" customHeight="1" x14ac:dyDescent="0.35">
      <c r="A325" s="15"/>
      <c r="B325" s="3" t="s">
        <v>447</v>
      </c>
      <c r="C325" s="16" t="s">
        <v>2995</v>
      </c>
      <c r="D325" s="17" t="s">
        <v>861</v>
      </c>
      <c r="E325" s="16" t="s">
        <v>2136</v>
      </c>
      <c r="F325" s="17" t="s">
        <v>1300</v>
      </c>
      <c r="G325" s="3" t="s">
        <v>3718</v>
      </c>
      <c r="H325" s="6">
        <v>8801.4079999999994</v>
      </c>
    </row>
    <row r="326" spans="1:8" ht="15.75" customHeight="1" x14ac:dyDescent="0.35">
      <c r="A326" s="15"/>
      <c r="B326" s="3" t="s">
        <v>448</v>
      </c>
      <c r="C326" s="16" t="s">
        <v>2996</v>
      </c>
      <c r="D326" s="17" t="s">
        <v>861</v>
      </c>
      <c r="E326" s="16" t="s">
        <v>2137</v>
      </c>
      <c r="F326" s="17" t="s">
        <v>1301</v>
      </c>
      <c r="G326" s="3" t="s">
        <v>3719</v>
      </c>
      <c r="H326" s="6">
        <v>5632.2079999999996</v>
      </c>
    </row>
    <row r="327" spans="1:8" ht="15.75" customHeight="1" x14ac:dyDescent="0.35">
      <c r="A327" s="15"/>
      <c r="B327" s="3" t="s">
        <v>449</v>
      </c>
      <c r="C327" s="16" t="s">
        <v>2997</v>
      </c>
      <c r="D327" s="17" t="s">
        <v>861</v>
      </c>
      <c r="E327" s="16" t="s">
        <v>2138</v>
      </c>
      <c r="F327" s="17" t="s">
        <v>1302</v>
      </c>
      <c r="G327" s="3" t="s">
        <v>3719</v>
      </c>
      <c r="H327" s="6">
        <v>5632.2079999999996</v>
      </c>
    </row>
    <row r="328" spans="1:8" ht="15.75" customHeight="1" x14ac:dyDescent="0.35">
      <c r="A328" s="15"/>
      <c r="B328" s="3" t="s">
        <v>450</v>
      </c>
      <c r="C328" s="16" t="s">
        <v>2998</v>
      </c>
      <c r="D328" s="17" t="s">
        <v>860</v>
      </c>
      <c r="E328" s="16" t="s">
        <v>2139</v>
      </c>
      <c r="F328" s="17" t="s">
        <v>1303</v>
      </c>
      <c r="G328" s="3" t="s">
        <v>3719</v>
      </c>
      <c r="H328" s="6">
        <v>77473.574640000006</v>
      </c>
    </row>
    <row r="329" spans="1:8" ht="15.75" customHeight="1" x14ac:dyDescent="0.35">
      <c r="A329" s="15"/>
      <c r="B329" s="3" t="s">
        <v>451</v>
      </c>
      <c r="C329" s="16" t="s">
        <v>2999</v>
      </c>
      <c r="D329" s="17" t="s">
        <v>860</v>
      </c>
      <c r="E329" s="16" t="s">
        <v>2140</v>
      </c>
      <c r="F329" s="17" t="s">
        <v>1304</v>
      </c>
      <c r="G329" s="3" t="s">
        <v>3720</v>
      </c>
      <c r="H329" s="6">
        <v>16453.696</v>
      </c>
    </row>
    <row r="330" spans="1:8" ht="15.75" customHeight="1" x14ac:dyDescent="0.35">
      <c r="A330" s="15"/>
      <c r="B330" s="3" t="s">
        <v>452</v>
      </c>
      <c r="C330" s="16" t="s">
        <v>3000</v>
      </c>
      <c r="D330" s="17" t="s">
        <v>860</v>
      </c>
      <c r="E330" s="16" t="s">
        <v>2141</v>
      </c>
      <c r="F330" s="17" t="s">
        <v>1305</v>
      </c>
      <c r="G330" s="3" t="s">
        <v>3721</v>
      </c>
      <c r="H330" s="6">
        <v>12131.727999999999</v>
      </c>
    </row>
    <row r="331" spans="1:8" ht="15.75" customHeight="1" x14ac:dyDescent="0.35">
      <c r="A331" s="15"/>
      <c r="B331" s="3" t="s">
        <v>453</v>
      </c>
      <c r="C331" s="16" t="s">
        <v>3001</v>
      </c>
      <c r="D331" s="17" t="s">
        <v>861</v>
      </c>
      <c r="E331" s="16" t="s">
        <v>2142</v>
      </c>
      <c r="F331" s="17" t="s">
        <v>1306</v>
      </c>
      <c r="G331" s="3" t="s">
        <v>3721</v>
      </c>
      <c r="H331" s="6">
        <v>16422.991999999998</v>
      </c>
    </row>
    <row r="332" spans="1:8" ht="15.75" customHeight="1" x14ac:dyDescent="0.35">
      <c r="A332" s="15"/>
      <c r="B332" s="3" t="s">
        <v>456</v>
      </c>
      <c r="C332" s="16" t="s">
        <v>3004</v>
      </c>
      <c r="D332" s="17" t="s">
        <v>861</v>
      </c>
      <c r="E332" s="16" t="s">
        <v>2145</v>
      </c>
      <c r="F332" s="17" t="s">
        <v>1309</v>
      </c>
      <c r="G332" s="3" t="s">
        <v>3722</v>
      </c>
      <c r="H332" s="6">
        <v>9238.8639999999996</v>
      </c>
    </row>
    <row r="333" spans="1:8" ht="15.75" customHeight="1" x14ac:dyDescent="0.35">
      <c r="A333" s="15"/>
      <c r="B333" s="3" t="s">
        <v>457</v>
      </c>
      <c r="C333" s="16" t="s">
        <v>3005</v>
      </c>
      <c r="D333" s="17" t="s">
        <v>861</v>
      </c>
      <c r="E333" s="16" t="s">
        <v>2146</v>
      </c>
      <c r="F333" s="17" t="s">
        <v>1310</v>
      </c>
      <c r="G333" s="3" t="s">
        <v>3723</v>
      </c>
      <c r="H333" s="6">
        <v>13674.527999999998</v>
      </c>
    </row>
    <row r="334" spans="1:8" ht="15.75" customHeight="1" x14ac:dyDescent="0.35">
      <c r="A334" s="15"/>
      <c r="B334" s="3" t="s">
        <v>458</v>
      </c>
      <c r="C334" s="16" t="s">
        <v>3006</v>
      </c>
      <c r="D334" s="17" t="s">
        <v>861</v>
      </c>
      <c r="E334" s="16" t="s">
        <v>2147</v>
      </c>
      <c r="F334" s="17" t="s">
        <v>1311</v>
      </c>
      <c r="G334" s="3" t="s">
        <v>3724</v>
      </c>
      <c r="H334" s="6">
        <v>5632.2079999999996</v>
      </c>
    </row>
    <row r="335" spans="1:8" ht="15.75" customHeight="1" x14ac:dyDescent="0.35">
      <c r="A335" s="15"/>
      <c r="B335" s="3" t="s">
        <v>459</v>
      </c>
      <c r="C335" s="16" t="s">
        <v>3007</v>
      </c>
      <c r="D335" s="17" t="s">
        <v>861</v>
      </c>
      <c r="E335" s="16" t="s">
        <v>2148</v>
      </c>
      <c r="F335" s="17" t="s">
        <v>1312</v>
      </c>
      <c r="G335" s="3" t="s">
        <v>3725</v>
      </c>
      <c r="H335" s="6">
        <v>8326.56</v>
      </c>
    </row>
    <row r="336" spans="1:8" ht="15.75" customHeight="1" x14ac:dyDescent="0.35">
      <c r="A336" s="15"/>
      <c r="B336" s="3" t="s">
        <v>460</v>
      </c>
      <c r="C336" s="16" t="s">
        <v>3008</v>
      </c>
      <c r="D336" s="17" t="s">
        <v>861</v>
      </c>
      <c r="E336" s="16" t="s">
        <v>2149</v>
      </c>
      <c r="F336" s="17" t="s">
        <v>1313</v>
      </c>
      <c r="G336" s="3" t="s">
        <v>3726</v>
      </c>
      <c r="H336" s="6">
        <v>13211.535999999998</v>
      </c>
    </row>
    <row r="337" spans="1:8" ht="15.75" customHeight="1" x14ac:dyDescent="0.35">
      <c r="A337" s="15"/>
      <c r="B337" s="3" t="s">
        <v>461</v>
      </c>
      <c r="C337" s="16" t="s">
        <v>3009</v>
      </c>
      <c r="D337" s="17" t="s">
        <v>861</v>
      </c>
      <c r="E337" s="16" t="s">
        <v>2150</v>
      </c>
      <c r="F337" s="17" t="s">
        <v>1314</v>
      </c>
      <c r="G337" s="3" t="s">
        <v>3727</v>
      </c>
      <c r="H337" s="6">
        <v>20198.063999999998</v>
      </c>
    </row>
    <row r="338" spans="1:8" ht="15.75" customHeight="1" x14ac:dyDescent="0.35">
      <c r="A338" s="15"/>
      <c r="B338" s="3" t="s">
        <v>462</v>
      </c>
      <c r="C338" s="16" t="s">
        <v>3010</v>
      </c>
      <c r="D338" s="17" t="s">
        <v>861</v>
      </c>
      <c r="E338" s="16" t="s">
        <v>2151</v>
      </c>
      <c r="F338" s="17" t="s">
        <v>1315</v>
      </c>
      <c r="G338" s="3" t="s">
        <v>3728</v>
      </c>
      <c r="H338" s="6">
        <v>5891.52</v>
      </c>
    </row>
    <row r="339" spans="1:8" ht="15.75" customHeight="1" x14ac:dyDescent="0.35">
      <c r="A339" s="15"/>
      <c r="B339" s="3" t="s">
        <v>464</v>
      </c>
      <c r="C339" s="16" t="s">
        <v>3012</v>
      </c>
      <c r="D339" s="17" t="s">
        <v>861</v>
      </c>
      <c r="E339" s="16" t="s">
        <v>2153</v>
      </c>
      <c r="F339" s="17" t="s">
        <v>1317</v>
      </c>
      <c r="G339" s="3" t="s">
        <v>3729</v>
      </c>
      <c r="H339" s="6">
        <v>11875.759999999998</v>
      </c>
    </row>
    <row r="340" spans="1:8" ht="15.75" customHeight="1" x14ac:dyDescent="0.35">
      <c r="A340" s="15"/>
      <c r="B340" s="3" t="s">
        <v>465</v>
      </c>
      <c r="C340" s="16" t="s">
        <v>3013</v>
      </c>
      <c r="D340" s="17" t="s">
        <v>861</v>
      </c>
      <c r="E340" s="16" t="s">
        <v>2154</v>
      </c>
      <c r="F340" s="17" t="s">
        <v>1318</v>
      </c>
      <c r="G340" s="3" t="s">
        <v>3730</v>
      </c>
      <c r="H340" s="6">
        <v>23917.503999999997</v>
      </c>
    </row>
    <row r="341" spans="1:8" ht="15.75" customHeight="1" x14ac:dyDescent="0.35">
      <c r="A341" s="15"/>
      <c r="B341" s="3" t="s">
        <v>466</v>
      </c>
      <c r="C341" s="16" t="s">
        <v>3014</v>
      </c>
      <c r="D341" s="17" t="s">
        <v>860</v>
      </c>
      <c r="E341" s="16" t="s">
        <v>2155</v>
      </c>
      <c r="F341" s="17" t="s">
        <v>1319</v>
      </c>
      <c r="G341" s="3" t="s">
        <v>3731</v>
      </c>
      <c r="H341" s="6">
        <v>10456.688</v>
      </c>
    </row>
    <row r="342" spans="1:8" ht="15.75" customHeight="1" x14ac:dyDescent="0.35">
      <c r="A342" s="15"/>
      <c r="B342" s="3" t="s">
        <v>467</v>
      </c>
      <c r="C342" s="16" t="s">
        <v>3015</v>
      </c>
      <c r="D342" s="17" t="s">
        <v>861</v>
      </c>
      <c r="E342" s="16" t="s">
        <v>2156</v>
      </c>
      <c r="F342" s="17" t="s">
        <v>1320</v>
      </c>
      <c r="G342" s="3" t="s">
        <v>3732</v>
      </c>
      <c r="H342" s="6">
        <v>10616.592000000001</v>
      </c>
    </row>
    <row r="343" spans="1:8" ht="15.75" customHeight="1" x14ac:dyDescent="0.35">
      <c r="A343" s="15"/>
      <c r="B343" s="3" t="s">
        <v>468</v>
      </c>
      <c r="C343" s="3" t="s">
        <v>3016</v>
      </c>
      <c r="D343" s="17" t="s">
        <v>861</v>
      </c>
      <c r="E343" s="3" t="s">
        <v>2157</v>
      </c>
      <c r="F343" s="17" t="s">
        <v>1321</v>
      </c>
      <c r="G343" s="3" t="s">
        <v>3733</v>
      </c>
      <c r="H343" s="6">
        <v>5632.2079999999996</v>
      </c>
    </row>
    <row r="344" spans="1:8" ht="15.75" customHeight="1" x14ac:dyDescent="0.35">
      <c r="A344" s="15"/>
      <c r="B344" s="3" t="s">
        <v>469</v>
      </c>
      <c r="C344" s="16" t="s">
        <v>3017</v>
      </c>
      <c r="D344" s="17" t="s">
        <v>861</v>
      </c>
      <c r="E344" s="16" t="s">
        <v>2158</v>
      </c>
      <c r="F344" s="17" t="s">
        <v>1322</v>
      </c>
      <c r="G344" s="3" t="s">
        <v>3733</v>
      </c>
      <c r="H344" s="6">
        <v>87144.116572799991</v>
      </c>
    </row>
    <row r="345" spans="1:8" ht="15.75" customHeight="1" x14ac:dyDescent="0.35">
      <c r="A345" s="15"/>
      <c r="B345" s="3" t="s">
        <v>472</v>
      </c>
      <c r="C345" s="16" t="s">
        <v>3020</v>
      </c>
      <c r="D345" s="17" t="s">
        <v>860</v>
      </c>
      <c r="E345" s="16" t="s">
        <v>2161</v>
      </c>
      <c r="F345" s="17" t="s">
        <v>1325</v>
      </c>
      <c r="G345" s="3" t="s">
        <v>3734</v>
      </c>
      <c r="H345" s="6">
        <v>18133.903999999999</v>
      </c>
    </row>
    <row r="346" spans="1:8" ht="15.75" customHeight="1" x14ac:dyDescent="0.35">
      <c r="A346" s="15"/>
      <c r="B346" s="3" t="s">
        <v>473</v>
      </c>
      <c r="C346" s="16" t="s">
        <v>3021</v>
      </c>
      <c r="D346" s="17" t="s">
        <v>861</v>
      </c>
      <c r="E346" s="16" t="s">
        <v>2162</v>
      </c>
      <c r="F346" s="17" t="s">
        <v>1326</v>
      </c>
      <c r="G346" s="3" t="s">
        <v>3734</v>
      </c>
      <c r="H346" s="6">
        <v>21963.088</v>
      </c>
    </row>
    <row r="347" spans="1:8" ht="15.75" customHeight="1" x14ac:dyDescent="0.35">
      <c r="A347" s="15"/>
      <c r="B347" s="3" t="s">
        <v>3735</v>
      </c>
      <c r="C347" s="16" t="s">
        <v>3736</v>
      </c>
      <c r="D347" s="17" t="s">
        <v>861</v>
      </c>
      <c r="E347" s="16" t="s">
        <v>3737</v>
      </c>
      <c r="F347" s="17" t="s">
        <v>3738</v>
      </c>
      <c r="G347" s="3" t="s">
        <v>3739</v>
      </c>
      <c r="H347" s="6">
        <v>24573.232</v>
      </c>
    </row>
    <row r="348" spans="1:8" ht="15.75" customHeight="1" x14ac:dyDescent="0.35">
      <c r="A348" s="15"/>
      <c r="B348" s="3" t="s">
        <v>474</v>
      </c>
      <c r="C348" s="16" t="s">
        <v>3022</v>
      </c>
      <c r="D348" s="17" t="s">
        <v>861</v>
      </c>
      <c r="E348" s="16" t="s">
        <v>2163</v>
      </c>
      <c r="F348" s="17" t="s">
        <v>1327</v>
      </c>
      <c r="G348" s="3" t="s">
        <v>3740</v>
      </c>
      <c r="H348" s="6">
        <v>19204.896000000001</v>
      </c>
    </row>
    <row r="349" spans="1:8" ht="15.75" customHeight="1" x14ac:dyDescent="0.35">
      <c r="A349" s="15"/>
      <c r="B349" s="3" t="s">
        <v>475</v>
      </c>
      <c r="C349" s="16" t="s">
        <v>3023</v>
      </c>
      <c r="D349" s="17" t="s">
        <v>861</v>
      </c>
      <c r="E349" s="16" t="s">
        <v>2164</v>
      </c>
      <c r="F349" s="17" t="s">
        <v>1328</v>
      </c>
      <c r="G349" s="3" t="s">
        <v>3740</v>
      </c>
      <c r="H349" s="6">
        <v>22559.232</v>
      </c>
    </row>
    <row r="350" spans="1:8" ht="15.75" customHeight="1" x14ac:dyDescent="0.35">
      <c r="A350" s="15"/>
      <c r="B350" s="3" t="s">
        <v>476</v>
      </c>
      <c r="C350" s="16" t="s">
        <v>3024</v>
      </c>
      <c r="D350" s="17" t="s">
        <v>860</v>
      </c>
      <c r="E350" s="16" t="s">
        <v>2165</v>
      </c>
      <c r="F350" s="17" t="s">
        <v>1329</v>
      </c>
      <c r="G350" s="3" t="s">
        <v>3740</v>
      </c>
      <c r="H350" s="6">
        <v>26770.239999999998</v>
      </c>
    </row>
    <row r="351" spans="1:8" ht="15.75" customHeight="1" x14ac:dyDescent="0.35">
      <c r="A351" s="15"/>
      <c r="B351" s="3" t="s">
        <v>477</v>
      </c>
      <c r="C351" s="16" t="s">
        <v>3025</v>
      </c>
      <c r="D351" s="17" t="s">
        <v>861</v>
      </c>
      <c r="E351" s="16" t="s">
        <v>2166</v>
      </c>
      <c r="F351" s="17" t="s">
        <v>1330</v>
      </c>
      <c r="G351" s="3" t="s">
        <v>3740</v>
      </c>
      <c r="H351" s="6">
        <v>19493.696</v>
      </c>
    </row>
    <row r="352" spans="1:8" ht="15.75" customHeight="1" x14ac:dyDescent="0.35">
      <c r="A352" s="15"/>
      <c r="B352" s="3" t="s">
        <v>479</v>
      </c>
      <c r="C352" s="16" t="s">
        <v>3027</v>
      </c>
      <c r="D352" s="17" t="s">
        <v>861</v>
      </c>
      <c r="E352" s="16" t="s">
        <v>2168</v>
      </c>
      <c r="F352" s="17" t="s">
        <v>1332</v>
      </c>
      <c r="G352" s="3" t="s">
        <v>3741</v>
      </c>
      <c r="H352" s="6">
        <v>8826.0319999999992</v>
      </c>
    </row>
    <row r="353" spans="1:8" ht="15.75" customHeight="1" x14ac:dyDescent="0.35">
      <c r="A353" s="15"/>
      <c r="B353" s="3" t="s">
        <v>481</v>
      </c>
      <c r="C353" s="16" t="s">
        <v>3029</v>
      </c>
      <c r="D353" s="17" t="s">
        <v>861</v>
      </c>
      <c r="E353" s="16" t="s">
        <v>2170</v>
      </c>
      <c r="F353" s="17" t="s">
        <v>1334</v>
      </c>
      <c r="G353" s="3" t="s">
        <v>3742</v>
      </c>
      <c r="H353" s="6">
        <v>22120.255999999998</v>
      </c>
    </row>
    <row r="354" spans="1:8" ht="15.75" customHeight="1" x14ac:dyDescent="0.35">
      <c r="A354" s="15"/>
      <c r="B354" s="3" t="s">
        <v>3743</v>
      </c>
      <c r="C354" s="16" t="s">
        <v>3744</v>
      </c>
      <c r="D354" s="17" t="s">
        <v>861</v>
      </c>
      <c r="E354" s="16" t="s">
        <v>3745</v>
      </c>
      <c r="F354" s="17" t="s">
        <v>3746</v>
      </c>
      <c r="G354" s="3" t="s">
        <v>3747</v>
      </c>
      <c r="H354" s="6">
        <v>5827.0720000000001</v>
      </c>
    </row>
    <row r="355" spans="1:8" ht="15.75" customHeight="1" x14ac:dyDescent="0.35">
      <c r="A355" s="15"/>
      <c r="B355" s="3" t="s">
        <v>483</v>
      </c>
      <c r="C355" s="16" t="s">
        <v>3031</v>
      </c>
      <c r="D355" s="17" t="s">
        <v>861</v>
      </c>
      <c r="E355" s="16" t="s">
        <v>2172</v>
      </c>
      <c r="F355" s="17" t="s">
        <v>1336</v>
      </c>
      <c r="G355" s="3" t="s">
        <v>3748</v>
      </c>
      <c r="H355" s="6">
        <v>22146.095999999998</v>
      </c>
    </row>
    <row r="356" spans="1:8" ht="15.75" customHeight="1" x14ac:dyDescent="0.35">
      <c r="A356" s="15"/>
      <c r="B356" s="3" t="s">
        <v>484</v>
      </c>
      <c r="C356" s="16" t="s">
        <v>3032</v>
      </c>
      <c r="D356" s="17" t="s">
        <v>861</v>
      </c>
      <c r="E356" s="16" t="s">
        <v>2173</v>
      </c>
      <c r="F356" s="17" t="s">
        <v>1337</v>
      </c>
      <c r="G356" s="3" t="s">
        <v>3749</v>
      </c>
      <c r="H356" s="6">
        <v>14067.296</v>
      </c>
    </row>
    <row r="357" spans="1:8" ht="15.75" customHeight="1" x14ac:dyDescent="0.35">
      <c r="A357" s="15"/>
      <c r="B357" s="3" t="s">
        <v>485</v>
      </c>
      <c r="C357" s="16" t="s">
        <v>3033</v>
      </c>
      <c r="D357" s="17" t="s">
        <v>860</v>
      </c>
      <c r="E357" s="16" t="s">
        <v>2174</v>
      </c>
      <c r="F357" s="17" t="s">
        <v>1338</v>
      </c>
      <c r="G357" s="3" t="s">
        <v>3750</v>
      </c>
      <c r="H357" s="6">
        <v>29279.455999999998</v>
      </c>
    </row>
    <row r="358" spans="1:8" ht="15.75" customHeight="1" x14ac:dyDescent="0.35">
      <c r="A358" s="15"/>
      <c r="B358" s="3" t="s">
        <v>486</v>
      </c>
      <c r="C358" s="16" t="s">
        <v>3034</v>
      </c>
      <c r="D358" s="17" t="s">
        <v>861</v>
      </c>
      <c r="E358" s="16" t="s">
        <v>2175</v>
      </c>
      <c r="F358" s="17" t="s">
        <v>1339</v>
      </c>
      <c r="G358" s="3" t="s">
        <v>3750</v>
      </c>
      <c r="H358" s="6">
        <v>19098.8</v>
      </c>
    </row>
    <row r="359" spans="1:8" ht="15.75" customHeight="1" x14ac:dyDescent="0.35">
      <c r="A359" s="15"/>
      <c r="B359" s="3" t="s">
        <v>488</v>
      </c>
      <c r="C359" s="16" t="s">
        <v>3036</v>
      </c>
      <c r="D359" s="17" t="s">
        <v>860</v>
      </c>
      <c r="E359" s="16" t="s">
        <v>2177</v>
      </c>
      <c r="F359" s="17" t="s">
        <v>1341</v>
      </c>
      <c r="G359" s="3" t="s">
        <v>3751</v>
      </c>
      <c r="H359" s="6">
        <v>15982.191999999999</v>
      </c>
    </row>
    <row r="360" spans="1:8" ht="15.75" customHeight="1" x14ac:dyDescent="0.35">
      <c r="A360" s="15"/>
      <c r="B360" s="3" t="s">
        <v>489</v>
      </c>
      <c r="C360" s="16" t="s">
        <v>3037</v>
      </c>
      <c r="D360" s="17" t="s">
        <v>860</v>
      </c>
      <c r="E360" s="16" t="s">
        <v>2178</v>
      </c>
      <c r="F360" s="17" t="s">
        <v>1342</v>
      </c>
      <c r="G360" s="3" t="s">
        <v>3751</v>
      </c>
      <c r="H360" s="6">
        <v>148845.64079765332</v>
      </c>
    </row>
    <row r="361" spans="1:8" ht="15.75" customHeight="1" x14ac:dyDescent="0.35">
      <c r="A361" s="15"/>
      <c r="B361" s="3" t="s">
        <v>491</v>
      </c>
      <c r="C361" s="16" t="s">
        <v>3039</v>
      </c>
      <c r="D361" s="17" t="s">
        <v>860</v>
      </c>
      <c r="E361" s="16" t="s">
        <v>2180</v>
      </c>
      <c r="F361" s="17" t="s">
        <v>1343</v>
      </c>
      <c r="G361" s="3" t="s">
        <v>3752</v>
      </c>
      <c r="H361" s="6">
        <v>13047.679999999998</v>
      </c>
    </row>
    <row r="362" spans="1:8" ht="15.75" customHeight="1" x14ac:dyDescent="0.35">
      <c r="A362" s="15"/>
      <c r="B362" s="3" t="s">
        <v>492</v>
      </c>
      <c r="C362" s="16" t="s">
        <v>3040</v>
      </c>
      <c r="D362" s="17" t="s">
        <v>861</v>
      </c>
      <c r="E362" s="16" t="s">
        <v>2181</v>
      </c>
      <c r="F362" s="17" t="s">
        <v>1344</v>
      </c>
      <c r="G362" s="3" t="s">
        <v>3753</v>
      </c>
      <c r="H362" s="6">
        <v>5632.2079999999996</v>
      </c>
    </row>
    <row r="363" spans="1:8" ht="15.75" customHeight="1" x14ac:dyDescent="0.35">
      <c r="A363" s="15"/>
      <c r="B363" s="3" t="s">
        <v>493</v>
      </c>
      <c r="C363" s="16" t="s">
        <v>3041</v>
      </c>
      <c r="D363" s="17" t="s">
        <v>860</v>
      </c>
      <c r="E363" s="16" t="s">
        <v>2182</v>
      </c>
      <c r="F363" s="17" t="s">
        <v>1345</v>
      </c>
      <c r="G363" s="3" t="s">
        <v>3754</v>
      </c>
      <c r="H363" s="6">
        <v>16792.96</v>
      </c>
    </row>
    <row r="364" spans="1:8" ht="15.75" customHeight="1" x14ac:dyDescent="0.35">
      <c r="A364" s="15"/>
      <c r="B364" s="3" t="s">
        <v>494</v>
      </c>
      <c r="C364" s="16" t="s">
        <v>3042</v>
      </c>
      <c r="D364" s="17" t="s">
        <v>861</v>
      </c>
      <c r="E364" s="16" t="s">
        <v>2183</v>
      </c>
      <c r="F364" s="17" t="s">
        <v>1346</v>
      </c>
      <c r="G364" s="3" t="s">
        <v>3754</v>
      </c>
      <c r="H364" s="6">
        <v>18219.023999999998</v>
      </c>
    </row>
    <row r="365" spans="1:8" ht="15.75" customHeight="1" x14ac:dyDescent="0.35">
      <c r="A365" s="15"/>
      <c r="B365" s="3" t="s">
        <v>3755</v>
      </c>
      <c r="C365" s="16" t="s">
        <v>3406</v>
      </c>
      <c r="D365" s="17" t="s">
        <v>861</v>
      </c>
      <c r="E365" s="16" t="s">
        <v>2547</v>
      </c>
      <c r="F365" s="17" t="s">
        <v>1688</v>
      </c>
      <c r="G365" s="3" t="s">
        <v>3756</v>
      </c>
      <c r="H365" s="6">
        <v>19867.007999999998</v>
      </c>
    </row>
    <row r="366" spans="1:8" ht="15.75" customHeight="1" x14ac:dyDescent="0.35">
      <c r="A366" s="15"/>
      <c r="B366" s="3" t="s">
        <v>496</v>
      </c>
      <c r="C366" s="16" t="s">
        <v>3044</v>
      </c>
      <c r="D366" s="17" t="s">
        <v>861</v>
      </c>
      <c r="E366" s="16" t="s">
        <v>2185</v>
      </c>
      <c r="F366" s="17" t="s">
        <v>1348</v>
      </c>
      <c r="G366" s="3" t="s">
        <v>3757</v>
      </c>
      <c r="H366" s="6">
        <v>9251.9359999999997</v>
      </c>
    </row>
    <row r="367" spans="1:8" ht="15.75" customHeight="1" x14ac:dyDescent="0.35">
      <c r="A367" s="15"/>
      <c r="B367" s="3" t="s">
        <v>498</v>
      </c>
      <c r="C367" s="16" t="s">
        <v>3046</v>
      </c>
      <c r="D367" s="17" t="s">
        <v>861</v>
      </c>
      <c r="E367" s="16" t="s">
        <v>2187</v>
      </c>
      <c r="F367" s="17" t="s">
        <v>1350</v>
      </c>
      <c r="G367" s="3" t="s">
        <v>3758</v>
      </c>
      <c r="H367" s="6">
        <v>8326.56</v>
      </c>
    </row>
    <row r="368" spans="1:8" ht="15.75" customHeight="1" x14ac:dyDescent="0.35">
      <c r="A368" s="15"/>
      <c r="B368" s="3" t="s">
        <v>3759</v>
      </c>
      <c r="C368" s="16" t="s">
        <v>3760</v>
      </c>
      <c r="D368" s="17" t="s">
        <v>861</v>
      </c>
      <c r="E368" s="16" t="s">
        <v>3761</v>
      </c>
      <c r="F368" s="17" t="s">
        <v>3762</v>
      </c>
      <c r="G368" s="3" t="s">
        <v>3763</v>
      </c>
      <c r="H368" s="6">
        <v>9941.1039999999994</v>
      </c>
    </row>
    <row r="369" spans="1:8" ht="15.75" customHeight="1" x14ac:dyDescent="0.35">
      <c r="A369" s="15"/>
      <c r="B369" s="3" t="s">
        <v>501</v>
      </c>
      <c r="C369" s="16" t="s">
        <v>3049</v>
      </c>
      <c r="D369" s="17" t="s">
        <v>861</v>
      </c>
      <c r="E369" s="16" t="s">
        <v>2190</v>
      </c>
      <c r="F369" s="17" t="s">
        <v>1353</v>
      </c>
      <c r="G369" s="3" t="s">
        <v>3764</v>
      </c>
      <c r="H369" s="6">
        <v>10616.592000000001</v>
      </c>
    </row>
    <row r="370" spans="1:8" ht="15.75" customHeight="1" x14ac:dyDescent="0.35">
      <c r="A370" s="15"/>
      <c r="B370" s="3" t="s">
        <v>502</v>
      </c>
      <c r="C370" s="16" t="s">
        <v>3050</v>
      </c>
      <c r="D370" s="17" t="s">
        <v>860</v>
      </c>
      <c r="E370" s="16" t="s">
        <v>2191</v>
      </c>
      <c r="F370" s="17" t="s">
        <v>1354</v>
      </c>
      <c r="G370" s="3" t="s">
        <v>3765</v>
      </c>
      <c r="H370" s="6">
        <v>6923.9039999999995</v>
      </c>
    </row>
    <row r="371" spans="1:8" ht="15.75" customHeight="1" x14ac:dyDescent="0.35">
      <c r="A371" s="15"/>
      <c r="B371" s="3" t="s">
        <v>503</v>
      </c>
      <c r="C371" s="16" t="s">
        <v>3051</v>
      </c>
      <c r="D371" s="17" t="s">
        <v>860</v>
      </c>
      <c r="E371" s="16" t="s">
        <v>2192</v>
      </c>
      <c r="F371" s="17" t="s">
        <v>1355</v>
      </c>
      <c r="G371" s="3" t="s">
        <v>3766</v>
      </c>
      <c r="H371" s="6">
        <v>22014.463999999996</v>
      </c>
    </row>
    <row r="372" spans="1:8" ht="15.75" customHeight="1" x14ac:dyDescent="0.35">
      <c r="A372" s="15"/>
      <c r="B372" s="3" t="s">
        <v>504</v>
      </c>
      <c r="C372" s="16" t="s">
        <v>3052</v>
      </c>
      <c r="D372" s="17" t="s">
        <v>861</v>
      </c>
      <c r="E372" s="16" t="s">
        <v>2193</v>
      </c>
      <c r="F372" s="17" t="s">
        <v>1356</v>
      </c>
      <c r="G372" s="3" t="s">
        <v>3766</v>
      </c>
      <c r="H372" s="6">
        <v>17936.304</v>
      </c>
    </row>
    <row r="373" spans="1:8" ht="15.75" customHeight="1" x14ac:dyDescent="0.35">
      <c r="A373" s="15"/>
      <c r="B373" s="3" t="s">
        <v>505</v>
      </c>
      <c r="C373" s="16" t="s">
        <v>3053</v>
      </c>
      <c r="D373" s="17" t="s">
        <v>861</v>
      </c>
      <c r="E373" s="16" t="s">
        <v>2194</v>
      </c>
      <c r="F373" s="17" t="s">
        <v>1357</v>
      </c>
      <c r="G373" s="3" t="s">
        <v>3767</v>
      </c>
      <c r="H373" s="6">
        <v>19580.335999999999</v>
      </c>
    </row>
    <row r="374" spans="1:8" ht="15.75" customHeight="1" x14ac:dyDescent="0.35">
      <c r="A374" s="15"/>
      <c r="B374" s="3" t="s">
        <v>507</v>
      </c>
      <c r="C374" s="16" t="s">
        <v>3055</v>
      </c>
      <c r="D374" s="17" t="s">
        <v>860</v>
      </c>
      <c r="E374" s="16" t="s">
        <v>2196</v>
      </c>
      <c r="F374" s="17" t="s">
        <v>1359</v>
      </c>
      <c r="G374" s="3" t="s">
        <v>3768</v>
      </c>
      <c r="H374" s="6">
        <v>6298.576</v>
      </c>
    </row>
    <row r="375" spans="1:8" ht="15.75" customHeight="1" x14ac:dyDescent="0.35">
      <c r="A375" s="15"/>
      <c r="B375" s="3" t="s">
        <v>509</v>
      </c>
      <c r="C375" s="16" t="s">
        <v>3057</v>
      </c>
      <c r="D375" s="17" t="s">
        <v>861</v>
      </c>
      <c r="E375" s="16" t="s">
        <v>2198</v>
      </c>
      <c r="F375" s="17" t="s">
        <v>1361</v>
      </c>
      <c r="G375" s="3" t="s">
        <v>3769</v>
      </c>
      <c r="H375" s="6">
        <v>8563.0720000000001</v>
      </c>
    </row>
    <row r="376" spans="1:8" ht="15.75" customHeight="1" x14ac:dyDescent="0.35">
      <c r="A376" s="15"/>
      <c r="B376" s="3" t="s">
        <v>510</v>
      </c>
      <c r="C376" s="16" t="s">
        <v>3058</v>
      </c>
      <c r="D376" s="17" t="s">
        <v>861</v>
      </c>
      <c r="E376" s="16" t="s">
        <v>2199</v>
      </c>
      <c r="F376" s="17" t="s">
        <v>1362</v>
      </c>
      <c r="G376" s="3" t="s">
        <v>3770</v>
      </c>
      <c r="H376" s="6">
        <v>5602.72</v>
      </c>
    </row>
    <row r="377" spans="1:8" ht="15.75" customHeight="1" x14ac:dyDescent="0.35">
      <c r="A377" s="15"/>
      <c r="B377" s="3" t="s">
        <v>511</v>
      </c>
      <c r="C377" s="16" t="s">
        <v>3059</v>
      </c>
      <c r="D377" s="17" t="s">
        <v>860</v>
      </c>
      <c r="E377" s="16" t="s">
        <v>2200</v>
      </c>
      <c r="F377" s="17" t="s">
        <v>1363</v>
      </c>
      <c r="G377" s="3" t="s">
        <v>3771</v>
      </c>
      <c r="H377" s="6">
        <v>18011.392</v>
      </c>
    </row>
    <row r="378" spans="1:8" ht="15.75" customHeight="1" x14ac:dyDescent="0.35">
      <c r="A378" s="15"/>
      <c r="B378" s="3" t="s">
        <v>512</v>
      </c>
      <c r="C378" s="16" t="s">
        <v>3060</v>
      </c>
      <c r="D378" s="17" t="s">
        <v>860</v>
      </c>
      <c r="E378" s="16" t="s">
        <v>2201</v>
      </c>
      <c r="F378" s="17" t="s">
        <v>1364</v>
      </c>
      <c r="G378" s="3" t="s">
        <v>3772</v>
      </c>
      <c r="H378" s="6">
        <v>9607.616</v>
      </c>
    </row>
    <row r="379" spans="1:8" ht="15.75" customHeight="1" x14ac:dyDescent="0.35">
      <c r="A379" s="15"/>
      <c r="B379" s="3" t="s">
        <v>513</v>
      </c>
      <c r="C379" s="16" t="s">
        <v>3061</v>
      </c>
      <c r="D379" s="17" t="s">
        <v>861</v>
      </c>
      <c r="E379" s="16" t="s">
        <v>2202</v>
      </c>
      <c r="F379" s="17" t="s">
        <v>1365</v>
      </c>
      <c r="G379" s="3" t="s">
        <v>3772</v>
      </c>
      <c r="H379" s="6">
        <v>5632.2079999999996</v>
      </c>
    </row>
    <row r="380" spans="1:8" ht="15.75" customHeight="1" x14ac:dyDescent="0.35">
      <c r="A380" s="15"/>
      <c r="B380" s="3" t="s">
        <v>515</v>
      </c>
      <c r="C380" s="16" t="s">
        <v>3063</v>
      </c>
      <c r="D380" s="17" t="s">
        <v>861</v>
      </c>
      <c r="E380" s="16" t="s">
        <v>2204</v>
      </c>
      <c r="F380" s="17" t="s">
        <v>1367</v>
      </c>
      <c r="G380" s="3" t="s">
        <v>3773</v>
      </c>
      <c r="H380" s="6">
        <v>22202.335999999999</v>
      </c>
    </row>
    <row r="381" spans="1:8" ht="15.75" customHeight="1" x14ac:dyDescent="0.35">
      <c r="A381" s="15"/>
      <c r="B381" s="3" t="s">
        <v>516</v>
      </c>
      <c r="C381" s="16" t="s">
        <v>3064</v>
      </c>
      <c r="D381" s="17" t="s">
        <v>861</v>
      </c>
      <c r="E381" s="16" t="s">
        <v>2205</v>
      </c>
      <c r="F381" s="17" t="s">
        <v>1368</v>
      </c>
      <c r="G381" s="3" t="s">
        <v>3774</v>
      </c>
      <c r="H381" s="6">
        <v>24484.16</v>
      </c>
    </row>
    <row r="382" spans="1:8" ht="15.75" customHeight="1" x14ac:dyDescent="0.35">
      <c r="A382" s="15"/>
      <c r="B382" s="3" t="s">
        <v>518</v>
      </c>
      <c r="C382" s="16" t="s">
        <v>3066</v>
      </c>
      <c r="D382" s="17" t="s">
        <v>861</v>
      </c>
      <c r="E382" s="16" t="s">
        <v>2207</v>
      </c>
      <c r="F382" s="17" t="s">
        <v>1370</v>
      </c>
      <c r="G382" s="3" t="s">
        <v>3775</v>
      </c>
      <c r="H382" s="6">
        <v>10998.111999999999</v>
      </c>
    </row>
    <row r="383" spans="1:8" ht="15.75" customHeight="1" x14ac:dyDescent="0.35">
      <c r="A383" s="15"/>
      <c r="B383" s="3" t="s">
        <v>519</v>
      </c>
      <c r="C383" s="16" t="s">
        <v>3067</v>
      </c>
      <c r="D383" s="17" t="s">
        <v>860</v>
      </c>
      <c r="E383" s="16" t="s">
        <v>2208</v>
      </c>
      <c r="F383" s="17" t="s">
        <v>1371</v>
      </c>
      <c r="G383" s="3" t="s">
        <v>3776</v>
      </c>
      <c r="H383" s="6">
        <v>7862.0479999999998</v>
      </c>
    </row>
    <row r="384" spans="1:8" ht="15.75" customHeight="1" x14ac:dyDescent="0.35">
      <c r="A384" s="15"/>
      <c r="B384" s="3" t="s">
        <v>520</v>
      </c>
      <c r="C384" s="16" t="s">
        <v>3068</v>
      </c>
      <c r="D384" s="17" t="s">
        <v>860</v>
      </c>
      <c r="E384" s="16" t="s">
        <v>2209</v>
      </c>
      <c r="F384" s="17" t="s">
        <v>1372</v>
      </c>
      <c r="G384" s="3" t="s">
        <v>3777</v>
      </c>
      <c r="H384" s="6">
        <v>26094.752</v>
      </c>
    </row>
    <row r="385" spans="1:8" ht="15.75" customHeight="1" x14ac:dyDescent="0.35">
      <c r="A385" s="15"/>
      <c r="B385" s="3" t="s">
        <v>521</v>
      </c>
      <c r="C385" s="16" t="s">
        <v>3069</v>
      </c>
      <c r="D385" s="17" t="s">
        <v>861</v>
      </c>
      <c r="E385" s="16" t="s">
        <v>2210</v>
      </c>
      <c r="F385" s="17" t="s">
        <v>1373</v>
      </c>
      <c r="G385" s="3" t="s">
        <v>3778</v>
      </c>
      <c r="H385" s="6">
        <v>9916.1759999999995</v>
      </c>
    </row>
    <row r="386" spans="1:8" ht="15.75" customHeight="1" x14ac:dyDescent="0.35">
      <c r="A386" s="15"/>
      <c r="B386" s="3" t="s">
        <v>522</v>
      </c>
      <c r="C386" s="16" t="s">
        <v>3070</v>
      </c>
      <c r="D386" s="17" t="s">
        <v>861</v>
      </c>
      <c r="E386" s="16" t="s">
        <v>2211</v>
      </c>
      <c r="F386" s="17" t="s">
        <v>1374</v>
      </c>
      <c r="G386" s="3" t="s">
        <v>3779</v>
      </c>
      <c r="H386" s="6">
        <v>13842.944</v>
      </c>
    </row>
    <row r="387" spans="1:8" ht="15.75" customHeight="1" x14ac:dyDescent="0.35">
      <c r="A387" s="15"/>
      <c r="B387" s="3" t="s">
        <v>524</v>
      </c>
      <c r="C387" s="16" t="s">
        <v>3072</v>
      </c>
      <c r="D387" s="17" t="s">
        <v>860</v>
      </c>
      <c r="E387" s="16" t="s">
        <v>2213</v>
      </c>
      <c r="F387" s="17" t="s">
        <v>1376</v>
      </c>
      <c r="G387" s="3" t="s">
        <v>3780</v>
      </c>
      <c r="H387" s="6">
        <v>10888.975999999999</v>
      </c>
    </row>
    <row r="388" spans="1:8" ht="15.75" customHeight="1" x14ac:dyDescent="0.35">
      <c r="A388" s="15"/>
      <c r="B388" s="3" t="s">
        <v>525</v>
      </c>
      <c r="C388" s="16" t="s">
        <v>3073</v>
      </c>
      <c r="D388" s="17" t="s">
        <v>861</v>
      </c>
      <c r="E388" s="16" t="s">
        <v>2214</v>
      </c>
      <c r="F388" s="17" t="s">
        <v>1377</v>
      </c>
      <c r="G388" s="3" t="s">
        <v>3781</v>
      </c>
      <c r="H388" s="6">
        <v>10616.592000000001</v>
      </c>
    </row>
    <row r="389" spans="1:8" ht="15.75" customHeight="1" x14ac:dyDescent="0.35">
      <c r="A389" s="15"/>
      <c r="B389" s="3" t="s">
        <v>526</v>
      </c>
      <c r="C389" s="16" t="s">
        <v>3074</v>
      </c>
      <c r="D389" s="17" t="s">
        <v>860</v>
      </c>
      <c r="E389" s="16" t="s">
        <v>2215</v>
      </c>
      <c r="F389" s="17" t="s">
        <v>1093</v>
      </c>
      <c r="G389" s="3" t="s">
        <v>3782</v>
      </c>
      <c r="H389" s="6">
        <v>18859.552</v>
      </c>
    </row>
    <row r="390" spans="1:8" ht="15.75" customHeight="1" x14ac:dyDescent="0.35">
      <c r="A390" s="15"/>
      <c r="B390" s="3" t="s">
        <v>527</v>
      </c>
      <c r="C390" s="16" t="s">
        <v>3075</v>
      </c>
      <c r="D390" s="17" t="s">
        <v>860</v>
      </c>
      <c r="E390" s="16" t="s">
        <v>2216</v>
      </c>
      <c r="F390" s="17" t="s">
        <v>1378</v>
      </c>
      <c r="G390" s="3" t="s">
        <v>3783</v>
      </c>
      <c r="H390" s="6">
        <v>7176.2240000000002</v>
      </c>
    </row>
    <row r="391" spans="1:8" ht="15.75" customHeight="1" x14ac:dyDescent="0.35">
      <c r="A391" s="15"/>
      <c r="B391" s="3" t="s">
        <v>533</v>
      </c>
      <c r="C391" s="16" t="s">
        <v>3081</v>
      </c>
      <c r="D391" s="17" t="s">
        <v>861</v>
      </c>
      <c r="E391" s="16" t="s">
        <v>2222</v>
      </c>
      <c r="F391" s="17" t="s">
        <v>1384</v>
      </c>
      <c r="G391" s="3" t="s">
        <v>3784</v>
      </c>
      <c r="H391" s="6">
        <v>42591.92</v>
      </c>
    </row>
    <row r="392" spans="1:8" ht="15.75" customHeight="1" x14ac:dyDescent="0.35">
      <c r="A392" s="15"/>
      <c r="B392" s="3" t="s">
        <v>536</v>
      </c>
      <c r="C392" s="16" t="s">
        <v>3084</v>
      </c>
      <c r="D392" s="17" t="s">
        <v>861</v>
      </c>
      <c r="E392" s="16" t="s">
        <v>2225</v>
      </c>
      <c r="F392" s="17" t="s">
        <v>1171</v>
      </c>
      <c r="G392" s="3" t="s">
        <v>3785</v>
      </c>
      <c r="H392" s="6">
        <v>19571.215999999997</v>
      </c>
    </row>
    <row r="393" spans="1:8" ht="15.75" customHeight="1" x14ac:dyDescent="0.35">
      <c r="A393" s="15"/>
      <c r="B393" s="3" t="s">
        <v>539</v>
      </c>
      <c r="C393" s="16" t="s">
        <v>3087</v>
      </c>
      <c r="D393" s="17" t="s">
        <v>861</v>
      </c>
      <c r="E393" s="16" t="s">
        <v>2228</v>
      </c>
      <c r="F393" s="17" t="s">
        <v>1389</v>
      </c>
      <c r="G393" s="3" t="s">
        <v>3786</v>
      </c>
      <c r="H393" s="6">
        <v>15673.023999999998</v>
      </c>
    </row>
    <row r="394" spans="1:8" ht="15.75" customHeight="1" x14ac:dyDescent="0.35">
      <c r="A394" s="15"/>
      <c r="B394" s="3" t="s">
        <v>540</v>
      </c>
      <c r="C394" s="16" t="s">
        <v>3088</v>
      </c>
      <c r="D394" s="17" t="s">
        <v>861</v>
      </c>
      <c r="E394" s="16" t="s">
        <v>2229</v>
      </c>
      <c r="F394" s="17" t="s">
        <v>1390</v>
      </c>
      <c r="G394" s="3" t="s">
        <v>3787</v>
      </c>
      <c r="H394" s="6">
        <v>14385.888000000001</v>
      </c>
    </row>
    <row r="395" spans="1:8" ht="15.75" customHeight="1" x14ac:dyDescent="0.35">
      <c r="A395" s="15"/>
      <c r="B395" s="3" t="s">
        <v>541</v>
      </c>
      <c r="C395" s="16" t="s">
        <v>3089</v>
      </c>
      <c r="D395" s="17" t="s">
        <v>861</v>
      </c>
      <c r="E395" s="16" t="s">
        <v>2230</v>
      </c>
      <c r="F395" s="17" t="s">
        <v>1391</v>
      </c>
      <c r="G395" s="3" t="s">
        <v>3788</v>
      </c>
      <c r="H395" s="6">
        <v>12154.831999999999</v>
      </c>
    </row>
    <row r="396" spans="1:8" ht="15.75" customHeight="1" x14ac:dyDescent="0.35">
      <c r="A396" s="15"/>
      <c r="B396" s="3" t="s">
        <v>542</v>
      </c>
      <c r="C396" s="16" t="s">
        <v>3090</v>
      </c>
      <c r="D396" s="17" t="s">
        <v>861</v>
      </c>
      <c r="E396" s="16" t="s">
        <v>2231</v>
      </c>
      <c r="F396" s="17" t="s">
        <v>1392</v>
      </c>
      <c r="G396" s="3" t="s">
        <v>3788</v>
      </c>
      <c r="H396" s="6">
        <v>44291.887999999999</v>
      </c>
    </row>
    <row r="397" spans="1:8" ht="15.75" customHeight="1" x14ac:dyDescent="0.35">
      <c r="A397" s="15"/>
      <c r="B397" s="3" t="s">
        <v>543</v>
      </c>
      <c r="C397" s="16" t="s">
        <v>3091</v>
      </c>
      <c r="D397" s="17" t="s">
        <v>861</v>
      </c>
      <c r="E397" s="16" t="s">
        <v>2232</v>
      </c>
      <c r="F397" s="17" t="s">
        <v>1393</v>
      </c>
      <c r="G397" s="3" t="s">
        <v>3789</v>
      </c>
      <c r="H397" s="6">
        <v>14162.144</v>
      </c>
    </row>
    <row r="398" spans="1:8" ht="15.75" customHeight="1" x14ac:dyDescent="0.35">
      <c r="A398" s="15"/>
      <c r="B398" s="3" t="s">
        <v>544</v>
      </c>
      <c r="C398" s="16" t="s">
        <v>3092</v>
      </c>
      <c r="D398" s="17" t="s">
        <v>861</v>
      </c>
      <c r="E398" s="16" t="s">
        <v>2233</v>
      </c>
      <c r="F398" s="17" t="s">
        <v>1394</v>
      </c>
      <c r="G398" s="3" t="s">
        <v>3790</v>
      </c>
      <c r="H398" s="6">
        <v>19710.448</v>
      </c>
    </row>
    <row r="399" spans="1:8" ht="15.75" customHeight="1" x14ac:dyDescent="0.35">
      <c r="A399" s="15"/>
      <c r="B399" s="3" t="s">
        <v>545</v>
      </c>
      <c r="C399" s="16" t="s">
        <v>3093</v>
      </c>
      <c r="D399" s="17" t="s">
        <v>861</v>
      </c>
      <c r="E399" s="16" t="s">
        <v>2234</v>
      </c>
      <c r="F399" s="17" t="s">
        <v>1395</v>
      </c>
      <c r="G399" s="3" t="s">
        <v>3790</v>
      </c>
      <c r="H399" s="6">
        <v>5632.2079999999996</v>
      </c>
    </row>
    <row r="400" spans="1:8" ht="15.75" customHeight="1" x14ac:dyDescent="0.35">
      <c r="A400" s="15"/>
      <c r="B400" s="3" t="s">
        <v>548</v>
      </c>
      <c r="C400" s="16" t="s">
        <v>3096</v>
      </c>
      <c r="D400" s="17" t="s">
        <v>860</v>
      </c>
      <c r="E400" s="16" t="s">
        <v>2237</v>
      </c>
      <c r="F400" s="17" t="s">
        <v>1398</v>
      </c>
      <c r="G400" s="3" t="s">
        <v>3791</v>
      </c>
      <c r="H400" s="6">
        <v>10626.624</v>
      </c>
    </row>
    <row r="401" spans="1:8" ht="15.75" customHeight="1" x14ac:dyDescent="0.35">
      <c r="A401" s="15"/>
      <c r="B401" s="3" t="s">
        <v>549</v>
      </c>
      <c r="C401" s="16" t="s">
        <v>3097</v>
      </c>
      <c r="D401" s="17" t="s">
        <v>860</v>
      </c>
      <c r="E401" s="16" t="s">
        <v>2238</v>
      </c>
      <c r="F401" s="17" t="s">
        <v>1399</v>
      </c>
      <c r="G401" s="3" t="s">
        <v>3792</v>
      </c>
      <c r="H401" s="6">
        <v>78285.053505493343</v>
      </c>
    </row>
    <row r="402" spans="1:8" ht="15.75" customHeight="1" x14ac:dyDescent="0.35">
      <c r="A402" s="15"/>
      <c r="B402" s="3" t="s">
        <v>550</v>
      </c>
      <c r="C402" s="16" t="s">
        <v>3098</v>
      </c>
      <c r="D402" s="17" t="s">
        <v>860</v>
      </c>
      <c r="E402" s="16" t="s">
        <v>2239</v>
      </c>
      <c r="F402" s="17" t="s">
        <v>1400</v>
      </c>
      <c r="G402" s="3" t="s">
        <v>3793</v>
      </c>
      <c r="H402" s="6">
        <v>7176.2240000000002</v>
      </c>
    </row>
    <row r="403" spans="1:8" ht="15.75" customHeight="1" x14ac:dyDescent="0.35">
      <c r="A403" s="15"/>
      <c r="B403" s="3" t="s">
        <v>552</v>
      </c>
      <c r="C403" s="16" t="s">
        <v>3100</v>
      </c>
      <c r="D403" s="17" t="s">
        <v>860</v>
      </c>
      <c r="E403" s="16" t="s">
        <v>2241</v>
      </c>
      <c r="F403" s="17" t="s">
        <v>1402</v>
      </c>
      <c r="G403" s="3" t="s">
        <v>3794</v>
      </c>
      <c r="H403" s="6">
        <v>69206.207999999999</v>
      </c>
    </row>
    <row r="404" spans="1:8" ht="15.75" customHeight="1" x14ac:dyDescent="0.35">
      <c r="A404" s="15"/>
      <c r="B404" s="3" t="s">
        <v>553</v>
      </c>
      <c r="C404" s="16" t="s">
        <v>3101</v>
      </c>
      <c r="D404" s="17" t="s">
        <v>860</v>
      </c>
      <c r="E404" s="16" t="s">
        <v>2242</v>
      </c>
      <c r="F404" s="17" t="s">
        <v>1403</v>
      </c>
      <c r="G404" s="3" t="s">
        <v>3794</v>
      </c>
      <c r="H404" s="6">
        <v>80841.718733439993</v>
      </c>
    </row>
    <row r="405" spans="1:8" ht="15.75" customHeight="1" x14ac:dyDescent="0.35">
      <c r="A405" s="15"/>
      <c r="B405" s="3" t="s">
        <v>558</v>
      </c>
      <c r="C405" s="16" t="s">
        <v>3106</v>
      </c>
      <c r="D405" s="17" t="s">
        <v>861</v>
      </c>
      <c r="E405" s="16" t="s">
        <v>2247</v>
      </c>
      <c r="F405" s="17" t="s">
        <v>1408</v>
      </c>
      <c r="G405" s="3" t="s">
        <v>3795</v>
      </c>
      <c r="H405" s="6">
        <v>20330</v>
      </c>
    </row>
    <row r="406" spans="1:8" ht="15.75" customHeight="1" x14ac:dyDescent="0.35">
      <c r="A406" s="15"/>
      <c r="B406" s="3" t="s">
        <v>559</v>
      </c>
      <c r="C406" s="16" t="s">
        <v>3107</v>
      </c>
      <c r="D406" s="17" t="s">
        <v>861</v>
      </c>
      <c r="E406" s="16" t="s">
        <v>2248</v>
      </c>
      <c r="F406" s="17" t="s">
        <v>1409</v>
      </c>
      <c r="G406" s="3" t="s">
        <v>3796</v>
      </c>
      <c r="H406" s="6">
        <v>10490.431999999999</v>
      </c>
    </row>
    <row r="407" spans="1:8" ht="15.75" customHeight="1" x14ac:dyDescent="0.35">
      <c r="A407" s="15"/>
      <c r="B407" s="3" t="s">
        <v>561</v>
      </c>
      <c r="C407" s="16" t="s">
        <v>3109</v>
      </c>
      <c r="D407" s="17" t="s">
        <v>860</v>
      </c>
      <c r="E407" s="16" t="s">
        <v>2250</v>
      </c>
      <c r="F407" s="17" t="s">
        <v>1411</v>
      </c>
      <c r="G407" s="3" t="s">
        <v>3797</v>
      </c>
      <c r="H407" s="6">
        <v>42313.152000000002</v>
      </c>
    </row>
    <row r="408" spans="1:8" ht="15.75" customHeight="1" x14ac:dyDescent="0.35">
      <c r="A408" s="15"/>
      <c r="B408" s="3" t="s">
        <v>566</v>
      </c>
      <c r="C408" s="16" t="s">
        <v>3114</v>
      </c>
      <c r="D408" s="17" t="s">
        <v>861</v>
      </c>
      <c r="E408" s="16" t="s">
        <v>2255</v>
      </c>
      <c r="F408" s="17" t="s">
        <v>1416</v>
      </c>
      <c r="G408" s="3" t="s">
        <v>3798</v>
      </c>
      <c r="H408" s="6">
        <v>19877.04</v>
      </c>
    </row>
    <row r="409" spans="1:8" ht="15.75" customHeight="1" x14ac:dyDescent="0.35">
      <c r="A409" s="15"/>
      <c r="B409" s="3" t="s">
        <v>3799</v>
      </c>
      <c r="C409" s="16" t="s">
        <v>3800</v>
      </c>
      <c r="D409" s="17" t="s">
        <v>861</v>
      </c>
      <c r="E409" s="16" t="s">
        <v>3801</v>
      </c>
      <c r="F409" s="17" t="s">
        <v>3802</v>
      </c>
      <c r="G409" s="3" t="s">
        <v>3803</v>
      </c>
      <c r="H409" s="6">
        <v>18825.807999999997</v>
      </c>
    </row>
    <row r="410" spans="1:8" ht="15.75" customHeight="1" x14ac:dyDescent="0.35">
      <c r="A410" s="15"/>
      <c r="B410" s="3" t="s">
        <v>3804</v>
      </c>
      <c r="C410" s="16" t="s">
        <v>3805</v>
      </c>
      <c r="D410" s="17" t="s">
        <v>861</v>
      </c>
      <c r="E410" s="16" t="s">
        <v>3806</v>
      </c>
      <c r="F410" s="17" t="s">
        <v>3807</v>
      </c>
      <c r="G410" s="3" t="s">
        <v>3808</v>
      </c>
      <c r="H410" s="6">
        <v>18843.439999999999</v>
      </c>
    </row>
    <row r="411" spans="1:8" ht="15.75" customHeight="1" x14ac:dyDescent="0.35">
      <c r="A411" s="15"/>
      <c r="B411" s="3" t="s">
        <v>3809</v>
      </c>
      <c r="C411" s="16" t="s">
        <v>3810</v>
      </c>
      <c r="D411" s="17" t="s">
        <v>860</v>
      </c>
      <c r="E411" s="16" t="s">
        <v>3811</v>
      </c>
      <c r="F411" s="17" t="s">
        <v>3812</v>
      </c>
      <c r="G411" s="3" t="s">
        <v>3813</v>
      </c>
      <c r="H411" s="6">
        <v>17536.240000000002</v>
      </c>
    </row>
    <row r="412" spans="1:8" ht="15.75" customHeight="1" x14ac:dyDescent="0.35">
      <c r="A412" s="15"/>
      <c r="B412" s="3" t="s">
        <v>3814</v>
      </c>
      <c r="C412" s="16" t="s">
        <v>3815</v>
      </c>
      <c r="D412" s="17" t="s">
        <v>860</v>
      </c>
      <c r="E412" s="16" t="s">
        <v>3816</v>
      </c>
      <c r="F412" s="17" t="s">
        <v>3817</v>
      </c>
      <c r="G412" s="3" t="s">
        <v>3818</v>
      </c>
      <c r="H412" s="6">
        <v>20541.583999999999</v>
      </c>
    </row>
    <row r="413" spans="1:8" ht="15.75" customHeight="1" x14ac:dyDescent="0.35">
      <c r="A413" s="15"/>
      <c r="B413" s="3" t="s">
        <v>3819</v>
      </c>
      <c r="C413" s="16" t="s">
        <v>3820</v>
      </c>
      <c r="D413" s="17" t="s">
        <v>860</v>
      </c>
      <c r="E413" s="16" t="s">
        <v>3821</v>
      </c>
      <c r="F413" s="17" t="s">
        <v>3822</v>
      </c>
      <c r="G413" s="3" t="s">
        <v>3823</v>
      </c>
      <c r="H413" s="6">
        <v>19697.68</v>
      </c>
    </row>
    <row r="414" spans="1:8" ht="15.75" customHeight="1" x14ac:dyDescent="0.35">
      <c r="A414" s="15"/>
      <c r="B414" s="3" t="s">
        <v>569</v>
      </c>
      <c r="C414" s="16" t="s">
        <v>3117</v>
      </c>
      <c r="D414" s="17" t="s">
        <v>861</v>
      </c>
      <c r="E414" s="16" t="s">
        <v>2258</v>
      </c>
      <c r="F414" s="17" t="s">
        <v>1419</v>
      </c>
      <c r="G414" s="3" t="s">
        <v>3824</v>
      </c>
      <c r="H414" s="6">
        <v>18636.111999999997</v>
      </c>
    </row>
    <row r="415" spans="1:8" ht="15.75" customHeight="1" x14ac:dyDescent="0.35">
      <c r="A415" s="15"/>
      <c r="B415" s="3" t="s">
        <v>570</v>
      </c>
      <c r="C415" s="16" t="s">
        <v>3118</v>
      </c>
      <c r="D415" s="17" t="s">
        <v>860</v>
      </c>
      <c r="E415" s="16" t="s">
        <v>2259</v>
      </c>
      <c r="F415" s="17" t="s">
        <v>1420</v>
      </c>
      <c r="G415" s="3" t="s">
        <v>3825</v>
      </c>
      <c r="H415" s="6">
        <v>21014</v>
      </c>
    </row>
    <row r="416" spans="1:8" ht="15.75" customHeight="1" x14ac:dyDescent="0.35">
      <c r="A416" s="15"/>
      <c r="B416" s="3" t="s">
        <v>572</v>
      </c>
      <c r="C416" s="16" t="s">
        <v>3120</v>
      </c>
      <c r="D416" s="17" t="s">
        <v>861</v>
      </c>
      <c r="E416" s="16" t="s">
        <v>2261</v>
      </c>
      <c r="F416" s="17" t="s">
        <v>1422</v>
      </c>
      <c r="G416" s="3" t="s">
        <v>3826</v>
      </c>
      <c r="H416" s="6">
        <v>17738.703999999998</v>
      </c>
    </row>
    <row r="417" spans="1:8" ht="15.75" customHeight="1" x14ac:dyDescent="0.35">
      <c r="A417" s="15"/>
      <c r="B417" s="3" t="s">
        <v>573</v>
      </c>
      <c r="C417" s="16" t="s">
        <v>3121</v>
      </c>
      <c r="D417" s="17" t="s">
        <v>861</v>
      </c>
      <c r="E417" s="16" t="s">
        <v>2262</v>
      </c>
      <c r="F417" s="17" t="s">
        <v>1423</v>
      </c>
      <c r="G417" s="3" t="s">
        <v>3827</v>
      </c>
      <c r="H417" s="6">
        <v>10925.152</v>
      </c>
    </row>
    <row r="418" spans="1:8" ht="15.75" customHeight="1" x14ac:dyDescent="0.35">
      <c r="A418" s="15"/>
      <c r="B418" s="3" t="s">
        <v>575</v>
      </c>
      <c r="C418" s="16" t="s">
        <v>3123</v>
      </c>
      <c r="D418" s="17" t="s">
        <v>861</v>
      </c>
      <c r="E418" s="16" t="s">
        <v>2264</v>
      </c>
      <c r="F418" s="17" t="s">
        <v>1425</v>
      </c>
      <c r="G418" s="3" t="s">
        <v>3828</v>
      </c>
      <c r="H418" s="6">
        <v>14178.255999999999</v>
      </c>
    </row>
    <row r="419" spans="1:8" ht="15.75" customHeight="1" x14ac:dyDescent="0.35">
      <c r="A419" s="15"/>
      <c r="B419" s="3" t="s">
        <v>576</v>
      </c>
      <c r="C419" s="16" t="s">
        <v>3124</v>
      </c>
      <c r="D419" s="17" t="s">
        <v>860</v>
      </c>
      <c r="E419" s="16" t="s">
        <v>2265</v>
      </c>
      <c r="F419" s="17" t="s">
        <v>1426</v>
      </c>
      <c r="G419" s="3" t="s">
        <v>3829</v>
      </c>
      <c r="H419" s="6">
        <v>18430.608</v>
      </c>
    </row>
    <row r="420" spans="1:8" ht="15.75" customHeight="1" x14ac:dyDescent="0.35">
      <c r="A420" s="15"/>
      <c r="B420" s="3" t="s">
        <v>578</v>
      </c>
      <c r="C420" s="16" t="s">
        <v>3126</v>
      </c>
      <c r="D420" s="17" t="s">
        <v>861</v>
      </c>
      <c r="E420" s="16" t="s">
        <v>2267</v>
      </c>
      <c r="F420" s="17" t="s">
        <v>1428</v>
      </c>
      <c r="G420" s="3" t="s">
        <v>3830</v>
      </c>
      <c r="H420" s="6">
        <v>8725.1039999999994</v>
      </c>
    </row>
    <row r="421" spans="1:8" ht="15.75" customHeight="1" x14ac:dyDescent="0.35">
      <c r="A421" s="15"/>
      <c r="B421" s="3" t="s">
        <v>579</v>
      </c>
      <c r="C421" s="16" t="s">
        <v>3127</v>
      </c>
      <c r="D421" s="17" t="s">
        <v>860</v>
      </c>
      <c r="E421" s="16" t="s">
        <v>2268</v>
      </c>
      <c r="F421" s="17" t="s">
        <v>1429</v>
      </c>
      <c r="G421" s="3" t="s">
        <v>3831</v>
      </c>
      <c r="H421" s="6">
        <v>49270.191999999995</v>
      </c>
    </row>
    <row r="422" spans="1:8" ht="15.75" customHeight="1" x14ac:dyDescent="0.35">
      <c r="A422" s="15"/>
      <c r="B422" s="3" t="s">
        <v>581</v>
      </c>
      <c r="C422" s="16" t="s">
        <v>3129</v>
      </c>
      <c r="D422" s="17" t="s">
        <v>861</v>
      </c>
      <c r="E422" s="16" t="s">
        <v>2270</v>
      </c>
      <c r="F422" s="17" t="s">
        <v>1431</v>
      </c>
      <c r="G422" s="3" t="s">
        <v>3832</v>
      </c>
      <c r="H422" s="6">
        <v>5610.32</v>
      </c>
    </row>
    <row r="423" spans="1:8" ht="15.75" customHeight="1" x14ac:dyDescent="0.35">
      <c r="A423" s="15"/>
      <c r="B423" s="3" t="s">
        <v>582</v>
      </c>
      <c r="C423" s="16" t="s">
        <v>3130</v>
      </c>
      <c r="D423" s="17" t="s">
        <v>861</v>
      </c>
      <c r="E423" s="16" t="s">
        <v>2271</v>
      </c>
      <c r="F423" s="17" t="s">
        <v>1427</v>
      </c>
      <c r="G423" s="3" t="s">
        <v>3833</v>
      </c>
      <c r="H423" s="6">
        <v>15616.784</v>
      </c>
    </row>
    <row r="424" spans="1:8" ht="15.75" customHeight="1" x14ac:dyDescent="0.35">
      <c r="A424" s="15"/>
      <c r="B424" s="3" t="s">
        <v>583</v>
      </c>
      <c r="C424" s="16" t="s">
        <v>3131</v>
      </c>
      <c r="D424" s="17" t="s">
        <v>861</v>
      </c>
      <c r="E424" s="16" t="s">
        <v>2272</v>
      </c>
      <c r="F424" s="17" t="s">
        <v>1432</v>
      </c>
      <c r="G424" s="3" t="s">
        <v>3833</v>
      </c>
      <c r="H424" s="6">
        <v>55429.231999999996</v>
      </c>
    </row>
    <row r="425" spans="1:8" ht="15.75" customHeight="1" x14ac:dyDescent="0.35">
      <c r="A425" s="15"/>
      <c r="B425" s="3" t="s">
        <v>584</v>
      </c>
      <c r="C425" s="16" t="s">
        <v>3132</v>
      </c>
      <c r="D425" s="17" t="s">
        <v>861</v>
      </c>
      <c r="E425" s="16" t="s">
        <v>2273</v>
      </c>
      <c r="F425" s="17" t="s">
        <v>1433</v>
      </c>
      <c r="G425" s="3" t="s">
        <v>3834</v>
      </c>
      <c r="H425" s="6">
        <v>39618.191999999995</v>
      </c>
    </row>
    <row r="426" spans="1:8" ht="15.75" customHeight="1" x14ac:dyDescent="0.35">
      <c r="A426" s="15"/>
      <c r="B426" s="3" t="s">
        <v>587</v>
      </c>
      <c r="C426" s="16" t="s">
        <v>3135</v>
      </c>
      <c r="D426" s="17" t="s">
        <v>860</v>
      </c>
      <c r="E426" s="16" t="s">
        <v>2276</v>
      </c>
      <c r="F426" s="17" t="s">
        <v>1436</v>
      </c>
      <c r="G426" s="3" t="s">
        <v>3835</v>
      </c>
      <c r="H426" s="6">
        <v>33129.311999999998</v>
      </c>
    </row>
    <row r="427" spans="1:8" ht="15.75" customHeight="1" x14ac:dyDescent="0.35">
      <c r="A427" s="15"/>
      <c r="B427" s="3" t="s">
        <v>593</v>
      </c>
      <c r="C427" s="16" t="s">
        <v>3141</v>
      </c>
      <c r="D427" s="17" t="s">
        <v>860</v>
      </c>
      <c r="E427" s="16" t="s">
        <v>2282</v>
      </c>
      <c r="F427" s="17" t="s">
        <v>1442</v>
      </c>
      <c r="G427" s="3" t="s">
        <v>3836</v>
      </c>
      <c r="H427" s="6">
        <v>10914.207999999999</v>
      </c>
    </row>
    <row r="428" spans="1:8" ht="15.75" customHeight="1" x14ac:dyDescent="0.35">
      <c r="A428" s="15"/>
      <c r="B428" s="3" t="s">
        <v>594</v>
      </c>
      <c r="C428" s="16" t="s">
        <v>3142</v>
      </c>
      <c r="D428" s="17" t="s">
        <v>861</v>
      </c>
      <c r="E428" s="16" t="s">
        <v>2283</v>
      </c>
      <c r="F428" s="17" t="s">
        <v>1443</v>
      </c>
      <c r="G428" s="3" t="s">
        <v>3837</v>
      </c>
      <c r="H428" s="6">
        <v>69475.551999999996</v>
      </c>
    </row>
    <row r="429" spans="1:8" ht="15.75" customHeight="1" x14ac:dyDescent="0.35">
      <c r="A429" s="15"/>
      <c r="B429" s="3" t="s">
        <v>598</v>
      </c>
      <c r="C429" s="16" t="s">
        <v>3146</v>
      </c>
      <c r="D429" s="17" t="s">
        <v>860</v>
      </c>
      <c r="E429" s="16" t="s">
        <v>2287</v>
      </c>
      <c r="F429" s="17" t="s">
        <v>1447</v>
      </c>
      <c r="G429" s="3" t="s">
        <v>3838</v>
      </c>
      <c r="H429" s="6">
        <v>23288.528000000002</v>
      </c>
    </row>
    <row r="430" spans="1:8" ht="15.75" customHeight="1" x14ac:dyDescent="0.35">
      <c r="A430" s="15"/>
      <c r="B430" s="3" t="s">
        <v>599</v>
      </c>
      <c r="C430" s="16" t="s">
        <v>3147</v>
      </c>
      <c r="D430" s="17" t="s">
        <v>861</v>
      </c>
      <c r="E430" s="16" t="s">
        <v>2288</v>
      </c>
      <c r="F430" s="17" t="s">
        <v>1448</v>
      </c>
      <c r="G430" s="3" t="s">
        <v>3839</v>
      </c>
      <c r="H430" s="6">
        <v>5624.6080000000002</v>
      </c>
    </row>
    <row r="431" spans="1:8" ht="15.75" customHeight="1" x14ac:dyDescent="0.35">
      <c r="A431" s="15"/>
      <c r="B431" s="3" t="s">
        <v>600</v>
      </c>
      <c r="C431" s="16" t="s">
        <v>3148</v>
      </c>
      <c r="D431" s="17" t="s">
        <v>861</v>
      </c>
      <c r="E431" s="16" t="s">
        <v>2289</v>
      </c>
      <c r="F431" s="17" t="s">
        <v>1449</v>
      </c>
      <c r="G431" s="3" t="s">
        <v>3838</v>
      </c>
      <c r="H431" s="6">
        <v>11510.655999999999</v>
      </c>
    </row>
    <row r="432" spans="1:8" ht="15.75" customHeight="1" x14ac:dyDescent="0.35">
      <c r="A432" s="15"/>
      <c r="B432" s="3" t="s">
        <v>604</v>
      </c>
      <c r="C432" s="16" t="s">
        <v>3152</v>
      </c>
      <c r="D432" s="17" t="s">
        <v>861</v>
      </c>
      <c r="E432" s="16" t="s">
        <v>2293</v>
      </c>
      <c r="F432" s="17" t="s">
        <v>1453</v>
      </c>
      <c r="G432" s="3" t="s">
        <v>3840</v>
      </c>
      <c r="H432" s="6">
        <v>7995.8079999999991</v>
      </c>
    </row>
    <row r="433" spans="1:8" ht="15.75" customHeight="1" x14ac:dyDescent="0.35">
      <c r="A433" s="15"/>
      <c r="B433" s="3" t="s">
        <v>607</v>
      </c>
      <c r="C433" s="16" t="s">
        <v>3155</v>
      </c>
      <c r="D433" s="17" t="s">
        <v>861</v>
      </c>
      <c r="E433" s="16" t="s">
        <v>2296</v>
      </c>
      <c r="F433" s="17" t="s">
        <v>1456</v>
      </c>
      <c r="G433" s="3" t="s">
        <v>3841</v>
      </c>
      <c r="H433" s="6">
        <v>7134.576</v>
      </c>
    </row>
    <row r="434" spans="1:8" ht="15.75" customHeight="1" x14ac:dyDescent="0.35">
      <c r="A434" s="15"/>
      <c r="B434" s="3" t="s">
        <v>609</v>
      </c>
      <c r="C434" s="16" t="s">
        <v>3157</v>
      </c>
      <c r="D434" s="17" t="s">
        <v>861</v>
      </c>
      <c r="E434" s="16" t="s">
        <v>2298</v>
      </c>
      <c r="F434" s="17" t="s">
        <v>1458</v>
      </c>
      <c r="G434" s="3" t="s">
        <v>3842</v>
      </c>
      <c r="H434" s="6">
        <v>19749.359999999997</v>
      </c>
    </row>
    <row r="435" spans="1:8" ht="15.75" customHeight="1" x14ac:dyDescent="0.35">
      <c r="A435" s="15"/>
      <c r="B435" s="3" t="s">
        <v>610</v>
      </c>
      <c r="C435" s="16" t="s">
        <v>3158</v>
      </c>
      <c r="D435" s="17" t="s">
        <v>860</v>
      </c>
      <c r="E435" s="16" t="s">
        <v>2299</v>
      </c>
      <c r="F435" s="17" t="s">
        <v>1459</v>
      </c>
      <c r="G435" s="3" t="s">
        <v>3842</v>
      </c>
      <c r="H435" s="6">
        <v>48488.911999999997</v>
      </c>
    </row>
    <row r="436" spans="1:8" ht="15.75" customHeight="1" x14ac:dyDescent="0.35">
      <c r="A436" s="15"/>
      <c r="B436" s="3" t="s">
        <v>611</v>
      </c>
      <c r="C436" s="16" t="s">
        <v>3159</v>
      </c>
      <c r="D436" s="17" t="s">
        <v>861</v>
      </c>
      <c r="E436" s="16" t="s">
        <v>2300</v>
      </c>
      <c r="F436" s="17" t="s">
        <v>1460</v>
      </c>
      <c r="G436" s="3" t="s">
        <v>3843</v>
      </c>
      <c r="H436" s="6">
        <v>16588.976000000002</v>
      </c>
    </row>
    <row r="437" spans="1:8" ht="15.75" customHeight="1" x14ac:dyDescent="0.35">
      <c r="A437" s="15"/>
      <c r="B437" s="3" t="s">
        <v>612</v>
      </c>
      <c r="C437" s="16" t="s">
        <v>3160</v>
      </c>
      <c r="D437" s="17" t="s">
        <v>861</v>
      </c>
      <c r="E437" s="16" t="s">
        <v>2301</v>
      </c>
      <c r="F437" s="17" t="s">
        <v>1461</v>
      </c>
      <c r="G437" s="3" t="s">
        <v>3844</v>
      </c>
      <c r="H437" s="6">
        <v>15631.68</v>
      </c>
    </row>
    <row r="438" spans="1:8" ht="15.75" customHeight="1" x14ac:dyDescent="0.35">
      <c r="A438" s="15"/>
      <c r="B438" s="3" t="s">
        <v>613</v>
      </c>
      <c r="C438" s="16" t="s">
        <v>3161</v>
      </c>
      <c r="D438" s="17" t="s">
        <v>861</v>
      </c>
      <c r="E438" s="16" t="s">
        <v>2302</v>
      </c>
      <c r="F438" s="17" t="s">
        <v>1462</v>
      </c>
      <c r="G438" s="3" t="s">
        <v>3845</v>
      </c>
      <c r="H438" s="6">
        <v>9389.9519999999993</v>
      </c>
    </row>
    <row r="439" spans="1:8" ht="15.75" customHeight="1" x14ac:dyDescent="0.35">
      <c r="A439" s="15"/>
      <c r="B439" s="3" t="s">
        <v>615</v>
      </c>
      <c r="C439" s="16" t="s">
        <v>3163</v>
      </c>
      <c r="D439" s="17" t="s">
        <v>861</v>
      </c>
      <c r="E439" s="16" t="s">
        <v>2304</v>
      </c>
      <c r="F439" s="17" t="s">
        <v>1464</v>
      </c>
      <c r="G439" s="3" t="s">
        <v>3846</v>
      </c>
      <c r="H439" s="6">
        <v>28708.847999999998</v>
      </c>
    </row>
    <row r="440" spans="1:8" ht="15.75" customHeight="1" x14ac:dyDescent="0.35">
      <c r="A440" s="15"/>
      <c r="B440" s="3" t="s">
        <v>616</v>
      </c>
      <c r="C440" s="16" t="s">
        <v>3164</v>
      </c>
      <c r="D440" s="17" t="s">
        <v>860</v>
      </c>
      <c r="E440" s="16" t="s">
        <v>2305</v>
      </c>
      <c r="F440" s="17" t="s">
        <v>1465</v>
      </c>
      <c r="G440" s="3" t="s">
        <v>3847</v>
      </c>
      <c r="H440" s="6">
        <v>10758.864</v>
      </c>
    </row>
    <row r="441" spans="1:8" ht="15.75" customHeight="1" x14ac:dyDescent="0.35">
      <c r="A441" s="15"/>
      <c r="B441" s="3" t="s">
        <v>617</v>
      </c>
      <c r="C441" s="16" t="s">
        <v>3165</v>
      </c>
      <c r="D441" s="17" t="s">
        <v>860</v>
      </c>
      <c r="E441" s="16" t="s">
        <v>2306</v>
      </c>
      <c r="F441" s="17" t="s">
        <v>1466</v>
      </c>
      <c r="G441" s="3" t="s">
        <v>3848</v>
      </c>
      <c r="H441" s="6">
        <v>8426.271999999999</v>
      </c>
    </row>
    <row r="442" spans="1:8" ht="15.75" customHeight="1" x14ac:dyDescent="0.35">
      <c r="A442" s="15"/>
      <c r="B442" s="3" t="s">
        <v>619</v>
      </c>
      <c r="C442" s="16" t="s">
        <v>3167</v>
      </c>
      <c r="D442" s="17" t="s">
        <v>861</v>
      </c>
      <c r="E442" s="16" t="s">
        <v>2308</v>
      </c>
      <c r="F442" s="17" t="s">
        <v>1468</v>
      </c>
      <c r="G442" s="3" t="s">
        <v>3849</v>
      </c>
      <c r="H442" s="6">
        <v>10094.624</v>
      </c>
    </row>
    <row r="443" spans="1:8" ht="15.75" customHeight="1" x14ac:dyDescent="0.35">
      <c r="A443" s="15"/>
      <c r="B443" s="3" t="s">
        <v>620</v>
      </c>
      <c r="C443" s="16" t="s">
        <v>3168</v>
      </c>
      <c r="D443" s="17" t="s">
        <v>860</v>
      </c>
      <c r="E443" s="16" t="s">
        <v>2309</v>
      </c>
      <c r="F443" s="17" t="s">
        <v>1469</v>
      </c>
      <c r="G443" s="3" t="s">
        <v>3850</v>
      </c>
      <c r="H443" s="6">
        <v>68901.295999999988</v>
      </c>
    </row>
    <row r="444" spans="1:8" ht="15.75" customHeight="1" x14ac:dyDescent="0.35">
      <c r="A444" s="15"/>
      <c r="B444" s="3" t="s">
        <v>623</v>
      </c>
      <c r="C444" s="16" t="s">
        <v>3171</v>
      </c>
      <c r="D444" s="17" t="s">
        <v>861</v>
      </c>
      <c r="E444" s="16" t="s">
        <v>2312</v>
      </c>
      <c r="F444" s="17" t="s">
        <v>1472</v>
      </c>
      <c r="G444" s="3" t="s">
        <v>3851</v>
      </c>
      <c r="H444" s="6">
        <v>30183.248</v>
      </c>
    </row>
    <row r="445" spans="1:8" ht="15.75" customHeight="1" x14ac:dyDescent="0.35">
      <c r="A445" s="15"/>
      <c r="B445" s="3" t="s">
        <v>624</v>
      </c>
      <c r="C445" s="16" t="s">
        <v>3172</v>
      </c>
      <c r="D445" s="17" t="s">
        <v>861</v>
      </c>
      <c r="E445" s="16" t="s">
        <v>2313</v>
      </c>
      <c r="F445" s="17" t="s">
        <v>1473</v>
      </c>
      <c r="G445" s="3" t="s">
        <v>3851</v>
      </c>
      <c r="H445" s="6">
        <v>30752.944</v>
      </c>
    </row>
    <row r="446" spans="1:8" ht="15.75" customHeight="1" x14ac:dyDescent="0.35">
      <c r="A446" s="15"/>
      <c r="B446" s="3" t="s">
        <v>625</v>
      </c>
      <c r="C446" s="16" t="s">
        <v>3173</v>
      </c>
      <c r="D446" s="17" t="s">
        <v>860</v>
      </c>
      <c r="E446" s="16" t="s">
        <v>2314</v>
      </c>
      <c r="F446" s="17" t="s">
        <v>1474</v>
      </c>
      <c r="G446" s="3" t="s">
        <v>3852</v>
      </c>
      <c r="H446" s="6">
        <v>10919.679999999998</v>
      </c>
    </row>
    <row r="447" spans="1:8" ht="15.75" customHeight="1" x14ac:dyDescent="0.35">
      <c r="A447" s="15"/>
      <c r="B447" s="3" t="s">
        <v>626</v>
      </c>
      <c r="C447" s="16" t="s">
        <v>3174</v>
      </c>
      <c r="D447" s="17" t="s">
        <v>861</v>
      </c>
      <c r="E447" s="16" t="s">
        <v>2315</v>
      </c>
      <c r="F447" s="17" t="s">
        <v>1475</v>
      </c>
      <c r="G447" s="3" t="s">
        <v>3851</v>
      </c>
      <c r="H447" s="6">
        <v>42256.911999999997</v>
      </c>
    </row>
    <row r="448" spans="1:8" ht="15.75" customHeight="1" x14ac:dyDescent="0.35">
      <c r="A448" s="15"/>
      <c r="B448" s="3" t="s">
        <v>628</v>
      </c>
      <c r="C448" s="16" t="s">
        <v>3176</v>
      </c>
      <c r="D448" s="17" t="s">
        <v>860</v>
      </c>
      <c r="E448" s="16" t="s">
        <v>2317</v>
      </c>
      <c r="F448" s="17" t="s">
        <v>1477</v>
      </c>
      <c r="G448" s="3" t="s">
        <v>3852</v>
      </c>
      <c r="H448" s="6">
        <v>17868.207999999999</v>
      </c>
    </row>
    <row r="449" spans="1:8" ht="15.75" customHeight="1" x14ac:dyDescent="0.35">
      <c r="A449" s="15"/>
      <c r="B449" s="3" t="s">
        <v>630</v>
      </c>
      <c r="C449" s="16" t="s">
        <v>3178</v>
      </c>
      <c r="D449" s="17" t="s">
        <v>861</v>
      </c>
      <c r="E449" s="16" t="s">
        <v>2319</v>
      </c>
      <c r="F449" s="17" t="s">
        <v>1479</v>
      </c>
      <c r="G449" s="3" t="s">
        <v>3851</v>
      </c>
      <c r="H449" s="6">
        <v>9609.7440000000006</v>
      </c>
    </row>
    <row r="450" spans="1:8" ht="15.75" customHeight="1" x14ac:dyDescent="0.35">
      <c r="A450" s="15"/>
      <c r="B450" s="3" t="s">
        <v>632</v>
      </c>
      <c r="C450" s="16" t="s">
        <v>3180</v>
      </c>
      <c r="D450" s="17" t="s">
        <v>861</v>
      </c>
      <c r="E450" s="16" t="s">
        <v>2321</v>
      </c>
      <c r="F450" s="17" t="s">
        <v>1481</v>
      </c>
      <c r="G450" s="3" t="s">
        <v>3853</v>
      </c>
      <c r="H450" s="6">
        <v>37895.727999999996</v>
      </c>
    </row>
    <row r="451" spans="1:8" ht="15.75" customHeight="1" x14ac:dyDescent="0.35">
      <c r="A451" s="15"/>
      <c r="B451" s="3" t="s">
        <v>635</v>
      </c>
      <c r="C451" s="16" t="s">
        <v>3183</v>
      </c>
      <c r="D451" s="17" t="s">
        <v>860</v>
      </c>
      <c r="E451" s="16" t="s">
        <v>2324</v>
      </c>
      <c r="F451" s="17" t="s">
        <v>1484</v>
      </c>
      <c r="G451" s="3" t="s">
        <v>3854</v>
      </c>
      <c r="H451" s="6">
        <v>6982.576</v>
      </c>
    </row>
    <row r="452" spans="1:8" ht="15.75" customHeight="1" x14ac:dyDescent="0.35">
      <c r="A452" s="15"/>
      <c r="B452" s="3" t="s">
        <v>636</v>
      </c>
      <c r="C452" s="16" t="s">
        <v>3184</v>
      </c>
      <c r="D452" s="17" t="s">
        <v>861</v>
      </c>
      <c r="E452" s="16" t="s">
        <v>2325</v>
      </c>
      <c r="F452" s="17" t="s">
        <v>1485</v>
      </c>
      <c r="G452" s="3" t="s">
        <v>3851</v>
      </c>
      <c r="H452" s="6">
        <v>5624.6080000000002</v>
      </c>
    </row>
    <row r="453" spans="1:8" ht="15.75" customHeight="1" x14ac:dyDescent="0.35">
      <c r="A453" s="15"/>
      <c r="B453" s="3" t="s">
        <v>637</v>
      </c>
      <c r="C453" s="16" t="s">
        <v>3185</v>
      </c>
      <c r="D453" s="17" t="s">
        <v>861</v>
      </c>
      <c r="E453" s="16" t="s">
        <v>2326</v>
      </c>
      <c r="F453" s="17" t="s">
        <v>1486</v>
      </c>
      <c r="G453" s="3" t="s">
        <v>3855</v>
      </c>
      <c r="H453" s="6">
        <v>10820.271999999999</v>
      </c>
    </row>
    <row r="454" spans="1:8" ht="15.75" customHeight="1" x14ac:dyDescent="0.35">
      <c r="A454" s="15"/>
      <c r="B454" s="3" t="s">
        <v>638</v>
      </c>
      <c r="C454" s="16" t="s">
        <v>3186</v>
      </c>
      <c r="D454" s="17" t="s">
        <v>861</v>
      </c>
      <c r="E454" s="16" t="s">
        <v>2327</v>
      </c>
      <c r="F454" s="17" t="s">
        <v>1487</v>
      </c>
      <c r="G454" s="3" t="s">
        <v>3856</v>
      </c>
      <c r="H454" s="6">
        <v>12378.575999999999</v>
      </c>
    </row>
    <row r="455" spans="1:8" ht="15.75" customHeight="1" x14ac:dyDescent="0.35">
      <c r="A455" s="15"/>
      <c r="B455" s="3" t="s">
        <v>639</v>
      </c>
      <c r="C455" s="16" t="s">
        <v>3187</v>
      </c>
      <c r="D455" s="17" t="s">
        <v>861</v>
      </c>
      <c r="E455" s="16" t="s">
        <v>2328</v>
      </c>
      <c r="F455" s="17" t="s">
        <v>1488</v>
      </c>
      <c r="G455" s="3" t="s">
        <v>3857</v>
      </c>
      <c r="H455" s="6">
        <v>11928.351999999999</v>
      </c>
    </row>
    <row r="456" spans="1:8" ht="15.75" customHeight="1" x14ac:dyDescent="0.35">
      <c r="A456" s="15"/>
      <c r="B456" s="3" t="s">
        <v>643</v>
      </c>
      <c r="C456" s="16" t="s">
        <v>3191</v>
      </c>
      <c r="D456" s="17" t="s">
        <v>860</v>
      </c>
      <c r="E456" s="16" t="s">
        <v>2332</v>
      </c>
      <c r="F456" s="17" t="s">
        <v>1491</v>
      </c>
      <c r="G456" s="3" t="s">
        <v>3858</v>
      </c>
      <c r="H456" s="6">
        <v>45508.799999999996</v>
      </c>
    </row>
    <row r="457" spans="1:8" ht="15.75" customHeight="1" x14ac:dyDescent="0.35">
      <c r="A457" s="15"/>
      <c r="B457" s="3" t="s">
        <v>645</v>
      </c>
      <c r="C457" s="16" t="s">
        <v>3193</v>
      </c>
      <c r="D457" s="17" t="s">
        <v>860</v>
      </c>
      <c r="E457" s="16" t="s">
        <v>2334</v>
      </c>
      <c r="F457" s="17" t="s">
        <v>1493</v>
      </c>
      <c r="G457" s="3" t="s">
        <v>3859</v>
      </c>
      <c r="H457" s="6">
        <v>24602.415999999997</v>
      </c>
    </row>
    <row r="458" spans="1:8" ht="15.75" customHeight="1" x14ac:dyDescent="0.35">
      <c r="A458" s="15"/>
      <c r="B458" s="3" t="s">
        <v>647</v>
      </c>
      <c r="C458" s="16" t="s">
        <v>3195</v>
      </c>
      <c r="D458" s="17" t="s">
        <v>861</v>
      </c>
      <c r="E458" s="16" t="s">
        <v>2336</v>
      </c>
      <c r="F458" s="17" t="s">
        <v>1495</v>
      </c>
      <c r="G458" s="3" t="s">
        <v>3860</v>
      </c>
      <c r="H458" s="6">
        <v>19578.815999999999</v>
      </c>
    </row>
    <row r="459" spans="1:8" ht="15.75" customHeight="1" x14ac:dyDescent="0.35">
      <c r="A459" s="15"/>
      <c r="B459" s="3" t="s">
        <v>649</v>
      </c>
      <c r="C459" s="16" t="s">
        <v>3197</v>
      </c>
      <c r="D459" s="17" t="s">
        <v>861</v>
      </c>
      <c r="E459" s="16" t="s">
        <v>2338</v>
      </c>
      <c r="F459" s="17" t="s">
        <v>1496</v>
      </c>
      <c r="G459" s="3" t="s">
        <v>3556</v>
      </c>
      <c r="H459" s="6">
        <v>13261.088</v>
      </c>
    </row>
    <row r="460" spans="1:8" ht="15.75" customHeight="1" x14ac:dyDescent="0.35">
      <c r="A460" s="15"/>
      <c r="B460" s="3" t="s">
        <v>651</v>
      </c>
      <c r="C460" s="16" t="s">
        <v>3199</v>
      </c>
      <c r="D460" s="17" t="s">
        <v>860</v>
      </c>
      <c r="E460" s="16" t="s">
        <v>2340</v>
      </c>
      <c r="F460" s="17" t="s">
        <v>1497</v>
      </c>
      <c r="G460" s="3" t="s">
        <v>3861</v>
      </c>
      <c r="H460" s="6">
        <v>16682</v>
      </c>
    </row>
    <row r="461" spans="1:8" ht="15.75" customHeight="1" x14ac:dyDescent="0.35">
      <c r="A461" s="15"/>
      <c r="B461" s="3" t="s">
        <v>652</v>
      </c>
      <c r="C461" s="16" t="s">
        <v>3200</v>
      </c>
      <c r="D461" s="17" t="s">
        <v>861</v>
      </c>
      <c r="E461" s="16" t="s">
        <v>2341</v>
      </c>
      <c r="F461" s="17" t="s">
        <v>1498</v>
      </c>
      <c r="G461" s="3" t="s">
        <v>3862</v>
      </c>
      <c r="H461" s="6">
        <v>5624.6080000000002</v>
      </c>
    </row>
    <row r="462" spans="1:8" ht="15.75" customHeight="1" x14ac:dyDescent="0.35">
      <c r="A462" s="15"/>
      <c r="B462" s="3" t="s">
        <v>3863</v>
      </c>
      <c r="C462" s="16" t="s">
        <v>3864</v>
      </c>
      <c r="D462" s="17" t="s">
        <v>861</v>
      </c>
      <c r="E462" s="16" t="s">
        <v>3865</v>
      </c>
      <c r="F462" s="17" t="s">
        <v>3866</v>
      </c>
      <c r="G462" s="3" t="s">
        <v>3867</v>
      </c>
      <c r="H462" s="6">
        <v>21838.144</v>
      </c>
    </row>
    <row r="463" spans="1:8" ht="15.75" customHeight="1" x14ac:dyDescent="0.35">
      <c r="A463" s="15"/>
      <c r="B463" s="3" t="s">
        <v>658</v>
      </c>
      <c r="C463" s="16" t="s">
        <v>3206</v>
      </c>
      <c r="D463" s="17" t="s">
        <v>861</v>
      </c>
      <c r="E463" s="16" t="s">
        <v>2347</v>
      </c>
      <c r="F463" s="17" t="s">
        <v>1504</v>
      </c>
      <c r="G463" s="3" t="s">
        <v>3868</v>
      </c>
      <c r="H463" s="6">
        <v>70323.712</v>
      </c>
    </row>
    <row r="464" spans="1:8" ht="15.75" customHeight="1" x14ac:dyDescent="0.35">
      <c r="A464" s="15"/>
      <c r="B464" s="3" t="s">
        <v>660</v>
      </c>
      <c r="C464" s="16" t="s">
        <v>3208</v>
      </c>
      <c r="D464" s="17" t="s">
        <v>861</v>
      </c>
      <c r="E464" s="16" t="s">
        <v>2349</v>
      </c>
      <c r="F464" s="17" t="s">
        <v>1501</v>
      </c>
      <c r="G464" s="3" t="s">
        <v>3869</v>
      </c>
      <c r="H464" s="6">
        <v>19245.936000000002</v>
      </c>
    </row>
    <row r="465" spans="1:8" ht="15.75" customHeight="1" x14ac:dyDescent="0.35">
      <c r="A465" s="15"/>
      <c r="B465" s="3" t="s">
        <v>661</v>
      </c>
      <c r="C465" s="16" t="s">
        <v>3209</v>
      </c>
      <c r="D465" s="17" t="s">
        <v>861</v>
      </c>
      <c r="E465" s="16" t="s">
        <v>2350</v>
      </c>
      <c r="F465" s="17" t="s">
        <v>1506</v>
      </c>
      <c r="G465" s="3" t="s">
        <v>3870</v>
      </c>
      <c r="H465" s="6">
        <v>5624.6080000000002</v>
      </c>
    </row>
    <row r="466" spans="1:8" ht="15.75" customHeight="1" x14ac:dyDescent="0.35">
      <c r="A466" s="15"/>
      <c r="B466" s="3" t="s">
        <v>663</v>
      </c>
      <c r="C466" s="16" t="s">
        <v>3211</v>
      </c>
      <c r="D466" s="17" t="s">
        <v>861</v>
      </c>
      <c r="E466" s="16" t="s">
        <v>2352</v>
      </c>
      <c r="F466" s="17" t="s">
        <v>1508</v>
      </c>
      <c r="G466" s="3" t="s">
        <v>3871</v>
      </c>
      <c r="H466" s="6">
        <v>25561.536</v>
      </c>
    </row>
    <row r="467" spans="1:8" ht="15.75" customHeight="1" x14ac:dyDescent="0.35">
      <c r="A467" s="15"/>
      <c r="B467" s="3" t="s">
        <v>665</v>
      </c>
      <c r="C467" s="16" t="s">
        <v>3213</v>
      </c>
      <c r="D467" s="17" t="s">
        <v>861</v>
      </c>
      <c r="E467" s="16" t="s">
        <v>2354</v>
      </c>
      <c r="F467" s="17" t="s">
        <v>1510</v>
      </c>
      <c r="G467" s="3" t="s">
        <v>3872</v>
      </c>
      <c r="H467" s="6">
        <v>18963.823999999997</v>
      </c>
    </row>
    <row r="468" spans="1:8" ht="15.75" customHeight="1" x14ac:dyDescent="0.35">
      <c r="A468" s="15"/>
      <c r="B468" s="3" t="s">
        <v>666</v>
      </c>
      <c r="C468" s="16" t="s">
        <v>3214</v>
      </c>
      <c r="D468" s="17" t="s">
        <v>860</v>
      </c>
      <c r="E468" s="16" t="s">
        <v>2355</v>
      </c>
      <c r="F468" s="17" t="s">
        <v>1511</v>
      </c>
      <c r="G468" s="3" t="s">
        <v>3873</v>
      </c>
      <c r="H468" s="6">
        <v>12749.759999999998</v>
      </c>
    </row>
    <row r="469" spans="1:8" ht="15.75" customHeight="1" x14ac:dyDescent="0.35">
      <c r="A469" s="15"/>
      <c r="B469" s="3" t="s">
        <v>667</v>
      </c>
      <c r="C469" s="16" t="s">
        <v>3215</v>
      </c>
      <c r="D469" s="17" t="s">
        <v>861</v>
      </c>
      <c r="E469" s="16" t="s">
        <v>2356</v>
      </c>
      <c r="F469" s="17" t="s">
        <v>1512</v>
      </c>
      <c r="G469" s="3" t="s">
        <v>3874</v>
      </c>
      <c r="H469" s="6">
        <v>15261.711999999998</v>
      </c>
    </row>
    <row r="470" spans="1:8" ht="15.75" customHeight="1" x14ac:dyDescent="0.35">
      <c r="A470" s="15"/>
      <c r="B470" s="3" t="s">
        <v>675</v>
      </c>
      <c r="C470" s="16" t="s">
        <v>3223</v>
      </c>
      <c r="D470" s="17" t="s">
        <v>860</v>
      </c>
      <c r="E470" s="16" t="s">
        <v>2364</v>
      </c>
      <c r="F470" s="17" t="s">
        <v>1520</v>
      </c>
      <c r="G470" s="3" t="s">
        <v>3875</v>
      </c>
      <c r="H470" s="6">
        <v>13846.288</v>
      </c>
    </row>
    <row r="471" spans="1:8" ht="15.75" customHeight="1" x14ac:dyDescent="0.35">
      <c r="A471" s="15"/>
      <c r="B471" s="3" t="s">
        <v>676</v>
      </c>
      <c r="C471" s="16" t="s">
        <v>3224</v>
      </c>
      <c r="D471" s="17" t="s">
        <v>861</v>
      </c>
      <c r="E471" s="16" t="s">
        <v>2365</v>
      </c>
      <c r="F471" s="17" t="s">
        <v>1521</v>
      </c>
      <c r="G471" s="3" t="s">
        <v>3876</v>
      </c>
      <c r="H471" s="6">
        <v>16558.576000000001</v>
      </c>
    </row>
    <row r="472" spans="1:8" ht="15.75" customHeight="1" x14ac:dyDescent="0.35">
      <c r="A472" s="15"/>
      <c r="B472" s="3" t="s">
        <v>678</v>
      </c>
      <c r="C472" s="16" t="s">
        <v>3226</v>
      </c>
      <c r="D472" s="17" t="s">
        <v>861</v>
      </c>
      <c r="E472" s="16" t="s">
        <v>2367</v>
      </c>
      <c r="F472" s="17" t="s">
        <v>1523</v>
      </c>
      <c r="G472" s="3" t="s">
        <v>3877</v>
      </c>
      <c r="H472" s="6">
        <v>30752.944</v>
      </c>
    </row>
    <row r="473" spans="1:8" ht="15.75" customHeight="1" x14ac:dyDescent="0.35">
      <c r="A473" s="15"/>
      <c r="B473" s="3" t="s">
        <v>680</v>
      </c>
      <c r="C473" s="16" t="s">
        <v>3228</v>
      </c>
      <c r="D473" s="17" t="s">
        <v>861</v>
      </c>
      <c r="E473" s="16" t="s">
        <v>2369</v>
      </c>
      <c r="F473" s="17" t="s">
        <v>1525</v>
      </c>
      <c r="G473" s="3" t="s">
        <v>3877</v>
      </c>
      <c r="H473" s="6">
        <v>12625.423999999999</v>
      </c>
    </row>
    <row r="474" spans="1:8" ht="15.75" customHeight="1" x14ac:dyDescent="0.35">
      <c r="A474" s="15"/>
      <c r="B474" s="3" t="s">
        <v>681</v>
      </c>
      <c r="C474" s="16" t="s">
        <v>3229</v>
      </c>
      <c r="D474" s="17" t="s">
        <v>861</v>
      </c>
      <c r="E474" s="16" t="s">
        <v>2370</v>
      </c>
      <c r="F474" s="17" t="s">
        <v>1168</v>
      </c>
      <c r="G474" s="3" t="s">
        <v>3878</v>
      </c>
      <c r="H474" s="6">
        <v>8547.8719999999994</v>
      </c>
    </row>
    <row r="475" spans="1:8" ht="15.75" customHeight="1" x14ac:dyDescent="0.35">
      <c r="A475" s="15"/>
      <c r="B475" s="3" t="s">
        <v>682</v>
      </c>
      <c r="C475" s="16" t="s">
        <v>3230</v>
      </c>
      <c r="D475" s="17" t="s">
        <v>860</v>
      </c>
      <c r="E475" s="16" t="s">
        <v>2371</v>
      </c>
      <c r="F475" s="17" t="s">
        <v>1526</v>
      </c>
      <c r="G475" s="3" t="s">
        <v>3879</v>
      </c>
      <c r="H475" s="6">
        <v>15991.615999999998</v>
      </c>
    </row>
    <row r="476" spans="1:8" ht="15.75" customHeight="1" x14ac:dyDescent="0.35">
      <c r="A476" s="15"/>
      <c r="B476" s="3" t="s">
        <v>683</v>
      </c>
      <c r="C476" s="16" t="s">
        <v>3231</v>
      </c>
      <c r="D476" s="17" t="s">
        <v>860</v>
      </c>
      <c r="E476" s="16" t="s">
        <v>2372</v>
      </c>
      <c r="F476" s="17" t="s">
        <v>1197</v>
      </c>
      <c r="G476" s="3" t="s">
        <v>3880</v>
      </c>
      <c r="H476" s="6">
        <v>9362.8960000000006</v>
      </c>
    </row>
    <row r="477" spans="1:8" ht="15.75" customHeight="1" x14ac:dyDescent="0.35">
      <c r="A477" s="15"/>
      <c r="B477" s="3" t="s">
        <v>684</v>
      </c>
      <c r="C477" s="16" t="s">
        <v>3232</v>
      </c>
      <c r="D477" s="17" t="s">
        <v>860</v>
      </c>
      <c r="E477" s="16" t="s">
        <v>2373</v>
      </c>
      <c r="F477" s="17" t="s">
        <v>1527</v>
      </c>
      <c r="G477" s="3" t="s">
        <v>3879</v>
      </c>
      <c r="H477" s="6">
        <v>48656.415999999997</v>
      </c>
    </row>
    <row r="478" spans="1:8" ht="15.75" customHeight="1" x14ac:dyDescent="0.35">
      <c r="A478" s="15"/>
      <c r="B478" s="3" t="s">
        <v>685</v>
      </c>
      <c r="C478" s="16" t="s">
        <v>3233</v>
      </c>
      <c r="D478" s="17" t="s">
        <v>860</v>
      </c>
      <c r="E478" s="16" t="s">
        <v>2374</v>
      </c>
      <c r="F478" s="17" t="s">
        <v>1528</v>
      </c>
      <c r="G478" s="3" t="s">
        <v>3881</v>
      </c>
      <c r="H478" s="6">
        <v>8469.44</v>
      </c>
    </row>
    <row r="479" spans="1:8" ht="15.75" customHeight="1" x14ac:dyDescent="0.35">
      <c r="A479" s="15"/>
      <c r="B479" s="3" t="s">
        <v>687</v>
      </c>
      <c r="C479" s="16" t="s">
        <v>3235</v>
      </c>
      <c r="D479" s="17" t="s">
        <v>861</v>
      </c>
      <c r="E479" s="16" t="s">
        <v>2376</v>
      </c>
      <c r="F479" s="17" t="s">
        <v>1530</v>
      </c>
      <c r="G479" s="3" t="s">
        <v>3882</v>
      </c>
      <c r="H479" s="6">
        <v>5624.6080000000002</v>
      </c>
    </row>
    <row r="480" spans="1:8" ht="15.75" customHeight="1" x14ac:dyDescent="0.35">
      <c r="A480" s="15"/>
      <c r="B480" s="3" t="s">
        <v>688</v>
      </c>
      <c r="C480" s="16" t="s">
        <v>3236</v>
      </c>
      <c r="D480" s="17" t="s">
        <v>860</v>
      </c>
      <c r="E480" s="16" t="s">
        <v>2377</v>
      </c>
      <c r="F480" s="17" t="s">
        <v>1531</v>
      </c>
      <c r="G480" s="3" t="s">
        <v>3883</v>
      </c>
      <c r="H480" s="6">
        <v>7120.2879999999996</v>
      </c>
    </row>
    <row r="481" spans="1:8" ht="15.75" customHeight="1" x14ac:dyDescent="0.35">
      <c r="A481" s="15"/>
      <c r="B481" s="3" t="s">
        <v>690</v>
      </c>
      <c r="C481" s="16" t="s">
        <v>3238</v>
      </c>
      <c r="D481" s="17" t="s">
        <v>860</v>
      </c>
      <c r="E481" s="16" t="s">
        <v>2379</v>
      </c>
      <c r="F481" s="17" t="s">
        <v>1482</v>
      </c>
      <c r="G481" s="3" t="s">
        <v>3884</v>
      </c>
      <c r="H481" s="6">
        <v>9633.4559999999983</v>
      </c>
    </row>
    <row r="482" spans="1:8" ht="15.75" customHeight="1" x14ac:dyDescent="0.35">
      <c r="A482" s="15"/>
      <c r="B482" s="3" t="s">
        <v>691</v>
      </c>
      <c r="C482" s="16" t="s">
        <v>3239</v>
      </c>
      <c r="D482" s="17" t="s">
        <v>860</v>
      </c>
      <c r="E482" s="16" t="s">
        <v>2380</v>
      </c>
      <c r="F482" s="17" t="s">
        <v>1533</v>
      </c>
      <c r="G482" s="3" t="s">
        <v>3885</v>
      </c>
      <c r="H482" s="6">
        <v>10576.464</v>
      </c>
    </row>
    <row r="483" spans="1:8" ht="15.75" customHeight="1" x14ac:dyDescent="0.35">
      <c r="A483" s="15"/>
      <c r="B483" s="3" t="s">
        <v>692</v>
      </c>
      <c r="C483" s="16" t="s">
        <v>3240</v>
      </c>
      <c r="D483" s="17" t="s">
        <v>860</v>
      </c>
      <c r="E483" s="16" t="s">
        <v>2381</v>
      </c>
      <c r="F483" s="17" t="s">
        <v>1534</v>
      </c>
      <c r="G483" s="3" t="s">
        <v>3886</v>
      </c>
      <c r="H483" s="6">
        <v>8677.3760000000002</v>
      </c>
    </row>
    <row r="484" spans="1:8" ht="15.75" customHeight="1" x14ac:dyDescent="0.35">
      <c r="A484" s="15"/>
      <c r="B484" s="3" t="s">
        <v>693</v>
      </c>
      <c r="C484" s="16" t="s">
        <v>3241</v>
      </c>
      <c r="D484" s="17" t="s">
        <v>861</v>
      </c>
      <c r="E484" s="16" t="s">
        <v>2382</v>
      </c>
      <c r="F484" s="17" t="s">
        <v>1535</v>
      </c>
      <c r="G484" s="3" t="s">
        <v>3887</v>
      </c>
      <c r="H484" s="6">
        <v>21826.592000000001</v>
      </c>
    </row>
    <row r="485" spans="1:8" ht="15.75" customHeight="1" x14ac:dyDescent="0.35">
      <c r="A485" s="15"/>
      <c r="B485" s="3" t="s">
        <v>3888</v>
      </c>
      <c r="C485" s="16" t="s">
        <v>3889</v>
      </c>
      <c r="D485" s="17" t="s">
        <v>861</v>
      </c>
      <c r="E485" s="16" t="s">
        <v>3890</v>
      </c>
      <c r="F485" s="17" t="s">
        <v>3891</v>
      </c>
      <c r="G485" s="3" t="s">
        <v>3892</v>
      </c>
      <c r="H485" s="6">
        <v>17987.071999999996</v>
      </c>
    </row>
    <row r="486" spans="1:8" ht="15.75" customHeight="1" x14ac:dyDescent="0.35">
      <c r="A486" s="15"/>
      <c r="B486" s="3" t="s">
        <v>3893</v>
      </c>
      <c r="C486" s="16" t="s">
        <v>3894</v>
      </c>
      <c r="D486" s="17" t="s">
        <v>860</v>
      </c>
      <c r="E486" s="16" t="s">
        <v>3895</v>
      </c>
      <c r="F486" s="17" t="s">
        <v>3896</v>
      </c>
      <c r="G486" s="3" t="s">
        <v>3892</v>
      </c>
      <c r="H486" s="6">
        <v>18639.759999999998</v>
      </c>
    </row>
    <row r="487" spans="1:8" ht="15.75" customHeight="1" x14ac:dyDescent="0.35">
      <c r="A487" s="15"/>
      <c r="B487" s="3" t="s">
        <v>695</v>
      </c>
      <c r="C487" s="16" t="s">
        <v>3243</v>
      </c>
      <c r="D487" s="17" t="s">
        <v>861</v>
      </c>
      <c r="E487" s="16" t="s">
        <v>2384</v>
      </c>
      <c r="F487" s="17" t="s">
        <v>1537</v>
      </c>
      <c r="G487" s="3" t="s">
        <v>3897</v>
      </c>
      <c r="H487" s="6">
        <v>30454.415999999997</v>
      </c>
    </row>
    <row r="488" spans="1:8" ht="15.75" customHeight="1" x14ac:dyDescent="0.35">
      <c r="A488" s="15"/>
      <c r="B488" s="3" t="s">
        <v>697</v>
      </c>
      <c r="C488" s="16" t="s">
        <v>3245</v>
      </c>
      <c r="D488" s="17" t="s">
        <v>861</v>
      </c>
      <c r="E488" s="16" t="s">
        <v>2386</v>
      </c>
      <c r="F488" s="17" t="s">
        <v>1539</v>
      </c>
      <c r="G488" s="3" t="s">
        <v>3898</v>
      </c>
      <c r="H488" s="6">
        <v>39913.072</v>
      </c>
    </row>
    <row r="489" spans="1:8" ht="15.75" customHeight="1" x14ac:dyDescent="0.35">
      <c r="A489" s="15"/>
      <c r="B489" s="3" t="s">
        <v>701</v>
      </c>
      <c r="C489" s="16" t="s">
        <v>3249</v>
      </c>
      <c r="D489" s="17" t="s">
        <v>861</v>
      </c>
      <c r="E489" s="16" t="s">
        <v>2390</v>
      </c>
      <c r="F489" s="17" t="s">
        <v>1543</v>
      </c>
      <c r="G489" s="3" t="s">
        <v>3899</v>
      </c>
      <c r="H489" s="6">
        <v>23885.887999999999</v>
      </c>
    </row>
    <row r="490" spans="1:8" ht="15.75" customHeight="1" x14ac:dyDescent="0.35">
      <c r="A490" s="15"/>
      <c r="B490" s="3" t="s">
        <v>702</v>
      </c>
      <c r="C490" s="16" t="s">
        <v>3250</v>
      </c>
      <c r="D490" s="17" t="s">
        <v>861</v>
      </c>
      <c r="E490" s="16" t="s">
        <v>2391</v>
      </c>
      <c r="F490" s="17" t="s">
        <v>1544</v>
      </c>
      <c r="G490" s="3" t="s">
        <v>3899</v>
      </c>
      <c r="H490" s="6">
        <v>18799.359999999997</v>
      </c>
    </row>
    <row r="491" spans="1:8" ht="15.75" customHeight="1" x14ac:dyDescent="0.35">
      <c r="A491" s="15"/>
      <c r="B491" s="3" t="s">
        <v>703</v>
      </c>
      <c r="C491" s="16" t="s">
        <v>3251</v>
      </c>
      <c r="D491" s="17" t="s">
        <v>861</v>
      </c>
      <c r="E491" s="16" t="s">
        <v>2392</v>
      </c>
      <c r="F491" s="17" t="s">
        <v>1545</v>
      </c>
      <c r="G491" s="3" t="s">
        <v>3900</v>
      </c>
      <c r="H491" s="6">
        <v>8073.3279999999995</v>
      </c>
    </row>
    <row r="492" spans="1:8" ht="15.75" customHeight="1" x14ac:dyDescent="0.35">
      <c r="A492" s="15"/>
      <c r="B492" s="3" t="s">
        <v>704</v>
      </c>
      <c r="C492" s="16" t="s">
        <v>3252</v>
      </c>
      <c r="D492" s="17" t="s">
        <v>861</v>
      </c>
      <c r="E492" s="16" t="s">
        <v>2393</v>
      </c>
      <c r="F492" s="17" t="s">
        <v>1546</v>
      </c>
      <c r="G492" s="3" t="s">
        <v>3901</v>
      </c>
      <c r="H492" s="6">
        <v>5602.72</v>
      </c>
    </row>
    <row r="493" spans="1:8" ht="15.75" customHeight="1" x14ac:dyDescent="0.35">
      <c r="A493" s="15"/>
      <c r="B493" s="3" t="s">
        <v>705</v>
      </c>
      <c r="C493" s="16" t="s">
        <v>3253</v>
      </c>
      <c r="D493" s="17" t="s">
        <v>861</v>
      </c>
      <c r="E493" s="16" t="s">
        <v>2394</v>
      </c>
      <c r="F493" s="17" t="s">
        <v>1547</v>
      </c>
      <c r="G493" s="3" t="s">
        <v>3899</v>
      </c>
      <c r="H493" s="6">
        <v>16906.351999999999</v>
      </c>
    </row>
    <row r="494" spans="1:8" ht="15.75" customHeight="1" x14ac:dyDescent="0.35">
      <c r="A494" s="15"/>
      <c r="B494" s="3" t="s">
        <v>706</v>
      </c>
      <c r="C494" s="16" t="s">
        <v>3254</v>
      </c>
      <c r="D494" s="17" t="s">
        <v>860</v>
      </c>
      <c r="E494" s="16" t="s">
        <v>2395</v>
      </c>
      <c r="F494" s="17" t="s">
        <v>1548</v>
      </c>
      <c r="G494" s="3" t="s">
        <v>3898</v>
      </c>
      <c r="H494" s="6">
        <v>10049.023999999999</v>
      </c>
    </row>
    <row r="495" spans="1:8" ht="15.75" customHeight="1" x14ac:dyDescent="0.35">
      <c r="A495" s="15"/>
      <c r="B495" s="3" t="s">
        <v>707</v>
      </c>
      <c r="C495" s="16" t="s">
        <v>3255</v>
      </c>
      <c r="D495" s="17" t="s">
        <v>860</v>
      </c>
      <c r="E495" s="16" t="s">
        <v>2396</v>
      </c>
      <c r="F495" s="17" t="s">
        <v>1549</v>
      </c>
      <c r="G495" s="3" t="s">
        <v>3902</v>
      </c>
      <c r="H495" s="6">
        <v>15488.191999999999</v>
      </c>
    </row>
    <row r="496" spans="1:8" ht="15.75" customHeight="1" x14ac:dyDescent="0.35">
      <c r="A496" s="15"/>
      <c r="B496" s="3" t="s">
        <v>708</v>
      </c>
      <c r="C496" s="16" t="s">
        <v>3256</v>
      </c>
      <c r="D496" s="17" t="s">
        <v>861</v>
      </c>
      <c r="E496" s="16" t="s">
        <v>2397</v>
      </c>
      <c r="F496" s="17" t="s">
        <v>1550</v>
      </c>
      <c r="G496" s="3" t="s">
        <v>3902</v>
      </c>
      <c r="H496" s="6">
        <v>14767.103999999999</v>
      </c>
    </row>
    <row r="497" spans="1:8" ht="15.75" customHeight="1" x14ac:dyDescent="0.35">
      <c r="A497" s="15"/>
      <c r="B497" s="3" t="s">
        <v>710</v>
      </c>
      <c r="C497" s="16" t="s">
        <v>3258</v>
      </c>
      <c r="D497" s="17" t="s">
        <v>861</v>
      </c>
      <c r="E497" s="16" t="s">
        <v>2399</v>
      </c>
      <c r="F497" s="17" t="s">
        <v>1552</v>
      </c>
      <c r="G497" s="3" t="s">
        <v>3899</v>
      </c>
      <c r="H497" s="6">
        <v>12709.328</v>
      </c>
    </row>
    <row r="498" spans="1:8" ht="15.75" customHeight="1" x14ac:dyDescent="0.35">
      <c r="A498" s="15"/>
      <c r="B498" s="3" t="s">
        <v>712</v>
      </c>
      <c r="C498" s="16" t="s">
        <v>3260</v>
      </c>
      <c r="D498" s="17" t="s">
        <v>861</v>
      </c>
      <c r="E498" s="16" t="s">
        <v>2401</v>
      </c>
      <c r="F498" s="17" t="s">
        <v>1554</v>
      </c>
      <c r="G498" s="3" t="s">
        <v>3899</v>
      </c>
      <c r="H498" s="6">
        <v>18799.359999999997</v>
      </c>
    </row>
    <row r="499" spans="1:8" ht="15.75" customHeight="1" x14ac:dyDescent="0.35">
      <c r="A499" s="15"/>
      <c r="B499" s="3" t="s">
        <v>716</v>
      </c>
      <c r="C499" s="16" t="s">
        <v>3264</v>
      </c>
      <c r="D499" s="17" t="s">
        <v>861</v>
      </c>
      <c r="E499" s="16" t="s">
        <v>2405</v>
      </c>
      <c r="F499" s="17" t="s">
        <v>1557</v>
      </c>
      <c r="G499" s="3" t="s">
        <v>3903</v>
      </c>
      <c r="H499" s="6">
        <v>22161.903999999999</v>
      </c>
    </row>
    <row r="500" spans="1:8" ht="15.75" customHeight="1" x14ac:dyDescent="0.35">
      <c r="A500" s="15"/>
      <c r="B500" s="3" t="s">
        <v>3904</v>
      </c>
      <c r="C500" s="16" t="s">
        <v>3905</v>
      </c>
      <c r="D500" s="17" t="s">
        <v>861</v>
      </c>
      <c r="E500" s="16" t="s">
        <v>3906</v>
      </c>
      <c r="F500" s="17" t="s">
        <v>3907</v>
      </c>
      <c r="G500" s="3" t="s">
        <v>3908</v>
      </c>
      <c r="H500" s="6">
        <v>17536.240000000002</v>
      </c>
    </row>
    <row r="501" spans="1:8" ht="15.75" customHeight="1" x14ac:dyDescent="0.35">
      <c r="A501" s="15"/>
      <c r="B501" s="3" t="s">
        <v>717</v>
      </c>
      <c r="C501" s="16" t="s">
        <v>3265</v>
      </c>
      <c r="D501" s="17" t="s">
        <v>861</v>
      </c>
      <c r="E501" s="16" t="s">
        <v>2406</v>
      </c>
      <c r="F501" s="17" t="s">
        <v>1558</v>
      </c>
      <c r="G501" s="3" t="s">
        <v>3909</v>
      </c>
      <c r="H501" s="6">
        <v>13141.92</v>
      </c>
    </row>
    <row r="502" spans="1:8" ht="15.75" customHeight="1" x14ac:dyDescent="0.35">
      <c r="A502" s="15"/>
      <c r="B502" s="3" t="s">
        <v>719</v>
      </c>
      <c r="C502" s="16" t="s">
        <v>3267</v>
      </c>
      <c r="D502" s="17" t="s">
        <v>861</v>
      </c>
      <c r="E502" s="16" t="s">
        <v>2408</v>
      </c>
      <c r="F502" s="17" t="s">
        <v>1559</v>
      </c>
      <c r="G502" s="3" t="s">
        <v>3910</v>
      </c>
      <c r="H502" s="6">
        <v>5624.6080000000002</v>
      </c>
    </row>
    <row r="503" spans="1:8" ht="15.75" customHeight="1" x14ac:dyDescent="0.35">
      <c r="A503" s="15"/>
      <c r="B503" s="3" t="s">
        <v>3911</v>
      </c>
      <c r="C503" s="16" t="s">
        <v>3912</v>
      </c>
      <c r="D503" s="17" t="s">
        <v>861</v>
      </c>
      <c r="E503" s="16" t="s">
        <v>3913</v>
      </c>
      <c r="F503" s="17" t="s">
        <v>3914</v>
      </c>
      <c r="G503" s="3" t="s">
        <v>3585</v>
      </c>
      <c r="H503" s="6">
        <v>16968.976000000002</v>
      </c>
    </row>
    <row r="504" spans="1:8" ht="15.75" customHeight="1" x14ac:dyDescent="0.35">
      <c r="A504" s="15"/>
      <c r="B504" s="3" t="s">
        <v>722</v>
      </c>
      <c r="C504" s="16" t="s">
        <v>3270</v>
      </c>
      <c r="D504" s="17" t="s">
        <v>861</v>
      </c>
      <c r="E504" s="16" t="s">
        <v>2411</v>
      </c>
      <c r="F504" s="17" t="s">
        <v>1562</v>
      </c>
      <c r="G504" s="3" t="s">
        <v>3915</v>
      </c>
      <c r="H504" s="6">
        <v>18691.439999999999</v>
      </c>
    </row>
    <row r="505" spans="1:8" ht="15.75" customHeight="1" x14ac:dyDescent="0.35">
      <c r="A505" s="15"/>
      <c r="B505" s="3" t="s">
        <v>725</v>
      </c>
      <c r="C505" s="16" t="s">
        <v>3273</v>
      </c>
      <c r="D505" s="17" t="s">
        <v>861</v>
      </c>
      <c r="E505" s="16" t="s">
        <v>2414</v>
      </c>
      <c r="F505" s="17" t="s">
        <v>1486</v>
      </c>
      <c r="G505" s="3" t="s">
        <v>3916</v>
      </c>
      <c r="H505" s="6">
        <v>47771.472000000002</v>
      </c>
    </row>
    <row r="506" spans="1:8" ht="15.75" customHeight="1" x14ac:dyDescent="0.35">
      <c r="A506" s="15"/>
      <c r="B506" s="3" t="s">
        <v>726</v>
      </c>
      <c r="C506" s="16" t="s">
        <v>3274</v>
      </c>
      <c r="D506" s="17" t="s">
        <v>861</v>
      </c>
      <c r="E506" s="16" t="s">
        <v>2415</v>
      </c>
      <c r="F506" s="17" t="s">
        <v>1013</v>
      </c>
      <c r="G506" s="3" t="s">
        <v>3916</v>
      </c>
      <c r="H506" s="6">
        <v>5624.6080000000002</v>
      </c>
    </row>
    <row r="507" spans="1:8" ht="15.75" customHeight="1" x14ac:dyDescent="0.35">
      <c r="A507" s="15"/>
      <c r="B507" s="3" t="s">
        <v>727</v>
      </c>
      <c r="C507" s="16" t="s">
        <v>3275</v>
      </c>
      <c r="D507" s="17" t="s">
        <v>861</v>
      </c>
      <c r="E507" s="16" t="s">
        <v>2416</v>
      </c>
      <c r="F507" s="17" t="s">
        <v>1565</v>
      </c>
      <c r="G507" s="3" t="s">
        <v>3917</v>
      </c>
      <c r="H507" s="6">
        <v>5624.6080000000002</v>
      </c>
    </row>
    <row r="508" spans="1:8" ht="15.75" customHeight="1" x14ac:dyDescent="0.35">
      <c r="A508" s="15"/>
      <c r="B508" s="3" t="s">
        <v>728</v>
      </c>
      <c r="C508" s="16" t="s">
        <v>3276</v>
      </c>
      <c r="D508" s="17" t="s">
        <v>861</v>
      </c>
      <c r="E508" s="16" t="s">
        <v>2417</v>
      </c>
      <c r="F508" s="17" t="s">
        <v>1566</v>
      </c>
      <c r="G508" s="3" t="s">
        <v>3608</v>
      </c>
      <c r="H508" s="6">
        <v>30923.791999999998</v>
      </c>
    </row>
    <row r="509" spans="1:8" ht="15.75" customHeight="1" x14ac:dyDescent="0.35">
      <c r="A509" s="15"/>
      <c r="B509" s="3" t="s">
        <v>729</v>
      </c>
      <c r="C509" s="16" t="s">
        <v>3277</v>
      </c>
      <c r="D509" s="17" t="s">
        <v>861</v>
      </c>
      <c r="E509" s="16" t="s">
        <v>2418</v>
      </c>
      <c r="F509" s="17" t="s">
        <v>1567</v>
      </c>
      <c r="G509" s="3" t="s">
        <v>3918</v>
      </c>
      <c r="H509" s="6">
        <v>22019.023999999998</v>
      </c>
    </row>
    <row r="510" spans="1:8" ht="15.75" customHeight="1" x14ac:dyDescent="0.35">
      <c r="A510" s="15"/>
      <c r="B510" s="3" t="s">
        <v>730</v>
      </c>
      <c r="C510" s="16" t="s">
        <v>3278</v>
      </c>
      <c r="D510" s="17" t="s">
        <v>860</v>
      </c>
      <c r="E510" s="16" t="s">
        <v>2419</v>
      </c>
      <c r="F510" s="17" t="s">
        <v>1568</v>
      </c>
      <c r="G510" s="3" t="s">
        <v>3919</v>
      </c>
      <c r="H510" s="6">
        <v>6836.655999999999</v>
      </c>
    </row>
    <row r="511" spans="1:8" ht="15.75" customHeight="1" x14ac:dyDescent="0.35">
      <c r="A511" s="15"/>
      <c r="B511" s="3" t="s">
        <v>731</v>
      </c>
      <c r="C511" s="16" t="s">
        <v>3279</v>
      </c>
      <c r="D511" s="17" t="s">
        <v>860</v>
      </c>
      <c r="E511" s="16" t="s">
        <v>2420</v>
      </c>
      <c r="F511" s="17" t="s">
        <v>1569</v>
      </c>
      <c r="G511" s="3" t="s">
        <v>3920</v>
      </c>
      <c r="H511" s="6">
        <v>5617.3119999999999</v>
      </c>
    </row>
    <row r="512" spans="1:8" ht="15.75" customHeight="1" x14ac:dyDescent="0.35">
      <c r="A512" s="15"/>
      <c r="B512" s="3" t="s">
        <v>733</v>
      </c>
      <c r="C512" s="16" t="s">
        <v>3281</v>
      </c>
      <c r="D512" s="17" t="s">
        <v>861</v>
      </c>
      <c r="E512" s="16" t="s">
        <v>2422</v>
      </c>
      <c r="F512" s="17" t="s">
        <v>1571</v>
      </c>
      <c r="G512" s="3" t="s">
        <v>3921</v>
      </c>
      <c r="H512" s="6">
        <v>14107.119999999999</v>
      </c>
    </row>
    <row r="513" spans="1:8" ht="15.75" customHeight="1" x14ac:dyDescent="0.35">
      <c r="A513" s="15"/>
      <c r="B513" s="3" t="s">
        <v>734</v>
      </c>
      <c r="C513" s="16" t="s">
        <v>3282</v>
      </c>
      <c r="D513" s="17" t="s">
        <v>860</v>
      </c>
      <c r="E513" s="16" t="s">
        <v>2423</v>
      </c>
      <c r="F513" s="17" t="s">
        <v>1572</v>
      </c>
      <c r="G513" s="3" t="s">
        <v>3922</v>
      </c>
      <c r="H513" s="6">
        <v>46515.039999999994</v>
      </c>
    </row>
    <row r="514" spans="1:8" ht="15.75" customHeight="1" x14ac:dyDescent="0.35">
      <c r="A514" s="15"/>
      <c r="B514" s="3" t="s">
        <v>736</v>
      </c>
      <c r="C514" s="16" t="s">
        <v>3284</v>
      </c>
      <c r="D514" s="17" t="s">
        <v>860</v>
      </c>
      <c r="E514" s="16" t="s">
        <v>2425</v>
      </c>
      <c r="F514" s="17" t="s">
        <v>1574</v>
      </c>
      <c r="G514" s="3" t="s">
        <v>3923</v>
      </c>
      <c r="H514" s="6">
        <v>15030.975999999999</v>
      </c>
    </row>
    <row r="515" spans="1:8" ht="15.75" customHeight="1" x14ac:dyDescent="0.35">
      <c r="A515" s="15"/>
      <c r="B515" s="3" t="s">
        <v>739</v>
      </c>
      <c r="C515" s="16" t="s">
        <v>3287</v>
      </c>
      <c r="D515" s="17" t="s">
        <v>861</v>
      </c>
      <c r="E515" s="16" t="s">
        <v>2428</v>
      </c>
      <c r="F515" s="17" t="s">
        <v>1577</v>
      </c>
      <c r="G515" s="3" t="s">
        <v>3923</v>
      </c>
      <c r="H515" s="6">
        <v>14923.664000000001</v>
      </c>
    </row>
    <row r="516" spans="1:8" ht="15.75" customHeight="1" x14ac:dyDescent="0.35">
      <c r="A516" s="15"/>
      <c r="B516" s="3" t="s">
        <v>3924</v>
      </c>
      <c r="C516" s="16" t="s">
        <v>3925</v>
      </c>
      <c r="D516" s="17" t="s">
        <v>861</v>
      </c>
      <c r="E516" s="16" t="s">
        <v>3926</v>
      </c>
      <c r="F516" s="17" t="s">
        <v>3927</v>
      </c>
      <c r="G516" s="3" t="s">
        <v>3928</v>
      </c>
      <c r="H516" s="6">
        <v>17624.095999999998</v>
      </c>
    </row>
    <row r="517" spans="1:8" ht="15.75" customHeight="1" x14ac:dyDescent="0.35">
      <c r="A517" s="15"/>
      <c r="B517" s="3" t="s">
        <v>742</v>
      </c>
      <c r="C517" s="16" t="s">
        <v>3290</v>
      </c>
      <c r="D517" s="17" t="s">
        <v>861</v>
      </c>
      <c r="E517" s="16" t="s">
        <v>2431</v>
      </c>
      <c r="F517" s="17" t="s">
        <v>1580</v>
      </c>
      <c r="G517" s="3" t="s">
        <v>3929</v>
      </c>
      <c r="H517" s="6">
        <v>5617.3119999999999</v>
      </c>
    </row>
    <row r="518" spans="1:8" ht="15.75" customHeight="1" x14ac:dyDescent="0.35">
      <c r="A518" s="15"/>
      <c r="B518" s="3" t="s">
        <v>743</v>
      </c>
      <c r="C518" s="16" t="s">
        <v>3291</v>
      </c>
      <c r="D518" s="17" t="s">
        <v>860</v>
      </c>
      <c r="E518" s="16" t="s">
        <v>2432</v>
      </c>
      <c r="F518" s="17" t="s">
        <v>1581</v>
      </c>
      <c r="G518" s="3" t="s">
        <v>3929</v>
      </c>
      <c r="H518" s="6">
        <v>18365.552</v>
      </c>
    </row>
    <row r="519" spans="1:8" ht="15.75" customHeight="1" x14ac:dyDescent="0.35">
      <c r="A519" s="15"/>
      <c r="B519" s="3" t="s">
        <v>744</v>
      </c>
      <c r="C519" s="16" t="s">
        <v>3292</v>
      </c>
      <c r="D519" s="17" t="s">
        <v>860</v>
      </c>
      <c r="E519" s="16" t="s">
        <v>2433</v>
      </c>
      <c r="F519" s="17" t="s">
        <v>1582</v>
      </c>
      <c r="G519" s="3" t="s">
        <v>3930</v>
      </c>
      <c r="H519" s="6">
        <v>8086.0959999999995</v>
      </c>
    </row>
    <row r="520" spans="1:8" ht="15.75" customHeight="1" x14ac:dyDescent="0.35">
      <c r="A520" s="15"/>
      <c r="B520" s="3" t="s">
        <v>745</v>
      </c>
      <c r="C520" s="16" t="s">
        <v>3293</v>
      </c>
      <c r="D520" s="17" t="s">
        <v>861</v>
      </c>
      <c r="E520" s="16" t="s">
        <v>2434</v>
      </c>
      <c r="F520" s="17" t="s">
        <v>1583</v>
      </c>
      <c r="G520" s="3" t="s">
        <v>3931</v>
      </c>
      <c r="H520" s="6">
        <v>50460.047999999995</v>
      </c>
    </row>
    <row r="521" spans="1:8" ht="15.75" customHeight="1" x14ac:dyDescent="0.35">
      <c r="A521" s="15"/>
      <c r="B521" s="3" t="s">
        <v>3932</v>
      </c>
      <c r="C521" s="16" t="s">
        <v>3933</v>
      </c>
      <c r="D521" s="17" t="s">
        <v>860</v>
      </c>
      <c r="E521" s="16" t="s">
        <v>3934</v>
      </c>
      <c r="F521" s="17" t="s">
        <v>3935</v>
      </c>
      <c r="G521" s="3" t="s">
        <v>3936</v>
      </c>
      <c r="H521" s="6">
        <v>25827.84</v>
      </c>
    </row>
    <row r="522" spans="1:8" ht="15.75" customHeight="1" x14ac:dyDescent="0.35">
      <c r="A522" s="15"/>
      <c r="B522" s="3" t="s">
        <v>750</v>
      </c>
      <c r="C522" s="16" t="s">
        <v>3298</v>
      </c>
      <c r="D522" s="17" t="s">
        <v>860</v>
      </c>
      <c r="E522" s="16" t="s">
        <v>2439</v>
      </c>
      <c r="F522" s="17" t="s">
        <v>1588</v>
      </c>
      <c r="G522" s="3" t="s">
        <v>3937</v>
      </c>
      <c r="H522" s="6">
        <v>10618.72</v>
      </c>
    </row>
    <row r="523" spans="1:8" ht="15.75" customHeight="1" x14ac:dyDescent="0.35">
      <c r="A523" s="15"/>
      <c r="B523" s="3" t="s">
        <v>751</v>
      </c>
      <c r="C523" s="16" t="s">
        <v>3299</v>
      </c>
      <c r="D523" s="17" t="s">
        <v>861</v>
      </c>
      <c r="E523" s="16" t="s">
        <v>2440</v>
      </c>
      <c r="F523" s="17" t="s">
        <v>1589</v>
      </c>
      <c r="G523" s="3" t="s">
        <v>3938</v>
      </c>
      <c r="H523" s="6">
        <v>5617.3119999999999</v>
      </c>
    </row>
    <row r="524" spans="1:8" ht="15.75" customHeight="1" x14ac:dyDescent="0.35">
      <c r="A524" s="15"/>
      <c r="B524" s="3" t="s">
        <v>752</v>
      </c>
      <c r="C524" s="16" t="s">
        <v>3300</v>
      </c>
      <c r="D524" s="17" t="s">
        <v>861</v>
      </c>
      <c r="E524" s="16" t="s">
        <v>2441</v>
      </c>
      <c r="F524" s="17" t="s">
        <v>1590</v>
      </c>
      <c r="G524" s="3" t="s">
        <v>3680</v>
      </c>
      <c r="H524" s="6">
        <v>9552.5920000000006</v>
      </c>
    </row>
    <row r="525" spans="1:8" ht="15.75" customHeight="1" x14ac:dyDescent="0.35">
      <c r="A525" s="15"/>
      <c r="B525" s="3" t="s">
        <v>753</v>
      </c>
      <c r="C525" s="16" t="s">
        <v>3301</v>
      </c>
      <c r="D525" s="17" t="s">
        <v>860</v>
      </c>
      <c r="E525" s="16" t="s">
        <v>2442</v>
      </c>
      <c r="F525" s="17" t="s">
        <v>1591</v>
      </c>
      <c r="G525" s="3" t="s">
        <v>3939</v>
      </c>
      <c r="H525" s="6">
        <v>21611.359999999997</v>
      </c>
    </row>
    <row r="526" spans="1:8" ht="15.75" customHeight="1" x14ac:dyDescent="0.35">
      <c r="A526" s="15"/>
      <c r="B526" s="3" t="s">
        <v>758</v>
      </c>
      <c r="C526" s="16" t="s">
        <v>3306</v>
      </c>
      <c r="D526" s="17" t="s">
        <v>861</v>
      </c>
      <c r="E526" s="16" t="s">
        <v>2447</v>
      </c>
      <c r="F526" s="17" t="s">
        <v>1595</v>
      </c>
      <c r="G526" s="3" t="s">
        <v>3938</v>
      </c>
      <c r="H526" s="6">
        <v>18734</v>
      </c>
    </row>
    <row r="527" spans="1:8" ht="15.75" customHeight="1" x14ac:dyDescent="0.35">
      <c r="A527" s="15"/>
      <c r="B527" s="3" t="s">
        <v>759</v>
      </c>
      <c r="C527" s="16" t="s">
        <v>3307</v>
      </c>
      <c r="D527" s="17" t="s">
        <v>861</v>
      </c>
      <c r="E527" s="16" t="s">
        <v>2448</v>
      </c>
      <c r="F527" s="17" t="s">
        <v>1596</v>
      </c>
      <c r="G527" s="3" t="s">
        <v>3940</v>
      </c>
      <c r="H527" s="6">
        <v>0</v>
      </c>
    </row>
    <row r="528" spans="1:8" ht="15.75" customHeight="1" x14ac:dyDescent="0.35">
      <c r="A528" s="15"/>
      <c r="B528" s="3" t="s">
        <v>763</v>
      </c>
      <c r="C528" s="16" t="s">
        <v>3311</v>
      </c>
      <c r="D528" s="17" t="s">
        <v>861</v>
      </c>
      <c r="E528" s="16" t="s">
        <v>2452</v>
      </c>
      <c r="F528" s="17" t="s">
        <v>1600</v>
      </c>
      <c r="G528" s="3" t="s">
        <v>3941</v>
      </c>
      <c r="H528" s="6">
        <v>11165.008</v>
      </c>
    </row>
    <row r="529" spans="1:8" ht="15.75" customHeight="1" x14ac:dyDescent="0.35">
      <c r="A529" s="15"/>
      <c r="B529" s="3" t="s">
        <v>765</v>
      </c>
      <c r="C529" s="16" t="s">
        <v>3313</v>
      </c>
      <c r="D529" s="17" t="s">
        <v>860</v>
      </c>
      <c r="E529" s="16" t="s">
        <v>2454</v>
      </c>
      <c r="F529" s="17" t="s">
        <v>1602</v>
      </c>
      <c r="G529" s="3" t="s">
        <v>3942</v>
      </c>
      <c r="H529" s="6">
        <v>13673.616</v>
      </c>
    </row>
    <row r="530" spans="1:8" ht="15.75" customHeight="1" x14ac:dyDescent="0.35">
      <c r="A530" s="15"/>
      <c r="B530" s="3" t="s">
        <v>767</v>
      </c>
      <c r="C530" s="16" t="s">
        <v>3315</v>
      </c>
      <c r="D530" s="17" t="s">
        <v>860</v>
      </c>
      <c r="E530" s="16" t="s">
        <v>2456</v>
      </c>
      <c r="F530" s="17" t="s">
        <v>1604</v>
      </c>
      <c r="G530" s="3" t="s">
        <v>3943</v>
      </c>
      <c r="H530" s="6">
        <v>19878.255999999998</v>
      </c>
    </row>
    <row r="531" spans="1:8" ht="15.75" customHeight="1" x14ac:dyDescent="0.35">
      <c r="A531" s="15"/>
      <c r="B531" s="3" t="s">
        <v>3944</v>
      </c>
      <c r="C531" s="16" t="s">
        <v>3945</v>
      </c>
      <c r="D531" s="17" t="s">
        <v>861</v>
      </c>
      <c r="E531" s="16" t="s">
        <v>3946</v>
      </c>
      <c r="F531" s="17" t="s">
        <v>1072</v>
      </c>
      <c r="G531" s="3" t="s">
        <v>3947</v>
      </c>
      <c r="H531" s="6">
        <v>19355.68</v>
      </c>
    </row>
    <row r="532" spans="1:8" ht="15.75" customHeight="1" x14ac:dyDescent="0.35">
      <c r="A532" s="15"/>
      <c r="B532" s="3" t="s">
        <v>770</v>
      </c>
      <c r="C532" s="16" t="s">
        <v>3318</v>
      </c>
      <c r="D532" s="17" t="s">
        <v>861</v>
      </c>
      <c r="E532" s="16" t="s">
        <v>2459</v>
      </c>
      <c r="F532" s="17" t="s">
        <v>1607</v>
      </c>
      <c r="G532" s="3" t="s">
        <v>3948</v>
      </c>
      <c r="H532" s="6">
        <v>16071.567999999997</v>
      </c>
    </row>
    <row r="533" spans="1:8" ht="15.75" customHeight="1" x14ac:dyDescent="0.35">
      <c r="A533" s="15"/>
      <c r="B533" s="3" t="s">
        <v>773</v>
      </c>
      <c r="C533" s="16" t="s">
        <v>3321</v>
      </c>
      <c r="D533" s="17" t="s">
        <v>860</v>
      </c>
      <c r="E533" s="16" t="s">
        <v>2462</v>
      </c>
      <c r="F533" s="17" t="s">
        <v>1499</v>
      </c>
      <c r="G533" s="3" t="s">
        <v>3949</v>
      </c>
      <c r="H533" s="6">
        <v>9837.44</v>
      </c>
    </row>
    <row r="534" spans="1:8" ht="15.75" customHeight="1" x14ac:dyDescent="0.35">
      <c r="A534" s="15"/>
      <c r="B534" s="3" t="s">
        <v>775</v>
      </c>
      <c r="C534" s="16" t="s">
        <v>3323</v>
      </c>
      <c r="D534" s="17" t="s">
        <v>861</v>
      </c>
      <c r="E534" s="16" t="s">
        <v>2464</v>
      </c>
      <c r="F534" s="17" t="s">
        <v>1611</v>
      </c>
      <c r="G534" s="3" t="s">
        <v>3950</v>
      </c>
      <c r="H534" s="6">
        <v>76420.804096000007</v>
      </c>
    </row>
    <row r="535" spans="1:8" ht="15.75" customHeight="1" x14ac:dyDescent="0.35">
      <c r="A535" s="15"/>
      <c r="B535" s="3" t="s">
        <v>778</v>
      </c>
      <c r="C535" s="16" t="s">
        <v>3326</v>
      </c>
      <c r="D535" s="17" t="s">
        <v>861</v>
      </c>
      <c r="E535" s="16" t="s">
        <v>2467</v>
      </c>
      <c r="F535" s="17" t="s">
        <v>1614</v>
      </c>
      <c r="G535" s="3" t="s">
        <v>3951</v>
      </c>
      <c r="H535" s="6">
        <v>13791.871999999999</v>
      </c>
    </row>
    <row r="536" spans="1:8" ht="15.75" customHeight="1" x14ac:dyDescent="0.35">
      <c r="A536" s="15"/>
      <c r="B536" s="3" t="s">
        <v>779</v>
      </c>
      <c r="C536" s="16" t="s">
        <v>3327</v>
      </c>
      <c r="D536" s="17" t="s">
        <v>860</v>
      </c>
      <c r="E536" s="16" t="s">
        <v>2468</v>
      </c>
      <c r="F536" s="17" t="s">
        <v>1615</v>
      </c>
      <c r="G536" s="3" t="s">
        <v>3951</v>
      </c>
      <c r="H536" s="6">
        <v>8066.0319999999992</v>
      </c>
    </row>
    <row r="537" spans="1:8" ht="15.75" customHeight="1" x14ac:dyDescent="0.35">
      <c r="A537" s="15"/>
      <c r="B537" s="3" t="s">
        <v>780</v>
      </c>
      <c r="C537" s="16" t="s">
        <v>3328</v>
      </c>
      <c r="D537" s="17" t="s">
        <v>861</v>
      </c>
      <c r="E537" s="16" t="s">
        <v>2469</v>
      </c>
      <c r="F537" s="17" t="s">
        <v>1616</v>
      </c>
      <c r="G537" s="3" t="s">
        <v>3951</v>
      </c>
      <c r="H537" s="6">
        <v>12147.535999999998</v>
      </c>
    </row>
    <row r="538" spans="1:8" ht="15.75" customHeight="1" x14ac:dyDescent="0.35">
      <c r="A538" s="15"/>
      <c r="B538" s="3" t="s">
        <v>782</v>
      </c>
      <c r="C538" s="16" t="s">
        <v>3330</v>
      </c>
      <c r="D538" s="17" t="s">
        <v>860</v>
      </c>
      <c r="E538" s="16" t="s">
        <v>2471</v>
      </c>
      <c r="F538" s="17" t="s">
        <v>1618</v>
      </c>
      <c r="G538" s="3" t="s">
        <v>3951</v>
      </c>
      <c r="H538" s="6">
        <v>14920.624</v>
      </c>
    </row>
    <row r="539" spans="1:8" ht="15.75" customHeight="1" x14ac:dyDescent="0.35">
      <c r="A539" s="15"/>
      <c r="B539" s="3" t="s">
        <v>784</v>
      </c>
      <c r="C539" s="16" t="s">
        <v>3332</v>
      </c>
      <c r="D539" s="17" t="s">
        <v>860</v>
      </c>
      <c r="E539" s="16" t="s">
        <v>2473</v>
      </c>
      <c r="F539" s="17" t="s">
        <v>1620</v>
      </c>
      <c r="G539" s="3" t="s">
        <v>3952</v>
      </c>
      <c r="H539" s="6">
        <v>11321.264000000001</v>
      </c>
    </row>
    <row r="540" spans="1:8" ht="15.75" customHeight="1" x14ac:dyDescent="0.35">
      <c r="A540" s="15"/>
      <c r="B540" s="3" t="s">
        <v>790</v>
      </c>
      <c r="C540" s="16" t="s">
        <v>3338</v>
      </c>
      <c r="D540" s="17" t="s">
        <v>860</v>
      </c>
      <c r="E540" s="16" t="s">
        <v>2479</v>
      </c>
      <c r="F540" s="17" t="s">
        <v>1626</v>
      </c>
      <c r="G540" s="3" t="s">
        <v>3953</v>
      </c>
      <c r="H540" s="6">
        <v>8637.2479999999996</v>
      </c>
    </row>
    <row r="541" spans="1:8" ht="15.75" customHeight="1" x14ac:dyDescent="0.35">
      <c r="A541" s="15"/>
      <c r="B541" s="3" t="s">
        <v>791</v>
      </c>
      <c r="C541" s="16" t="s">
        <v>3339</v>
      </c>
      <c r="D541" s="17" t="s">
        <v>861</v>
      </c>
      <c r="E541" s="16" t="s">
        <v>2480</v>
      </c>
      <c r="F541" s="17" t="s">
        <v>1627</v>
      </c>
      <c r="G541" s="3" t="s">
        <v>3954</v>
      </c>
      <c r="H541" s="6">
        <v>7611.5519999999997</v>
      </c>
    </row>
    <row r="542" spans="1:8" ht="15.75" customHeight="1" x14ac:dyDescent="0.35">
      <c r="A542" s="15"/>
      <c r="B542" s="3" t="s">
        <v>793</v>
      </c>
      <c r="C542" s="16" t="s">
        <v>3341</v>
      </c>
      <c r="D542" s="17" t="s">
        <v>861</v>
      </c>
      <c r="E542" s="16" t="s">
        <v>2482</v>
      </c>
      <c r="F542" s="17" t="s">
        <v>1629</v>
      </c>
      <c r="G542" s="3" t="s">
        <v>3955</v>
      </c>
      <c r="H542" s="6">
        <v>8292.2079999999987</v>
      </c>
    </row>
    <row r="543" spans="1:8" ht="15.75" customHeight="1" x14ac:dyDescent="0.35">
      <c r="A543" s="15"/>
      <c r="B543" s="3" t="s">
        <v>794</v>
      </c>
      <c r="C543" s="16" t="s">
        <v>3342</v>
      </c>
      <c r="D543" s="17" t="s">
        <v>861</v>
      </c>
      <c r="E543" s="16" t="s">
        <v>2483</v>
      </c>
      <c r="F543" s="17" t="s">
        <v>1630</v>
      </c>
      <c r="G543" s="3" t="s">
        <v>3955</v>
      </c>
      <c r="H543" s="6">
        <v>13594.271999999999</v>
      </c>
    </row>
    <row r="544" spans="1:8" ht="15.75" customHeight="1" x14ac:dyDescent="0.35">
      <c r="A544" s="15"/>
      <c r="B544" s="3" t="s">
        <v>799</v>
      </c>
      <c r="C544" s="16" t="s">
        <v>3347</v>
      </c>
      <c r="D544" s="17" t="s">
        <v>860</v>
      </c>
      <c r="E544" s="16" t="s">
        <v>2488</v>
      </c>
      <c r="F544" s="17" t="s">
        <v>1635</v>
      </c>
      <c r="G544" s="3" t="s">
        <v>3956</v>
      </c>
      <c r="H544" s="6">
        <v>6352.6880000000001</v>
      </c>
    </row>
    <row r="545" spans="1:8" ht="15.75" customHeight="1" x14ac:dyDescent="0.35">
      <c r="A545" s="15"/>
      <c r="B545" s="3" t="s">
        <v>802</v>
      </c>
      <c r="C545" s="16" t="s">
        <v>3350</v>
      </c>
      <c r="D545" s="17" t="s">
        <v>861</v>
      </c>
      <c r="E545" s="16" t="s">
        <v>2491</v>
      </c>
      <c r="F545" s="17" t="s">
        <v>1638</v>
      </c>
      <c r="G545" s="3" t="s">
        <v>3957</v>
      </c>
      <c r="H545" s="6">
        <v>12147.84</v>
      </c>
    </row>
    <row r="546" spans="1:8" ht="15.75" customHeight="1" x14ac:dyDescent="0.35">
      <c r="A546" s="15"/>
      <c r="B546" s="3" t="s">
        <v>805</v>
      </c>
      <c r="C546" s="16" t="s">
        <v>3353</v>
      </c>
      <c r="D546" s="17" t="s">
        <v>860</v>
      </c>
      <c r="E546" s="16" t="s">
        <v>2494</v>
      </c>
      <c r="F546" s="17" t="s">
        <v>1641</v>
      </c>
      <c r="G546" s="3" t="s">
        <v>3958</v>
      </c>
      <c r="H546" s="6">
        <v>21237.439999999999</v>
      </c>
    </row>
    <row r="547" spans="1:8" ht="15.75" customHeight="1" x14ac:dyDescent="0.35">
      <c r="A547" s="15"/>
      <c r="B547" s="3" t="s">
        <v>809</v>
      </c>
      <c r="C547" s="16" t="s">
        <v>3357</v>
      </c>
      <c r="D547" s="17" t="s">
        <v>861</v>
      </c>
      <c r="E547" s="16" t="s">
        <v>2498</v>
      </c>
      <c r="F547" s="17" t="s">
        <v>1645</v>
      </c>
      <c r="G547" s="3" t="s">
        <v>3959</v>
      </c>
      <c r="H547" s="6">
        <v>10667.664000000001</v>
      </c>
    </row>
    <row r="548" spans="1:8" ht="15.75" customHeight="1" x14ac:dyDescent="0.35">
      <c r="A548" s="15"/>
      <c r="B548" s="3" t="s">
        <v>810</v>
      </c>
      <c r="C548" s="16" t="s">
        <v>3358</v>
      </c>
      <c r="D548" s="17" t="s">
        <v>861</v>
      </c>
      <c r="E548" s="16" t="s">
        <v>2499</v>
      </c>
      <c r="F548" s="17" t="s">
        <v>1646</v>
      </c>
      <c r="G548" s="3" t="s">
        <v>3959</v>
      </c>
      <c r="H548" s="6">
        <v>8460.9279999999999</v>
      </c>
    </row>
    <row r="549" spans="1:8" ht="15.75" customHeight="1" x14ac:dyDescent="0.35">
      <c r="A549" s="15"/>
      <c r="B549" s="3" t="s">
        <v>817</v>
      </c>
      <c r="C549" s="16" t="s">
        <v>3365</v>
      </c>
      <c r="D549" s="17" t="s">
        <v>861</v>
      </c>
      <c r="E549" s="16" t="s">
        <v>2506</v>
      </c>
      <c r="F549" s="17" t="s">
        <v>1652</v>
      </c>
      <c r="G549" s="3" t="s">
        <v>3960</v>
      </c>
      <c r="H549" s="6">
        <v>13018.191999999999</v>
      </c>
    </row>
    <row r="550" spans="1:8" ht="15.75" customHeight="1" x14ac:dyDescent="0.35">
      <c r="A550" s="15"/>
      <c r="B550" s="3" t="s">
        <v>818</v>
      </c>
      <c r="C550" s="16" t="s">
        <v>3366</v>
      </c>
      <c r="D550" s="17" t="s">
        <v>861</v>
      </c>
      <c r="E550" s="16" t="s">
        <v>2507</v>
      </c>
      <c r="F550" s="17" t="s">
        <v>1653</v>
      </c>
      <c r="G550" s="3" t="s">
        <v>3960</v>
      </c>
      <c r="H550" s="6">
        <v>5617.3119999999999</v>
      </c>
    </row>
    <row r="551" spans="1:8" ht="15.75" customHeight="1" x14ac:dyDescent="0.35">
      <c r="A551" s="15"/>
      <c r="B551" s="3" t="s">
        <v>819</v>
      </c>
      <c r="C551" s="16" t="s">
        <v>3367</v>
      </c>
      <c r="D551" s="17" t="s">
        <v>861</v>
      </c>
      <c r="E551" s="16" t="s">
        <v>2508</v>
      </c>
      <c r="F551" s="17" t="s">
        <v>1654</v>
      </c>
      <c r="G551" s="3" t="s">
        <v>3960</v>
      </c>
      <c r="H551" s="6">
        <v>11354.096</v>
      </c>
    </row>
    <row r="552" spans="1:8" ht="15.75" customHeight="1" x14ac:dyDescent="0.35">
      <c r="A552" s="15"/>
      <c r="B552" s="3" t="s">
        <v>820</v>
      </c>
      <c r="C552" s="16" t="s">
        <v>3368</v>
      </c>
      <c r="D552" s="17" t="s">
        <v>861</v>
      </c>
      <c r="E552" s="16" t="s">
        <v>2509</v>
      </c>
      <c r="F552" s="17" t="s">
        <v>1655</v>
      </c>
      <c r="G552" s="3" t="s">
        <v>3960</v>
      </c>
      <c r="H552" s="6">
        <v>10890.8</v>
      </c>
    </row>
    <row r="553" spans="1:8" ht="15.75" customHeight="1" x14ac:dyDescent="0.35">
      <c r="A553" s="15"/>
      <c r="B553" s="3" t="s">
        <v>823</v>
      </c>
      <c r="C553" s="16" t="s">
        <v>3371</v>
      </c>
      <c r="D553" s="17" t="s">
        <v>861</v>
      </c>
      <c r="E553" s="16" t="s">
        <v>2512</v>
      </c>
      <c r="F553" s="17" t="s">
        <v>1657</v>
      </c>
      <c r="G553" s="3" t="s">
        <v>3961</v>
      </c>
      <c r="H553" s="6">
        <v>7876.9440000000004</v>
      </c>
    </row>
    <row r="554" spans="1:8" ht="15.75" customHeight="1" x14ac:dyDescent="0.35">
      <c r="A554" s="15"/>
      <c r="B554" s="3" t="s">
        <v>826</v>
      </c>
      <c r="C554" s="16" t="s">
        <v>3374</v>
      </c>
      <c r="D554" s="17" t="s">
        <v>861</v>
      </c>
      <c r="E554" s="16" t="s">
        <v>2515</v>
      </c>
      <c r="F554" s="17" t="s">
        <v>1660</v>
      </c>
      <c r="G554" s="3" t="s">
        <v>3962</v>
      </c>
      <c r="H554" s="6">
        <v>11003.888000000001</v>
      </c>
    </row>
    <row r="555" spans="1:8" ht="15.75" customHeight="1" x14ac:dyDescent="0.35">
      <c r="A555" s="15"/>
      <c r="B555" s="3" t="s">
        <v>827</v>
      </c>
      <c r="C555" s="16" t="s">
        <v>3375</v>
      </c>
      <c r="D555" s="17" t="s">
        <v>861</v>
      </c>
      <c r="E555" s="16" t="s">
        <v>2516</v>
      </c>
      <c r="F555" s="17" t="s">
        <v>1661</v>
      </c>
      <c r="G555" s="3" t="s">
        <v>3962</v>
      </c>
      <c r="H555" s="6">
        <v>7277.4559999999992</v>
      </c>
    </row>
    <row r="556" spans="1:8" ht="15.75" customHeight="1" x14ac:dyDescent="0.35">
      <c r="A556" s="15"/>
      <c r="B556" s="3" t="s">
        <v>829</v>
      </c>
      <c r="C556" s="16" t="s">
        <v>3377</v>
      </c>
      <c r="D556" s="17" t="s">
        <v>861</v>
      </c>
      <c r="E556" s="16" t="s">
        <v>2518</v>
      </c>
      <c r="F556" s="17" t="s">
        <v>1663</v>
      </c>
      <c r="G556" s="3" t="s">
        <v>3963</v>
      </c>
      <c r="H556" s="6">
        <v>10954.64</v>
      </c>
    </row>
    <row r="557" spans="1:8" ht="15.75" customHeight="1" x14ac:dyDescent="0.35">
      <c r="A557" s="15"/>
      <c r="B557" s="3" t="s">
        <v>3964</v>
      </c>
      <c r="C557" s="16" t="s">
        <v>3965</v>
      </c>
      <c r="D557" s="17" t="s">
        <v>861</v>
      </c>
      <c r="E557" s="16" t="s">
        <v>3966</v>
      </c>
      <c r="F557" s="17" t="s">
        <v>3967</v>
      </c>
      <c r="G557" s="3" t="s">
        <v>3968</v>
      </c>
      <c r="H557" s="6">
        <v>10757.951999999999</v>
      </c>
    </row>
    <row r="558" spans="1:8" ht="15.75" customHeight="1" x14ac:dyDescent="0.35">
      <c r="A558" s="15"/>
      <c r="B558" s="3" t="s">
        <v>3969</v>
      </c>
      <c r="C558" s="16" t="s">
        <v>3970</v>
      </c>
      <c r="D558" s="17" t="s">
        <v>860</v>
      </c>
      <c r="E558" s="16" t="s">
        <v>3971</v>
      </c>
      <c r="F558" s="17" t="s">
        <v>3972</v>
      </c>
      <c r="G558" s="3" t="s">
        <v>3973</v>
      </c>
      <c r="H558" s="6">
        <v>34362.031999999999</v>
      </c>
    </row>
    <row r="559" spans="1:8" ht="15.75" customHeight="1" x14ac:dyDescent="0.35">
      <c r="A559" s="15"/>
      <c r="B559" s="3" t="s">
        <v>3974</v>
      </c>
      <c r="C559" s="16" t="s">
        <v>3975</v>
      </c>
      <c r="D559" s="17" t="s">
        <v>861</v>
      </c>
      <c r="E559" s="16" t="s">
        <v>3976</v>
      </c>
      <c r="F559" s="17" t="s">
        <v>3977</v>
      </c>
      <c r="G559" s="3" t="s">
        <v>3978</v>
      </c>
      <c r="H559" s="6">
        <v>13797.647999999999</v>
      </c>
    </row>
    <row r="560" spans="1:8" ht="15.75" customHeight="1" x14ac:dyDescent="0.35">
      <c r="A560" s="15"/>
      <c r="B560" s="3" t="s">
        <v>3979</v>
      </c>
      <c r="C560" s="16" t="s">
        <v>3980</v>
      </c>
      <c r="D560" s="17" t="s">
        <v>860</v>
      </c>
      <c r="E560" s="16" t="s">
        <v>3981</v>
      </c>
      <c r="F560" s="17" t="s">
        <v>3982</v>
      </c>
      <c r="G560" s="3" t="s">
        <v>3978</v>
      </c>
      <c r="H560" s="6">
        <v>15327.983999999999</v>
      </c>
    </row>
    <row r="561" spans="1:8" ht="15.75" customHeight="1" x14ac:dyDescent="0.35">
      <c r="A561" s="15"/>
      <c r="B561" s="3" t="s">
        <v>3983</v>
      </c>
      <c r="C561" s="16" t="s">
        <v>3984</v>
      </c>
      <c r="D561" s="17" t="s">
        <v>860</v>
      </c>
      <c r="E561" s="16" t="s">
        <v>3985</v>
      </c>
      <c r="F561" s="17" t="s">
        <v>3986</v>
      </c>
      <c r="G561" s="3" t="s">
        <v>3987</v>
      </c>
      <c r="H561" s="6">
        <v>13699.759999999998</v>
      </c>
    </row>
    <row r="562" spans="1:8" ht="15.75" customHeight="1" x14ac:dyDescent="0.35">
      <c r="A562" s="15"/>
      <c r="B562" s="3" t="s">
        <v>3988</v>
      </c>
      <c r="C562" s="16" t="s">
        <v>3989</v>
      </c>
      <c r="D562" s="17" t="s">
        <v>861</v>
      </c>
      <c r="E562" s="16" t="s">
        <v>3990</v>
      </c>
      <c r="F562" s="17" t="s">
        <v>3991</v>
      </c>
      <c r="G562" s="3" t="s">
        <v>3992</v>
      </c>
      <c r="H562" s="6">
        <v>11480.864</v>
      </c>
    </row>
    <row r="563" spans="1:8" ht="15.75" customHeight="1" x14ac:dyDescent="0.35">
      <c r="A563" s="15"/>
      <c r="B563" s="3" t="s">
        <v>3993</v>
      </c>
      <c r="C563" s="16" t="s">
        <v>3994</v>
      </c>
      <c r="D563" s="17" t="s">
        <v>861</v>
      </c>
      <c r="E563" s="16" t="s">
        <v>3995</v>
      </c>
      <c r="F563" s="17" t="s">
        <v>3996</v>
      </c>
      <c r="G563" s="3" t="s">
        <v>3947</v>
      </c>
      <c r="H563" s="6">
        <v>15892.511999999999</v>
      </c>
    </row>
    <row r="564" spans="1:8" ht="15.75" customHeight="1" x14ac:dyDescent="0.35">
      <c r="A564" s="15"/>
      <c r="B564" s="3" t="s">
        <v>3997</v>
      </c>
      <c r="C564" s="16" t="s">
        <v>3998</v>
      </c>
      <c r="D564" s="17" t="s">
        <v>861</v>
      </c>
      <c r="E564" s="16" t="s">
        <v>3999</v>
      </c>
      <c r="F564" s="17" t="s">
        <v>4000</v>
      </c>
      <c r="G564" s="3" t="s">
        <v>4001</v>
      </c>
      <c r="H564" s="6">
        <v>7769.9359999999997</v>
      </c>
    </row>
    <row r="565" spans="1:8" ht="15.75" customHeight="1" x14ac:dyDescent="0.35">
      <c r="A565" s="15"/>
      <c r="B565" s="3" t="s">
        <v>4002</v>
      </c>
      <c r="C565" s="16" t="s">
        <v>4003</v>
      </c>
      <c r="D565" s="17" t="s">
        <v>861</v>
      </c>
      <c r="E565" s="16" t="s">
        <v>4004</v>
      </c>
      <c r="F565" s="17" t="s">
        <v>4005</v>
      </c>
      <c r="G565" s="3" t="s">
        <v>4006</v>
      </c>
      <c r="H565" s="6">
        <v>5602.72</v>
      </c>
    </row>
    <row r="566" spans="1:8" ht="15.75" customHeight="1" x14ac:dyDescent="0.35">
      <c r="A566" s="15"/>
      <c r="B566" s="3" t="s">
        <v>4007</v>
      </c>
      <c r="C566" s="16" t="s">
        <v>4008</v>
      </c>
      <c r="D566" s="17" t="s">
        <v>861</v>
      </c>
      <c r="E566" s="16" t="s">
        <v>4009</v>
      </c>
      <c r="F566" s="17" t="s">
        <v>4010</v>
      </c>
      <c r="G566" s="3" t="s">
        <v>3947</v>
      </c>
      <c r="H566" s="6">
        <v>7914.64</v>
      </c>
    </row>
    <row r="567" spans="1:8" ht="15.75" customHeight="1" x14ac:dyDescent="0.35">
      <c r="A567" s="15"/>
      <c r="B567" s="3" t="s">
        <v>4011</v>
      </c>
      <c r="C567" s="16" t="s">
        <v>4012</v>
      </c>
      <c r="D567" s="17" t="s">
        <v>860</v>
      </c>
      <c r="E567" s="16" t="s">
        <v>4013</v>
      </c>
      <c r="F567" s="17" t="s">
        <v>4014</v>
      </c>
      <c r="G567" s="3" t="s">
        <v>3947</v>
      </c>
      <c r="H567" s="6">
        <v>6223.1840000000002</v>
      </c>
    </row>
    <row r="568" spans="1:8" ht="15.75" customHeight="1" x14ac:dyDescent="0.35">
      <c r="A568" s="15"/>
      <c r="B568" s="3" t="s">
        <v>4015</v>
      </c>
      <c r="C568" s="16" t="s">
        <v>4016</v>
      </c>
      <c r="D568" s="17" t="s">
        <v>860</v>
      </c>
      <c r="E568" s="16" t="s">
        <v>4017</v>
      </c>
      <c r="F568" s="17" t="s">
        <v>4018</v>
      </c>
      <c r="G568" s="3" t="s">
        <v>4019</v>
      </c>
      <c r="H568" s="6">
        <v>11325.52</v>
      </c>
    </row>
    <row r="569" spans="1:8" ht="15.75" customHeight="1" x14ac:dyDescent="0.35">
      <c r="A569" s="15"/>
      <c r="B569" s="3" t="s">
        <v>4020</v>
      </c>
      <c r="C569" s="16" t="s">
        <v>4021</v>
      </c>
      <c r="D569" s="17" t="s">
        <v>860</v>
      </c>
      <c r="E569" s="16" t="s">
        <v>4022</v>
      </c>
      <c r="F569" s="17" t="s">
        <v>4023</v>
      </c>
      <c r="G569" s="3" t="s">
        <v>4019</v>
      </c>
      <c r="H569" s="6">
        <v>6873.7439999999997</v>
      </c>
    </row>
    <row r="570" spans="1:8" ht="15.75" customHeight="1" x14ac:dyDescent="0.35">
      <c r="A570" s="15"/>
      <c r="B570" s="3" t="s">
        <v>4024</v>
      </c>
      <c r="C570" s="16" t="s">
        <v>4025</v>
      </c>
      <c r="D570" s="17" t="s">
        <v>861</v>
      </c>
      <c r="E570" s="16" t="s">
        <v>4026</v>
      </c>
      <c r="F570" s="17" t="s">
        <v>4027</v>
      </c>
      <c r="G570" s="3" t="s">
        <v>4019</v>
      </c>
      <c r="H570" s="6">
        <v>6556.6719999999996</v>
      </c>
    </row>
    <row r="571" spans="1:8" ht="15.75" customHeight="1" x14ac:dyDescent="0.35">
      <c r="A571" s="15"/>
      <c r="B571" s="3" t="s">
        <v>4028</v>
      </c>
      <c r="C571" s="16" t="s">
        <v>4029</v>
      </c>
      <c r="D571" s="17" t="s">
        <v>861</v>
      </c>
      <c r="E571" s="16" t="s">
        <v>4030</v>
      </c>
      <c r="F571" s="17" t="s">
        <v>4031</v>
      </c>
      <c r="G571" s="3" t="s">
        <v>4032</v>
      </c>
      <c r="H571" s="6">
        <v>13744.751999999999</v>
      </c>
    </row>
    <row r="572" spans="1:8" ht="15.75" customHeight="1" x14ac:dyDescent="0.35">
      <c r="A572" s="15"/>
      <c r="B572" s="3" t="s">
        <v>4033</v>
      </c>
      <c r="C572" s="16" t="s">
        <v>4034</v>
      </c>
      <c r="D572" s="17" t="s">
        <v>861</v>
      </c>
      <c r="E572" s="16" t="s">
        <v>4035</v>
      </c>
      <c r="F572" s="17" t="s">
        <v>4036</v>
      </c>
      <c r="G572" s="3" t="s">
        <v>4037</v>
      </c>
      <c r="H572" s="6">
        <v>23332.304</v>
      </c>
    </row>
    <row r="573" spans="1:8" ht="15.75" customHeight="1" x14ac:dyDescent="0.35">
      <c r="A573" s="15"/>
      <c r="B573" s="3" t="s">
        <v>4038</v>
      </c>
      <c r="C573" s="16" t="s">
        <v>4039</v>
      </c>
      <c r="D573" s="17" t="s">
        <v>861</v>
      </c>
      <c r="E573" s="16" t="s">
        <v>4040</v>
      </c>
      <c r="F573" s="17" t="s">
        <v>4041</v>
      </c>
      <c r="G573" s="3" t="s">
        <v>4042</v>
      </c>
      <c r="H573" s="6">
        <v>15072.624</v>
      </c>
    </row>
    <row r="574" spans="1:8" ht="15.75" customHeight="1" x14ac:dyDescent="0.35">
      <c r="A574" s="15"/>
      <c r="B574" s="3" t="s">
        <v>4043</v>
      </c>
      <c r="C574" s="16" t="s">
        <v>4044</v>
      </c>
      <c r="D574" s="17" t="s">
        <v>860</v>
      </c>
      <c r="E574" s="16" t="s">
        <v>4045</v>
      </c>
      <c r="F574" s="17" t="s">
        <v>4046</v>
      </c>
      <c r="G574" s="3" t="s">
        <v>4047</v>
      </c>
      <c r="H574" s="6">
        <v>8326.56</v>
      </c>
    </row>
    <row r="575" spans="1:8" ht="15.75" customHeight="1" x14ac:dyDescent="0.35">
      <c r="A575" s="15"/>
      <c r="B575" s="3" t="s">
        <v>4048</v>
      </c>
      <c r="C575" s="16" t="s">
        <v>4049</v>
      </c>
      <c r="D575" s="17" t="s">
        <v>860</v>
      </c>
      <c r="E575" s="16" t="s">
        <v>4050</v>
      </c>
      <c r="F575" s="17" t="s">
        <v>4051</v>
      </c>
      <c r="G575" s="3" t="s">
        <v>4052</v>
      </c>
      <c r="H575" s="6">
        <v>13787.311999999998</v>
      </c>
    </row>
    <row r="576" spans="1:8" ht="15.75" customHeight="1" x14ac:dyDescent="0.35">
      <c r="A576" s="15"/>
      <c r="B576" s="3" t="s">
        <v>4053</v>
      </c>
      <c r="C576" s="16" t="s">
        <v>4054</v>
      </c>
      <c r="D576" s="17" t="s">
        <v>860</v>
      </c>
      <c r="E576" s="16" t="s">
        <v>4055</v>
      </c>
      <c r="F576" s="17" t="s">
        <v>4056</v>
      </c>
      <c r="G576" s="3" t="s">
        <v>4057</v>
      </c>
      <c r="H576" s="6">
        <v>7872.3839999999991</v>
      </c>
    </row>
    <row r="577" spans="1:8" ht="15.75" customHeight="1" x14ac:dyDescent="0.35">
      <c r="A577" s="15"/>
      <c r="B577" s="3" t="s">
        <v>4058</v>
      </c>
      <c r="C577" s="16" t="s">
        <v>4059</v>
      </c>
      <c r="D577" s="17" t="s">
        <v>860</v>
      </c>
      <c r="E577" s="16" t="s">
        <v>4060</v>
      </c>
      <c r="F577" s="17" t="s">
        <v>1099</v>
      </c>
      <c r="G577" s="3" t="s">
        <v>4061</v>
      </c>
      <c r="H577" s="6">
        <v>9488.7519999999986</v>
      </c>
    </row>
    <row r="578" spans="1:8" ht="15.75" customHeight="1" x14ac:dyDescent="0.35">
      <c r="A578" s="15"/>
      <c r="B578" s="3" t="s">
        <v>4062</v>
      </c>
      <c r="C578" s="16" t="s">
        <v>4063</v>
      </c>
      <c r="D578" s="17" t="s">
        <v>860</v>
      </c>
      <c r="E578" s="16" t="s">
        <v>4064</v>
      </c>
      <c r="F578" s="17" t="s">
        <v>4065</v>
      </c>
      <c r="G578" s="3" t="s">
        <v>4066</v>
      </c>
      <c r="H578" s="6">
        <v>22907.919999999998</v>
      </c>
    </row>
    <row r="579" spans="1:8" ht="15.75" customHeight="1" x14ac:dyDescent="0.35">
      <c r="A579" s="15"/>
      <c r="B579" s="3" t="s">
        <v>4067</v>
      </c>
      <c r="C579" s="16" t="s">
        <v>4068</v>
      </c>
      <c r="D579" s="17" t="s">
        <v>861</v>
      </c>
      <c r="E579" s="16" t="s">
        <v>4069</v>
      </c>
      <c r="F579" s="17" t="s">
        <v>4070</v>
      </c>
      <c r="G579" s="3" t="s">
        <v>4071</v>
      </c>
      <c r="H579" s="6">
        <v>13277.503999999999</v>
      </c>
    </row>
    <row r="580" spans="1:8" ht="15.75" customHeight="1" x14ac:dyDescent="0.35">
      <c r="A580" s="15"/>
      <c r="B580" s="3" t="s">
        <v>4072</v>
      </c>
      <c r="C580" s="16" t="s">
        <v>4073</v>
      </c>
      <c r="D580" s="17" t="s">
        <v>860</v>
      </c>
      <c r="E580" s="16" t="s">
        <v>4074</v>
      </c>
      <c r="F580" s="17" t="s">
        <v>4075</v>
      </c>
      <c r="G580" s="3" t="s">
        <v>4076</v>
      </c>
      <c r="H580" s="6">
        <v>27415.328000000001</v>
      </c>
    </row>
    <row r="581" spans="1:8" ht="15.75" customHeight="1" x14ac:dyDescent="0.35">
      <c r="A581" s="15"/>
      <c r="B581" s="3" t="s">
        <v>4077</v>
      </c>
      <c r="C581" s="16" t="s">
        <v>4078</v>
      </c>
      <c r="D581" s="17" t="s">
        <v>861</v>
      </c>
      <c r="E581" s="16" t="s">
        <v>4079</v>
      </c>
      <c r="F581" s="17" t="s">
        <v>4080</v>
      </c>
      <c r="G581" s="3" t="s">
        <v>4081</v>
      </c>
      <c r="H581" s="6">
        <v>10347.856</v>
      </c>
    </row>
    <row r="582" spans="1:8" ht="15.75" customHeight="1" x14ac:dyDescent="0.35">
      <c r="A582" s="15"/>
      <c r="B582" s="3" t="s">
        <v>4082</v>
      </c>
      <c r="C582" s="16" t="s">
        <v>4083</v>
      </c>
      <c r="D582" s="17" t="s">
        <v>861</v>
      </c>
      <c r="E582" s="16" t="s">
        <v>4084</v>
      </c>
      <c r="F582" s="17" t="s">
        <v>4085</v>
      </c>
      <c r="G582" s="3" t="s">
        <v>4086</v>
      </c>
      <c r="H582" s="6">
        <v>14614.495999999999</v>
      </c>
    </row>
    <row r="583" spans="1:8" ht="15.75" customHeight="1" x14ac:dyDescent="0.35">
      <c r="A583" s="15"/>
      <c r="B583" s="3" t="s">
        <v>4087</v>
      </c>
      <c r="C583" s="16" t="s">
        <v>4088</v>
      </c>
      <c r="D583" s="17" t="s">
        <v>861</v>
      </c>
      <c r="E583" s="16" t="s">
        <v>4089</v>
      </c>
      <c r="F583" s="17" t="s">
        <v>4090</v>
      </c>
      <c r="G583" s="3" t="s">
        <v>4091</v>
      </c>
      <c r="H583" s="6">
        <v>131090.920128</v>
      </c>
    </row>
    <row r="584" spans="1:8" ht="15.75" customHeight="1" x14ac:dyDescent="0.35">
      <c r="A584" s="15"/>
      <c r="B584" s="3" t="s">
        <v>4092</v>
      </c>
      <c r="C584" s="16" t="s">
        <v>4093</v>
      </c>
      <c r="D584" s="17" t="s">
        <v>860</v>
      </c>
      <c r="E584" s="16" t="s">
        <v>4094</v>
      </c>
      <c r="F584" s="17" t="s">
        <v>4095</v>
      </c>
      <c r="G584" s="3" t="s">
        <v>4096</v>
      </c>
      <c r="H584" s="6">
        <v>38498.256000000001</v>
      </c>
    </row>
    <row r="585" spans="1:8" ht="15.75" customHeight="1" x14ac:dyDescent="0.35">
      <c r="A585" s="15"/>
      <c r="B585" s="3" t="s">
        <v>4097</v>
      </c>
      <c r="C585" s="16" t="s">
        <v>4098</v>
      </c>
      <c r="D585" s="17" t="s">
        <v>861</v>
      </c>
      <c r="E585" s="16" t="s">
        <v>4099</v>
      </c>
      <c r="F585" s="17" t="s">
        <v>4100</v>
      </c>
      <c r="G585" s="3" t="s">
        <v>4101</v>
      </c>
      <c r="H585" s="6">
        <v>44097.935999999994</v>
      </c>
    </row>
    <row r="586" spans="1:8" ht="15.75" customHeight="1" x14ac:dyDescent="0.35">
      <c r="A586" s="15"/>
      <c r="B586" s="3" t="s">
        <v>4102</v>
      </c>
      <c r="C586" s="16" t="s">
        <v>4103</v>
      </c>
      <c r="D586" s="17" t="s">
        <v>861</v>
      </c>
      <c r="E586" s="16" t="s">
        <v>4104</v>
      </c>
      <c r="F586" s="17" t="s">
        <v>4105</v>
      </c>
      <c r="G586" s="3" t="s">
        <v>4106</v>
      </c>
      <c r="H586" s="6">
        <v>6198.5599999999995</v>
      </c>
    </row>
    <row r="587" spans="1:8" ht="15.75" customHeight="1" x14ac:dyDescent="0.35">
      <c r="A587" s="15"/>
      <c r="B587" s="3" t="s">
        <v>4107</v>
      </c>
      <c r="C587" s="16" t="s">
        <v>4108</v>
      </c>
      <c r="D587" s="17" t="s">
        <v>860</v>
      </c>
      <c r="E587" s="16" t="s">
        <v>4109</v>
      </c>
      <c r="F587" s="17" t="s">
        <v>4110</v>
      </c>
      <c r="G587" s="3" t="s">
        <v>4111</v>
      </c>
      <c r="H587" s="6">
        <v>11252.864</v>
      </c>
    </row>
    <row r="588" spans="1:8" ht="15.75" customHeight="1" x14ac:dyDescent="0.35">
      <c r="A588" s="15"/>
      <c r="B588" s="3" t="s">
        <v>4112</v>
      </c>
      <c r="C588" s="16" t="s">
        <v>4113</v>
      </c>
      <c r="D588" s="17" t="s">
        <v>861</v>
      </c>
      <c r="E588" s="16" t="s">
        <v>4114</v>
      </c>
      <c r="F588" s="17" t="s">
        <v>4115</v>
      </c>
      <c r="G588" s="3" t="s">
        <v>4116</v>
      </c>
      <c r="H588" s="6">
        <v>5610.32</v>
      </c>
    </row>
    <row r="589" spans="1:8" ht="15.75" customHeight="1" x14ac:dyDescent="0.35">
      <c r="A589" s="15"/>
      <c r="B589" s="3" t="s">
        <v>4117</v>
      </c>
      <c r="C589" s="16" t="s">
        <v>4118</v>
      </c>
      <c r="D589" s="17" t="s">
        <v>861</v>
      </c>
      <c r="E589" s="16" t="s">
        <v>4119</v>
      </c>
      <c r="F589" s="17" t="s">
        <v>4120</v>
      </c>
      <c r="G589" s="3" t="s">
        <v>4116</v>
      </c>
      <c r="H589" s="6">
        <v>13744.751999999999</v>
      </c>
    </row>
    <row r="590" spans="1:8" ht="15.75" customHeight="1" x14ac:dyDescent="0.35">
      <c r="A590" s="15"/>
      <c r="B590" s="3" t="s">
        <v>4121</v>
      </c>
      <c r="C590" s="16" t="s">
        <v>4122</v>
      </c>
      <c r="D590" s="17" t="s">
        <v>861</v>
      </c>
      <c r="E590" s="16" t="s">
        <v>4123</v>
      </c>
      <c r="F590" s="17" t="s">
        <v>4124</v>
      </c>
      <c r="G590" s="3" t="s">
        <v>4125</v>
      </c>
      <c r="H590" s="6">
        <v>12582.255999999999</v>
      </c>
    </row>
    <row r="591" spans="1:8" ht="15.75" customHeight="1" x14ac:dyDescent="0.35">
      <c r="A591" s="15"/>
      <c r="B591" s="3" t="s">
        <v>4126</v>
      </c>
      <c r="C591" s="16" t="s">
        <v>4127</v>
      </c>
      <c r="D591" s="17" t="s">
        <v>861</v>
      </c>
      <c r="E591" s="16" t="s">
        <v>4128</v>
      </c>
      <c r="F591" s="17" t="s">
        <v>4129</v>
      </c>
      <c r="G591" s="3" t="s">
        <v>4130</v>
      </c>
      <c r="H591" s="6">
        <v>7816.1440000000002</v>
      </c>
    </row>
    <row r="592" spans="1:8" ht="15.75" customHeight="1" x14ac:dyDescent="0.35">
      <c r="A592" s="15"/>
      <c r="B592" s="3" t="s">
        <v>4131</v>
      </c>
      <c r="C592" s="16" t="s">
        <v>4132</v>
      </c>
      <c r="D592" s="17" t="s">
        <v>861</v>
      </c>
      <c r="E592" s="16" t="s">
        <v>4133</v>
      </c>
      <c r="F592" s="17" t="s">
        <v>4134</v>
      </c>
      <c r="G592" s="3" t="s">
        <v>4135</v>
      </c>
      <c r="H592" s="6">
        <v>5757.4559999999992</v>
      </c>
    </row>
    <row r="593" spans="1:8" ht="15.75" customHeight="1" x14ac:dyDescent="0.35">
      <c r="A593" s="15"/>
      <c r="B593" s="3" t="s">
        <v>4136</v>
      </c>
      <c r="C593" s="16" t="s">
        <v>4137</v>
      </c>
      <c r="D593" s="17" t="s">
        <v>861</v>
      </c>
      <c r="E593" s="16" t="s">
        <v>4138</v>
      </c>
      <c r="F593" s="17" t="s">
        <v>4139</v>
      </c>
      <c r="G593" s="3" t="s">
        <v>4140</v>
      </c>
      <c r="H593" s="6">
        <v>18112.623999999996</v>
      </c>
    </row>
    <row r="594" spans="1:8" ht="15.75" customHeight="1" x14ac:dyDescent="0.35">
      <c r="A594" s="15"/>
      <c r="B594" s="3" t="s">
        <v>4141</v>
      </c>
      <c r="C594" s="16" t="s">
        <v>4142</v>
      </c>
      <c r="D594" s="17" t="s">
        <v>860</v>
      </c>
      <c r="E594" s="16" t="s">
        <v>4143</v>
      </c>
      <c r="F594" s="17" t="s">
        <v>4144</v>
      </c>
      <c r="G594" s="3" t="s">
        <v>4145</v>
      </c>
      <c r="H594" s="6">
        <v>21772.175999999999</v>
      </c>
    </row>
    <row r="595" spans="1:8" ht="15.75" customHeight="1" x14ac:dyDescent="0.35">
      <c r="A595" s="15"/>
      <c r="B595" s="3" t="s">
        <v>4146</v>
      </c>
      <c r="C595" s="16" t="s">
        <v>4147</v>
      </c>
      <c r="D595" s="17" t="s">
        <v>860</v>
      </c>
      <c r="E595" s="16" t="s">
        <v>4148</v>
      </c>
      <c r="F595" s="17" t="s">
        <v>4149</v>
      </c>
      <c r="G595" s="3" t="s">
        <v>4150</v>
      </c>
      <c r="H595" s="6">
        <v>12726.655999999999</v>
      </c>
    </row>
    <row r="596" spans="1:8" ht="15.75" customHeight="1" x14ac:dyDescent="0.35">
      <c r="A596" s="15"/>
      <c r="B596" s="3" t="s">
        <v>4151</v>
      </c>
      <c r="C596" s="16" t="s">
        <v>4152</v>
      </c>
      <c r="D596" s="17" t="s">
        <v>860</v>
      </c>
      <c r="E596" s="16" t="s">
        <v>4153</v>
      </c>
      <c r="F596" s="17" t="s">
        <v>4154</v>
      </c>
      <c r="G596" s="3" t="s">
        <v>4145</v>
      </c>
      <c r="H596" s="6">
        <v>9353.4719999999998</v>
      </c>
    </row>
    <row r="597" spans="1:8" ht="15.75" customHeight="1" x14ac:dyDescent="0.35">
      <c r="A597" s="15"/>
      <c r="B597" s="3" t="s">
        <v>4155</v>
      </c>
      <c r="C597" s="16" t="s">
        <v>4156</v>
      </c>
      <c r="D597" s="17" t="s">
        <v>860</v>
      </c>
      <c r="E597" s="16" t="s">
        <v>4157</v>
      </c>
      <c r="F597" s="17" t="s">
        <v>4158</v>
      </c>
      <c r="G597" s="3" t="s">
        <v>4159</v>
      </c>
      <c r="H597" s="6">
        <v>7872.3839999999991</v>
      </c>
    </row>
    <row r="598" spans="1:8" ht="15.75" customHeight="1" x14ac:dyDescent="0.35">
      <c r="A598" s="15"/>
      <c r="B598" s="3" t="s">
        <v>4160</v>
      </c>
      <c r="C598" s="16" t="s">
        <v>4161</v>
      </c>
      <c r="D598" s="17" t="s">
        <v>860</v>
      </c>
      <c r="E598" s="16" t="s">
        <v>4162</v>
      </c>
      <c r="F598" s="17" t="s">
        <v>4163</v>
      </c>
      <c r="G598" s="3" t="s">
        <v>4164</v>
      </c>
      <c r="H598" s="6">
        <v>19305.215999999997</v>
      </c>
    </row>
    <row r="599" spans="1:8" ht="15.75" customHeight="1" x14ac:dyDescent="0.35">
      <c r="A599" s="15"/>
      <c r="B599" s="3" t="s">
        <v>4165</v>
      </c>
      <c r="C599" s="16" t="s">
        <v>4166</v>
      </c>
      <c r="D599" s="17" t="s">
        <v>860</v>
      </c>
      <c r="E599" s="16" t="s">
        <v>4167</v>
      </c>
      <c r="F599" s="17" t="s">
        <v>4168</v>
      </c>
      <c r="G599" s="3" t="s">
        <v>4159</v>
      </c>
      <c r="H599" s="6">
        <v>14680.464</v>
      </c>
    </row>
    <row r="600" spans="1:8" ht="15.75" customHeight="1" x14ac:dyDescent="0.35">
      <c r="A600" s="15"/>
      <c r="B600" s="3" t="s">
        <v>4169</v>
      </c>
      <c r="C600" s="16" t="s">
        <v>4170</v>
      </c>
      <c r="D600" s="17" t="s">
        <v>861</v>
      </c>
      <c r="E600" s="16" t="s">
        <v>4171</v>
      </c>
      <c r="F600" s="17" t="s">
        <v>4172</v>
      </c>
      <c r="G600" s="3" t="s">
        <v>4173</v>
      </c>
      <c r="H600" s="6">
        <v>7946.8640000000005</v>
      </c>
    </row>
    <row r="601" spans="1:8" ht="15.75" customHeight="1" x14ac:dyDescent="0.35">
      <c r="A601" s="15"/>
      <c r="B601" s="3" t="s">
        <v>4174</v>
      </c>
      <c r="C601" s="16" t="s">
        <v>4175</v>
      </c>
      <c r="D601" s="17" t="s">
        <v>860</v>
      </c>
      <c r="E601" s="16" t="s">
        <v>4176</v>
      </c>
      <c r="F601" s="17" t="s">
        <v>4177</v>
      </c>
      <c r="G601" s="3" t="s">
        <v>4178</v>
      </c>
      <c r="H601" s="6">
        <v>7754.1279999999997</v>
      </c>
    </row>
    <row r="602" spans="1:8" ht="15.75" customHeight="1" x14ac:dyDescent="0.35">
      <c r="A602" s="15"/>
      <c r="B602" s="3" t="s">
        <v>4179</v>
      </c>
      <c r="C602" s="16" t="s">
        <v>4180</v>
      </c>
      <c r="D602" s="17" t="s">
        <v>861</v>
      </c>
      <c r="E602" s="16" t="s">
        <v>4181</v>
      </c>
      <c r="F602" s="17" t="s">
        <v>4182</v>
      </c>
      <c r="G602" s="3" t="s">
        <v>3823</v>
      </c>
      <c r="H602" s="6">
        <v>7004.7679999999991</v>
      </c>
    </row>
    <row r="603" spans="1:8" ht="15.75" customHeight="1" x14ac:dyDescent="0.35">
      <c r="A603" s="15"/>
      <c r="B603" s="3" t="s">
        <v>4183</v>
      </c>
      <c r="C603" s="16" t="s">
        <v>4184</v>
      </c>
      <c r="D603" s="17" t="s">
        <v>861</v>
      </c>
      <c r="E603" s="16" t="s">
        <v>4185</v>
      </c>
      <c r="F603" s="17" t="s">
        <v>4186</v>
      </c>
      <c r="G603" s="3" t="s">
        <v>3823</v>
      </c>
      <c r="H603" s="6">
        <v>6257.5360000000001</v>
      </c>
    </row>
    <row r="604" spans="1:8" ht="15.75" customHeight="1" x14ac:dyDescent="0.35">
      <c r="A604" s="15"/>
      <c r="B604" s="3" t="s">
        <v>4187</v>
      </c>
      <c r="C604" s="16" t="s">
        <v>4188</v>
      </c>
      <c r="D604" s="17" t="s">
        <v>860</v>
      </c>
      <c r="E604" s="16" t="s">
        <v>4189</v>
      </c>
      <c r="F604" s="17" t="s">
        <v>4190</v>
      </c>
      <c r="G604" s="3" t="s">
        <v>4191</v>
      </c>
      <c r="H604" s="6">
        <v>6684.96</v>
      </c>
    </row>
    <row r="605" spans="1:8" ht="15.75" customHeight="1" x14ac:dyDescent="0.35">
      <c r="A605" s="15"/>
      <c r="B605" s="3" t="s">
        <v>4192</v>
      </c>
      <c r="C605" s="16" t="s">
        <v>4193</v>
      </c>
      <c r="D605" s="17" t="s">
        <v>861</v>
      </c>
      <c r="E605" s="16" t="s">
        <v>4194</v>
      </c>
      <c r="F605" s="17" t="s">
        <v>4195</v>
      </c>
      <c r="G605" s="3" t="s">
        <v>4196</v>
      </c>
      <c r="H605" s="6">
        <v>23202.191999999999</v>
      </c>
    </row>
    <row r="606" spans="1:8" ht="15.75" customHeight="1" x14ac:dyDescent="0.35">
      <c r="A606" s="15"/>
      <c r="B606" s="3" t="s">
        <v>4197</v>
      </c>
      <c r="C606" s="16" t="s">
        <v>4198</v>
      </c>
      <c r="D606" s="17" t="s">
        <v>860</v>
      </c>
      <c r="E606" s="16" t="s">
        <v>4199</v>
      </c>
      <c r="F606" s="17" t="s">
        <v>4200</v>
      </c>
      <c r="G606" s="3" t="s">
        <v>4201</v>
      </c>
      <c r="H606" s="6">
        <v>13526.784</v>
      </c>
    </row>
    <row r="607" spans="1:8" ht="15.75" customHeight="1" x14ac:dyDescent="0.35">
      <c r="A607" s="15"/>
      <c r="B607" s="3" t="s">
        <v>4202</v>
      </c>
      <c r="C607" s="16" t="s">
        <v>4203</v>
      </c>
      <c r="D607" s="17" t="s">
        <v>860</v>
      </c>
      <c r="E607" s="16" t="s">
        <v>4204</v>
      </c>
      <c r="F607" s="17" t="s">
        <v>4205</v>
      </c>
      <c r="G607" s="3" t="s">
        <v>4201</v>
      </c>
      <c r="H607" s="6">
        <v>11136.127999999999</v>
      </c>
    </row>
    <row r="608" spans="1:8" ht="15.75" customHeight="1" x14ac:dyDescent="0.35">
      <c r="A608" s="15"/>
      <c r="B608" s="3" t="s">
        <v>4206</v>
      </c>
      <c r="C608" s="16" t="s">
        <v>4207</v>
      </c>
      <c r="D608" s="17" t="s">
        <v>860</v>
      </c>
      <c r="E608" s="16" t="s">
        <v>4208</v>
      </c>
      <c r="F608" s="17" t="s">
        <v>4209</v>
      </c>
      <c r="G608" s="3" t="s">
        <v>4201</v>
      </c>
      <c r="H608" s="6">
        <v>7963.8880000000008</v>
      </c>
    </row>
    <row r="609" spans="1:8" ht="15.75" customHeight="1" x14ac:dyDescent="0.35">
      <c r="A609" s="15"/>
      <c r="B609" s="3" t="s">
        <v>4210</v>
      </c>
      <c r="C609" s="16" t="s">
        <v>4211</v>
      </c>
      <c r="D609" s="17" t="s">
        <v>861</v>
      </c>
      <c r="E609" s="16" t="s">
        <v>4212</v>
      </c>
      <c r="F609" s="17" t="s">
        <v>4213</v>
      </c>
      <c r="G609" s="3" t="s">
        <v>4196</v>
      </c>
      <c r="H609" s="6">
        <v>15716.8</v>
      </c>
    </row>
    <row r="610" spans="1:8" ht="15.75" customHeight="1" x14ac:dyDescent="0.35">
      <c r="A610" s="15"/>
      <c r="B610" s="3" t="s">
        <v>4214</v>
      </c>
      <c r="C610" s="16" t="s">
        <v>4215</v>
      </c>
      <c r="D610" s="17" t="s">
        <v>861</v>
      </c>
      <c r="E610" s="16" t="s">
        <v>4216</v>
      </c>
      <c r="F610" s="17" t="s">
        <v>4217</v>
      </c>
      <c r="G610" s="3" t="s">
        <v>4218</v>
      </c>
      <c r="H610" s="6">
        <v>6482.4960000000001</v>
      </c>
    </row>
    <row r="611" spans="1:8" ht="15.75" customHeight="1" x14ac:dyDescent="0.35">
      <c r="A611" s="15"/>
      <c r="B611" s="3" t="s">
        <v>4219</v>
      </c>
      <c r="C611" s="16" t="s">
        <v>4220</v>
      </c>
      <c r="D611" s="17" t="s">
        <v>861</v>
      </c>
      <c r="E611" s="16" t="s">
        <v>4221</v>
      </c>
      <c r="F611" s="17" t="s">
        <v>4222</v>
      </c>
      <c r="G611" s="3" t="s">
        <v>4223</v>
      </c>
      <c r="H611" s="6">
        <v>0</v>
      </c>
    </row>
    <row r="612" spans="1:8" ht="15.75" customHeight="1" x14ac:dyDescent="0.35">
      <c r="A612" s="15"/>
      <c r="B612" s="3" t="s">
        <v>4224</v>
      </c>
      <c r="C612" s="16" t="s">
        <v>4225</v>
      </c>
      <c r="D612" s="17" t="s">
        <v>861</v>
      </c>
      <c r="E612" s="16" t="s">
        <v>4226</v>
      </c>
      <c r="F612" s="17" t="s">
        <v>4227</v>
      </c>
      <c r="G612" s="3" t="s">
        <v>4228</v>
      </c>
      <c r="H612" s="6">
        <v>12356.688</v>
      </c>
    </row>
    <row r="613" spans="1:8" ht="15.75" customHeight="1" x14ac:dyDescent="0.35">
      <c r="A613" s="15"/>
      <c r="B613" s="3" t="s">
        <v>4229</v>
      </c>
      <c r="C613" s="16" t="s">
        <v>4230</v>
      </c>
      <c r="D613" s="17" t="s">
        <v>860</v>
      </c>
      <c r="E613" s="16" t="s">
        <v>4231</v>
      </c>
      <c r="F613" s="17" t="s">
        <v>4232</v>
      </c>
      <c r="G613" s="3" t="s">
        <v>3828</v>
      </c>
      <c r="H613" s="6">
        <v>9555.6319999999996</v>
      </c>
    </row>
    <row r="614" spans="1:8" ht="15.75" customHeight="1" x14ac:dyDescent="0.35">
      <c r="A614" s="15"/>
      <c r="B614" s="3" t="s">
        <v>4233</v>
      </c>
      <c r="C614" s="16" t="s">
        <v>4234</v>
      </c>
      <c r="D614" s="17" t="s">
        <v>860</v>
      </c>
      <c r="E614" s="16" t="s">
        <v>4235</v>
      </c>
      <c r="F614" s="17" t="s">
        <v>1463</v>
      </c>
      <c r="G614" s="3" t="s">
        <v>3464</v>
      </c>
      <c r="H614" s="6">
        <v>15332.544</v>
      </c>
    </row>
    <row r="615" spans="1:8" ht="15.75" customHeight="1" x14ac:dyDescent="0.35">
      <c r="A615" s="15"/>
      <c r="B615" s="3" t="s">
        <v>4236</v>
      </c>
      <c r="C615" s="16" t="s">
        <v>4237</v>
      </c>
      <c r="D615" s="17" t="s">
        <v>861</v>
      </c>
      <c r="E615" s="16" t="s">
        <v>4238</v>
      </c>
      <c r="F615" s="17" t="s">
        <v>4239</v>
      </c>
      <c r="G615" s="3" t="s">
        <v>4240</v>
      </c>
      <c r="H615" s="6">
        <v>14968.655999999999</v>
      </c>
    </row>
    <row r="616" spans="1:8" ht="15.75" customHeight="1" x14ac:dyDescent="0.35">
      <c r="A616" s="15"/>
      <c r="B616" s="3" t="s">
        <v>4241</v>
      </c>
      <c r="C616" s="16" t="s">
        <v>4242</v>
      </c>
      <c r="D616" s="17" t="s">
        <v>860</v>
      </c>
      <c r="E616" s="16" t="s">
        <v>4243</v>
      </c>
      <c r="F616" s="17" t="s">
        <v>4244</v>
      </c>
      <c r="G616" s="3" t="s">
        <v>4240</v>
      </c>
      <c r="H616" s="6">
        <v>9001.7440000000006</v>
      </c>
    </row>
    <row r="617" spans="1:8" ht="15.75" customHeight="1" x14ac:dyDescent="0.35">
      <c r="A617" s="15"/>
      <c r="B617" s="3" t="s">
        <v>4245</v>
      </c>
      <c r="C617" s="16" t="s">
        <v>4246</v>
      </c>
      <c r="D617" s="17" t="s">
        <v>860</v>
      </c>
      <c r="E617" s="16" t="s">
        <v>4247</v>
      </c>
      <c r="F617" s="17" t="s">
        <v>4248</v>
      </c>
      <c r="G617" s="3" t="s">
        <v>4240</v>
      </c>
      <c r="H617" s="6">
        <v>7635.8720000000003</v>
      </c>
    </row>
    <row r="618" spans="1:8" ht="15.75" customHeight="1" x14ac:dyDescent="0.35">
      <c r="A618" s="15"/>
      <c r="B618" s="3" t="s">
        <v>4249</v>
      </c>
      <c r="C618" s="16" t="s">
        <v>4250</v>
      </c>
      <c r="D618" s="17" t="s">
        <v>861</v>
      </c>
      <c r="E618" s="16" t="s">
        <v>4251</v>
      </c>
      <c r="F618" s="17" t="s">
        <v>4252</v>
      </c>
      <c r="G618" s="3" t="s">
        <v>4253</v>
      </c>
      <c r="H618" s="6">
        <v>11898.255999999999</v>
      </c>
    </row>
    <row r="619" spans="1:8" ht="15.75" customHeight="1" x14ac:dyDescent="0.35">
      <c r="A619" s="15"/>
      <c r="B619" s="3" t="s">
        <v>4254</v>
      </c>
      <c r="C619" s="16" t="s">
        <v>4255</v>
      </c>
      <c r="D619" s="17" t="s">
        <v>860</v>
      </c>
      <c r="E619" s="16" t="s">
        <v>4256</v>
      </c>
      <c r="F619" s="17" t="s">
        <v>4257</v>
      </c>
      <c r="G619" s="3" t="s">
        <v>4253</v>
      </c>
      <c r="H619" s="6">
        <v>9143.7119999999995</v>
      </c>
    </row>
    <row r="620" spans="1:8" ht="15.75" customHeight="1" x14ac:dyDescent="0.35">
      <c r="A620" s="15"/>
      <c r="B620" s="3" t="s">
        <v>4258</v>
      </c>
      <c r="C620" s="16" t="s">
        <v>4259</v>
      </c>
      <c r="D620" s="17" t="s">
        <v>861</v>
      </c>
      <c r="E620" s="16" t="s">
        <v>4260</v>
      </c>
      <c r="F620" s="17" t="s">
        <v>4261</v>
      </c>
      <c r="G620" s="3" t="s">
        <v>4262</v>
      </c>
      <c r="H620" s="6">
        <v>11454.111999999999</v>
      </c>
    </row>
    <row r="621" spans="1:8" ht="15.75" customHeight="1" x14ac:dyDescent="0.35">
      <c r="A621" s="15"/>
      <c r="B621" s="3" t="s">
        <v>4263</v>
      </c>
      <c r="C621" s="16" t="s">
        <v>4264</v>
      </c>
      <c r="D621" s="17" t="s">
        <v>861</v>
      </c>
      <c r="E621" s="16" t="s">
        <v>4265</v>
      </c>
      <c r="F621" s="17" t="s">
        <v>4266</v>
      </c>
      <c r="G621" s="3" t="s">
        <v>4262</v>
      </c>
      <c r="H621" s="6">
        <v>17818.351999999999</v>
      </c>
    </row>
    <row r="622" spans="1:8" ht="15.75" customHeight="1" x14ac:dyDescent="0.35">
      <c r="A622" s="15"/>
      <c r="B622" s="3" t="s">
        <v>4267</v>
      </c>
      <c r="C622" s="16" t="s">
        <v>4268</v>
      </c>
      <c r="D622" s="17" t="s">
        <v>861</v>
      </c>
      <c r="E622" s="16" t="s">
        <v>4269</v>
      </c>
      <c r="F622" s="17" t="s">
        <v>4270</v>
      </c>
      <c r="G622" s="3" t="s">
        <v>4271</v>
      </c>
      <c r="H622" s="6">
        <v>10181.567999999999</v>
      </c>
    </row>
    <row r="623" spans="1:8" ht="15.75" customHeight="1" x14ac:dyDescent="0.35">
      <c r="A623" s="15"/>
      <c r="B623" s="3" t="s">
        <v>4272</v>
      </c>
      <c r="C623" s="16" t="s">
        <v>4273</v>
      </c>
      <c r="D623" s="17" t="s">
        <v>860</v>
      </c>
      <c r="E623" s="16" t="s">
        <v>4274</v>
      </c>
      <c r="F623" s="17" t="s">
        <v>4275</v>
      </c>
      <c r="G623" s="3" t="s">
        <v>4271</v>
      </c>
      <c r="H623" s="6">
        <v>8848.2240000000002</v>
      </c>
    </row>
    <row r="624" spans="1:8" ht="15.75" customHeight="1" x14ac:dyDescent="0.35">
      <c r="A624" s="15"/>
      <c r="B624" s="3" t="s">
        <v>4276</v>
      </c>
      <c r="C624" s="16" t="s">
        <v>4277</v>
      </c>
      <c r="D624" s="17" t="s">
        <v>861</v>
      </c>
      <c r="E624" s="16" t="s">
        <v>4278</v>
      </c>
      <c r="F624" s="17" t="s">
        <v>4279</v>
      </c>
      <c r="G624" s="3" t="s">
        <v>4280</v>
      </c>
      <c r="H624" s="6">
        <v>8365.4719999999998</v>
      </c>
    </row>
    <row r="625" spans="1:8" ht="15.75" customHeight="1" x14ac:dyDescent="0.35">
      <c r="A625" s="15"/>
      <c r="B625" s="3" t="s">
        <v>4281</v>
      </c>
      <c r="C625" s="16" t="s">
        <v>4282</v>
      </c>
      <c r="D625" s="17" t="s">
        <v>861</v>
      </c>
      <c r="E625" s="16" t="s">
        <v>4283</v>
      </c>
      <c r="F625" s="17" t="s">
        <v>1626</v>
      </c>
      <c r="G625" s="3" t="s">
        <v>4280</v>
      </c>
      <c r="H625" s="6">
        <v>9816.4639999999999</v>
      </c>
    </row>
    <row r="626" spans="1:8" ht="15.75" customHeight="1" x14ac:dyDescent="0.35">
      <c r="A626" s="15"/>
      <c r="B626" s="3" t="s">
        <v>4284</v>
      </c>
      <c r="C626" s="16" t="s">
        <v>4285</v>
      </c>
      <c r="D626" s="17" t="s">
        <v>861</v>
      </c>
      <c r="E626" s="16" t="s">
        <v>4286</v>
      </c>
      <c r="F626" s="17" t="s">
        <v>4287</v>
      </c>
      <c r="G626" s="3" t="s">
        <v>4288</v>
      </c>
      <c r="H626" s="6">
        <v>15887.039999999999</v>
      </c>
    </row>
    <row r="627" spans="1:8" ht="15.75" customHeight="1" x14ac:dyDescent="0.35">
      <c r="A627" s="15"/>
      <c r="B627" s="3" t="s">
        <v>4289</v>
      </c>
      <c r="C627" s="16" t="s">
        <v>4290</v>
      </c>
      <c r="D627" s="17" t="s">
        <v>860</v>
      </c>
      <c r="E627" s="16" t="s">
        <v>4291</v>
      </c>
      <c r="F627" s="17" t="s">
        <v>4292</v>
      </c>
      <c r="G627" s="3" t="s">
        <v>4280</v>
      </c>
      <c r="H627" s="6">
        <v>19980.399999999998</v>
      </c>
    </row>
    <row r="628" spans="1:8" ht="15.75" customHeight="1" x14ac:dyDescent="0.35">
      <c r="A628" s="15"/>
      <c r="B628" s="3" t="s">
        <v>4293</v>
      </c>
      <c r="C628" s="16" t="s">
        <v>4294</v>
      </c>
      <c r="D628" s="17" t="s">
        <v>861</v>
      </c>
      <c r="E628" s="16" t="s">
        <v>4295</v>
      </c>
      <c r="F628" s="17" t="s">
        <v>4296</v>
      </c>
      <c r="G628" s="3" t="s">
        <v>4280</v>
      </c>
      <c r="H628" s="6">
        <v>13072.607999999998</v>
      </c>
    </row>
    <row r="629" spans="1:8" ht="15.75" customHeight="1" x14ac:dyDescent="0.35">
      <c r="A629" s="15"/>
      <c r="B629" s="3" t="s">
        <v>4297</v>
      </c>
      <c r="C629" s="16" t="s">
        <v>4298</v>
      </c>
      <c r="D629" s="17" t="s">
        <v>861</v>
      </c>
      <c r="E629" s="16" t="s">
        <v>4299</v>
      </c>
      <c r="F629" s="17" t="s">
        <v>1423</v>
      </c>
      <c r="G629" s="3" t="s">
        <v>3832</v>
      </c>
      <c r="H629" s="6">
        <v>5610.32</v>
      </c>
    </row>
    <row r="630" spans="1:8" ht="15.75" customHeight="1" x14ac:dyDescent="0.35">
      <c r="A630" s="15"/>
      <c r="B630" s="3" t="s">
        <v>4300</v>
      </c>
      <c r="C630" s="16" t="s">
        <v>4301</v>
      </c>
      <c r="D630" s="17" t="s">
        <v>861</v>
      </c>
      <c r="E630" s="16" t="s">
        <v>4302</v>
      </c>
      <c r="F630" s="17" t="s">
        <v>4303</v>
      </c>
      <c r="G630" s="3" t="s">
        <v>3832</v>
      </c>
      <c r="H630" s="6">
        <v>7599.3919999999989</v>
      </c>
    </row>
    <row r="631" spans="1:8" ht="15.75" customHeight="1" x14ac:dyDescent="0.35">
      <c r="A631" s="15"/>
      <c r="B631" s="3" t="s">
        <v>4304</v>
      </c>
      <c r="C631" s="16" t="s">
        <v>4305</v>
      </c>
      <c r="D631" s="17" t="s">
        <v>861</v>
      </c>
      <c r="E631" s="16" t="s">
        <v>4306</v>
      </c>
      <c r="F631" s="17" t="s">
        <v>4307</v>
      </c>
      <c r="G631" s="3" t="s">
        <v>3832</v>
      </c>
      <c r="H631" s="6">
        <v>7872.3839999999991</v>
      </c>
    </row>
    <row r="632" spans="1:8" ht="15.75" customHeight="1" x14ac:dyDescent="0.35">
      <c r="A632" s="15"/>
      <c r="B632" s="3" t="s">
        <v>4308</v>
      </c>
      <c r="C632" s="16" t="s">
        <v>4309</v>
      </c>
      <c r="D632" s="17" t="s">
        <v>861</v>
      </c>
      <c r="E632" s="16" t="s">
        <v>4310</v>
      </c>
      <c r="F632" s="17" t="s">
        <v>4311</v>
      </c>
      <c r="G632" s="3" t="s">
        <v>4312</v>
      </c>
      <c r="H632" s="6">
        <v>7254.96</v>
      </c>
    </row>
    <row r="633" spans="1:8" ht="15.75" customHeight="1" x14ac:dyDescent="0.35">
      <c r="A633" s="15"/>
      <c r="B633" s="3" t="s">
        <v>4313</v>
      </c>
      <c r="C633" s="16" t="s">
        <v>4314</v>
      </c>
      <c r="D633" s="17" t="s">
        <v>861</v>
      </c>
      <c r="E633" s="16" t="s">
        <v>4315</v>
      </c>
      <c r="F633" s="17" t="s">
        <v>1586</v>
      </c>
      <c r="G633" s="3" t="s">
        <v>4316</v>
      </c>
      <c r="H633" s="6">
        <v>7862.0479999999998</v>
      </c>
    </row>
    <row r="634" spans="1:8" ht="15.75" customHeight="1" x14ac:dyDescent="0.35">
      <c r="A634" s="15"/>
      <c r="B634" s="3" t="s">
        <v>4317</v>
      </c>
      <c r="C634" s="16" t="s">
        <v>4318</v>
      </c>
      <c r="D634" s="17" t="s">
        <v>861</v>
      </c>
      <c r="E634" s="16" t="s">
        <v>4319</v>
      </c>
      <c r="F634" s="17" t="s">
        <v>4320</v>
      </c>
      <c r="G634" s="3" t="s">
        <v>4321</v>
      </c>
      <c r="H634" s="6">
        <v>11343.455999999998</v>
      </c>
    </row>
    <row r="635" spans="1:8" ht="15.75" customHeight="1" x14ac:dyDescent="0.35">
      <c r="A635" s="15"/>
      <c r="B635" s="3" t="s">
        <v>4322</v>
      </c>
      <c r="C635" s="16" t="s">
        <v>4323</v>
      </c>
      <c r="D635" s="17" t="s">
        <v>861</v>
      </c>
      <c r="E635" s="16" t="s">
        <v>4324</v>
      </c>
      <c r="F635" s="17" t="s">
        <v>4325</v>
      </c>
      <c r="G635" s="3" t="s">
        <v>4326</v>
      </c>
      <c r="H635" s="6">
        <v>39599.952000000005</v>
      </c>
    </row>
    <row r="636" spans="1:8" ht="15.75" customHeight="1" x14ac:dyDescent="0.35">
      <c r="A636" s="15"/>
      <c r="B636" s="3" t="s">
        <v>4327</v>
      </c>
      <c r="C636" s="16" t="s">
        <v>4328</v>
      </c>
      <c r="D636" s="17" t="s">
        <v>861</v>
      </c>
      <c r="E636" s="16" t="s">
        <v>4329</v>
      </c>
      <c r="F636" s="17" t="s">
        <v>4330</v>
      </c>
      <c r="G636" s="3" t="s">
        <v>4331</v>
      </c>
      <c r="H636" s="6">
        <v>19477.28</v>
      </c>
    </row>
    <row r="637" spans="1:8" ht="15.75" customHeight="1" x14ac:dyDescent="0.35">
      <c r="A637" s="15"/>
      <c r="B637" s="3" t="s">
        <v>4332</v>
      </c>
      <c r="C637" s="16" t="s">
        <v>4333</v>
      </c>
      <c r="D637" s="17" t="s">
        <v>861</v>
      </c>
      <c r="E637" s="16" t="s">
        <v>4334</v>
      </c>
      <c r="F637" s="17" t="s">
        <v>4335</v>
      </c>
      <c r="G637" s="3" t="s">
        <v>4336</v>
      </c>
      <c r="H637" s="6">
        <v>5610.32</v>
      </c>
    </row>
    <row r="638" spans="1:8" ht="15.75" customHeight="1" x14ac:dyDescent="0.35">
      <c r="A638" s="15"/>
      <c r="B638" s="3" t="s">
        <v>4337</v>
      </c>
      <c r="C638" s="16" t="s">
        <v>4338</v>
      </c>
      <c r="D638" s="17" t="s">
        <v>861</v>
      </c>
      <c r="E638" s="16" t="s">
        <v>4339</v>
      </c>
      <c r="F638" s="17" t="s">
        <v>4340</v>
      </c>
      <c r="G638" s="3" t="s">
        <v>4336</v>
      </c>
      <c r="H638" s="6">
        <v>7954.1599999999989</v>
      </c>
    </row>
    <row r="639" spans="1:8" ht="15.75" customHeight="1" x14ac:dyDescent="0.35">
      <c r="A639" s="15"/>
      <c r="B639" s="3" t="s">
        <v>4341</v>
      </c>
      <c r="C639" s="16" t="s">
        <v>4342</v>
      </c>
      <c r="D639" s="17" t="s">
        <v>861</v>
      </c>
      <c r="E639" s="16" t="s">
        <v>4343</v>
      </c>
      <c r="F639" s="17" t="s">
        <v>1653</v>
      </c>
      <c r="G639" s="3" t="s">
        <v>4344</v>
      </c>
      <c r="H639" s="6">
        <v>7869.3440000000001</v>
      </c>
    </row>
    <row r="640" spans="1:8" ht="15.75" customHeight="1" x14ac:dyDescent="0.35">
      <c r="A640" s="15"/>
      <c r="B640" s="3" t="s">
        <v>4345</v>
      </c>
      <c r="C640" s="16" t="s">
        <v>4346</v>
      </c>
      <c r="D640" s="17" t="s">
        <v>860</v>
      </c>
      <c r="E640" s="16" t="s">
        <v>4347</v>
      </c>
      <c r="F640" s="17" t="s">
        <v>4348</v>
      </c>
      <c r="G640" s="3" t="s">
        <v>4349</v>
      </c>
      <c r="H640" s="6">
        <v>5977.8559999999989</v>
      </c>
    </row>
    <row r="641" spans="1:8" ht="15.75" customHeight="1" x14ac:dyDescent="0.35">
      <c r="A641" s="15"/>
      <c r="B641" s="3" t="s">
        <v>4350</v>
      </c>
      <c r="C641" s="16" t="s">
        <v>4351</v>
      </c>
      <c r="D641" s="17" t="s">
        <v>860</v>
      </c>
      <c r="E641" s="16" t="s">
        <v>4352</v>
      </c>
      <c r="F641" s="17" t="s">
        <v>4292</v>
      </c>
      <c r="G641" s="3" t="s">
        <v>4353</v>
      </c>
      <c r="H641" s="6">
        <v>11454.111999999999</v>
      </c>
    </row>
    <row r="642" spans="1:8" ht="15.75" customHeight="1" x14ac:dyDescent="0.35">
      <c r="A642" s="15"/>
      <c r="B642" s="3" t="s">
        <v>4354</v>
      </c>
      <c r="C642" s="16" t="s">
        <v>4355</v>
      </c>
      <c r="D642" s="17" t="s">
        <v>861</v>
      </c>
      <c r="E642" s="16" t="s">
        <v>4356</v>
      </c>
      <c r="F642" s="17" t="s">
        <v>1280</v>
      </c>
      <c r="G642" s="3" t="s">
        <v>4353</v>
      </c>
      <c r="H642" s="6">
        <v>38187.872000000003</v>
      </c>
    </row>
    <row r="643" spans="1:8" ht="15.75" customHeight="1" x14ac:dyDescent="0.35">
      <c r="A643" s="15"/>
      <c r="B643" s="3" t="s">
        <v>4357</v>
      </c>
      <c r="C643" s="16" t="s">
        <v>4358</v>
      </c>
      <c r="D643" s="17" t="s">
        <v>861</v>
      </c>
      <c r="E643" s="16" t="s">
        <v>4359</v>
      </c>
      <c r="F643" s="17" t="s">
        <v>4360</v>
      </c>
      <c r="G643" s="3" t="s">
        <v>4361</v>
      </c>
      <c r="H643" s="6">
        <v>18335.455999999998</v>
      </c>
    </row>
    <row r="644" spans="1:8" ht="15.75" customHeight="1" x14ac:dyDescent="0.35">
      <c r="A644" s="15"/>
      <c r="B644" s="3" t="s">
        <v>4362</v>
      </c>
      <c r="C644" s="16" t="s">
        <v>4363</v>
      </c>
      <c r="D644" s="17" t="s">
        <v>861</v>
      </c>
      <c r="E644" s="16" t="s">
        <v>4364</v>
      </c>
      <c r="F644" s="17" t="s">
        <v>4365</v>
      </c>
      <c r="G644" s="3" t="s">
        <v>4366</v>
      </c>
      <c r="H644" s="6">
        <v>7886.3680000000004</v>
      </c>
    </row>
    <row r="645" spans="1:8" ht="15.75" customHeight="1" x14ac:dyDescent="0.35">
      <c r="A645" s="15"/>
      <c r="B645" s="3" t="s">
        <v>4367</v>
      </c>
      <c r="C645" s="16" t="s">
        <v>4368</v>
      </c>
      <c r="D645" s="17" t="s">
        <v>860</v>
      </c>
      <c r="E645" s="16" t="s">
        <v>4369</v>
      </c>
      <c r="F645" s="17" t="s">
        <v>4370</v>
      </c>
      <c r="G645" s="3" t="s">
        <v>4371</v>
      </c>
      <c r="H645" s="6">
        <v>11454.111999999999</v>
      </c>
    </row>
    <row r="646" spans="1:8" ht="15.75" customHeight="1" x14ac:dyDescent="0.35">
      <c r="A646" s="15"/>
      <c r="B646" s="3" t="s">
        <v>4372</v>
      </c>
      <c r="C646" s="16" t="s">
        <v>4373</v>
      </c>
      <c r="D646" s="17" t="s">
        <v>860</v>
      </c>
      <c r="E646" s="16" t="s">
        <v>4374</v>
      </c>
      <c r="F646" s="17" t="s">
        <v>4375</v>
      </c>
      <c r="G646" s="3" t="s">
        <v>4376</v>
      </c>
      <c r="H646" s="6">
        <v>5930.4319999999998</v>
      </c>
    </row>
    <row r="647" spans="1:8" ht="15.75" customHeight="1" x14ac:dyDescent="0.35">
      <c r="A647" s="15"/>
      <c r="B647" s="3" t="s">
        <v>4377</v>
      </c>
      <c r="C647" s="16" t="s">
        <v>4378</v>
      </c>
      <c r="D647" s="17" t="s">
        <v>860</v>
      </c>
      <c r="E647" s="16" t="s">
        <v>4379</v>
      </c>
      <c r="F647" s="17" t="s">
        <v>4380</v>
      </c>
      <c r="G647" s="3" t="s">
        <v>4376</v>
      </c>
      <c r="H647" s="6">
        <v>8590.4319999999989</v>
      </c>
    </row>
    <row r="648" spans="1:8" ht="15.75" customHeight="1" x14ac:dyDescent="0.35">
      <c r="A648" s="15"/>
      <c r="B648" s="3" t="s">
        <v>4381</v>
      </c>
      <c r="C648" s="16" t="s">
        <v>4382</v>
      </c>
      <c r="D648" s="17" t="s">
        <v>861</v>
      </c>
      <c r="E648" s="16" t="s">
        <v>4383</v>
      </c>
      <c r="F648" s="17" t="s">
        <v>4384</v>
      </c>
      <c r="G648" s="3" t="s">
        <v>4385</v>
      </c>
      <c r="H648" s="6">
        <v>7446.1759999999995</v>
      </c>
    </row>
    <row r="649" spans="1:8" ht="15.75" customHeight="1" x14ac:dyDescent="0.35">
      <c r="A649" s="15"/>
      <c r="B649" s="3" t="s">
        <v>4386</v>
      </c>
      <c r="C649" s="16" t="s">
        <v>4387</v>
      </c>
      <c r="D649" s="17" t="s">
        <v>860</v>
      </c>
      <c r="E649" s="16" t="s">
        <v>4388</v>
      </c>
      <c r="F649" s="17" t="s">
        <v>4389</v>
      </c>
      <c r="G649" s="3" t="s">
        <v>4390</v>
      </c>
      <c r="H649" s="6">
        <v>13656.592000000001</v>
      </c>
    </row>
    <row r="650" spans="1:8" ht="15.75" customHeight="1" x14ac:dyDescent="0.35">
      <c r="A650" s="15"/>
      <c r="B650" s="3" t="s">
        <v>4391</v>
      </c>
      <c r="C650" s="16" t="s">
        <v>4392</v>
      </c>
      <c r="D650" s="17" t="s">
        <v>861</v>
      </c>
      <c r="E650" s="16" t="s">
        <v>4393</v>
      </c>
      <c r="F650" s="17" t="s">
        <v>4394</v>
      </c>
      <c r="G650" s="3" t="s">
        <v>4395</v>
      </c>
      <c r="H650" s="6">
        <v>13768.768</v>
      </c>
    </row>
    <row r="651" spans="1:8" ht="15.75" customHeight="1" x14ac:dyDescent="0.35">
      <c r="A651" s="15"/>
      <c r="B651" s="3" t="s">
        <v>4396</v>
      </c>
      <c r="C651" s="16" t="s">
        <v>4397</v>
      </c>
      <c r="D651" s="17" t="s">
        <v>861</v>
      </c>
      <c r="E651" s="16" t="s">
        <v>4398</v>
      </c>
      <c r="F651" s="17" t="s">
        <v>4399</v>
      </c>
      <c r="G651" s="3" t="s">
        <v>4395</v>
      </c>
      <c r="H651" s="6">
        <v>6583.424</v>
      </c>
    </row>
    <row r="652" spans="1:8" ht="15.75" customHeight="1" x14ac:dyDescent="0.35">
      <c r="A652" s="15"/>
      <c r="B652" s="3" t="s">
        <v>4400</v>
      </c>
      <c r="C652" s="16" t="s">
        <v>4401</v>
      </c>
      <c r="D652" s="17" t="s">
        <v>860</v>
      </c>
      <c r="E652" s="16" t="s">
        <v>4402</v>
      </c>
      <c r="F652" s="17" t="s">
        <v>4403</v>
      </c>
      <c r="G652" s="3" t="s">
        <v>4395</v>
      </c>
      <c r="H652" s="6">
        <v>10757.951999999999</v>
      </c>
    </row>
    <row r="653" spans="1:8" ht="15.75" customHeight="1" x14ac:dyDescent="0.35">
      <c r="A653" s="15"/>
      <c r="B653" s="3" t="s">
        <v>4404</v>
      </c>
      <c r="C653" s="16" t="s">
        <v>4405</v>
      </c>
      <c r="D653" s="17" t="s">
        <v>861</v>
      </c>
      <c r="E653" s="16" t="s">
        <v>4406</v>
      </c>
      <c r="F653" s="17" t="s">
        <v>4407</v>
      </c>
      <c r="G653" s="3" t="s">
        <v>3796</v>
      </c>
      <c r="H653" s="6">
        <v>9574.48</v>
      </c>
    </row>
    <row r="654" spans="1:8" ht="15.75" customHeight="1" x14ac:dyDescent="0.35">
      <c r="A654" s="15"/>
      <c r="B654" s="3" t="s">
        <v>4408</v>
      </c>
      <c r="C654" s="16" t="s">
        <v>4409</v>
      </c>
      <c r="D654" s="17" t="s">
        <v>861</v>
      </c>
      <c r="E654" s="16" t="s">
        <v>4410</v>
      </c>
      <c r="F654" s="17" t="s">
        <v>4411</v>
      </c>
      <c r="G654" s="3" t="s">
        <v>3796</v>
      </c>
      <c r="H654" s="6">
        <v>8007.0559999999996</v>
      </c>
    </row>
    <row r="655" spans="1:8" ht="15.75" customHeight="1" x14ac:dyDescent="0.35">
      <c r="A655" s="15"/>
      <c r="B655" s="3" t="s">
        <v>4412</v>
      </c>
      <c r="C655" s="16" t="s">
        <v>4413</v>
      </c>
      <c r="D655" s="17" t="s">
        <v>861</v>
      </c>
      <c r="E655" s="16" t="s">
        <v>4414</v>
      </c>
      <c r="F655" s="17" t="s">
        <v>4415</v>
      </c>
      <c r="G655" s="3" t="s">
        <v>4416</v>
      </c>
      <c r="H655" s="6">
        <v>7437.6639999999998</v>
      </c>
    </row>
    <row r="656" spans="1:8" ht="15.75" customHeight="1" x14ac:dyDescent="0.35">
      <c r="A656" s="15"/>
      <c r="B656" s="3" t="s">
        <v>4417</v>
      </c>
      <c r="C656" s="16" t="s">
        <v>4418</v>
      </c>
      <c r="D656" s="17" t="s">
        <v>860</v>
      </c>
      <c r="E656" s="16" t="s">
        <v>4419</v>
      </c>
      <c r="F656" s="17" t="s">
        <v>4420</v>
      </c>
      <c r="G656" s="3" t="s">
        <v>3880</v>
      </c>
      <c r="H656" s="6">
        <v>11139.168</v>
      </c>
    </row>
    <row r="657" spans="1:8" ht="15.75" customHeight="1" x14ac:dyDescent="0.35">
      <c r="A657" s="15"/>
      <c r="B657" s="3" t="s">
        <v>4421</v>
      </c>
      <c r="C657" s="16" t="s">
        <v>4422</v>
      </c>
      <c r="D657" s="17" t="s">
        <v>861</v>
      </c>
      <c r="E657" s="16" t="s">
        <v>4423</v>
      </c>
      <c r="F657" s="17" t="s">
        <v>4424</v>
      </c>
      <c r="G657" s="3" t="s">
        <v>3880</v>
      </c>
      <c r="H657" s="6">
        <v>5602.72</v>
      </c>
    </row>
    <row r="658" spans="1:8" ht="15.75" customHeight="1" x14ac:dyDescent="0.35">
      <c r="A658" s="15"/>
      <c r="B658" s="3" t="s">
        <v>4425</v>
      </c>
      <c r="C658" s="16" t="s">
        <v>4426</v>
      </c>
      <c r="D658" s="17" t="s">
        <v>861</v>
      </c>
      <c r="E658" s="16" t="s">
        <v>4427</v>
      </c>
      <c r="F658" s="17" t="s">
        <v>4428</v>
      </c>
      <c r="G658" s="3" t="s">
        <v>3880</v>
      </c>
      <c r="H658" s="6">
        <v>10101.92</v>
      </c>
    </row>
    <row r="659" spans="1:8" ht="15.75" customHeight="1" x14ac:dyDescent="0.35">
      <c r="A659" s="15"/>
      <c r="B659" s="3" t="s">
        <v>4429</v>
      </c>
      <c r="C659" s="16" t="s">
        <v>4430</v>
      </c>
      <c r="D659" s="17" t="s">
        <v>861</v>
      </c>
      <c r="E659" s="16" t="s">
        <v>4431</v>
      </c>
      <c r="F659" s="17" t="s">
        <v>4432</v>
      </c>
      <c r="G659" s="3" t="s">
        <v>4433</v>
      </c>
      <c r="H659" s="6">
        <v>13217.92</v>
      </c>
    </row>
    <row r="660" spans="1:8" ht="15.75" customHeight="1" x14ac:dyDescent="0.35">
      <c r="A660" s="15"/>
      <c r="B660" s="3" t="s">
        <v>4434</v>
      </c>
      <c r="C660" s="16" t="s">
        <v>4435</v>
      </c>
      <c r="D660" s="17" t="s">
        <v>860</v>
      </c>
      <c r="E660" s="16" t="s">
        <v>4436</v>
      </c>
      <c r="F660" s="17" t="s">
        <v>4437</v>
      </c>
      <c r="G660" s="3" t="s">
        <v>3739</v>
      </c>
      <c r="H660" s="6">
        <v>11438.607999999998</v>
      </c>
    </row>
    <row r="661" spans="1:8" ht="15.75" customHeight="1" x14ac:dyDescent="0.35">
      <c r="A661" s="15"/>
      <c r="B661" s="3" t="s">
        <v>4438</v>
      </c>
      <c r="C661" s="16" t="s">
        <v>4439</v>
      </c>
      <c r="D661" s="17" t="s">
        <v>861</v>
      </c>
      <c r="E661" s="16" t="s">
        <v>4440</v>
      </c>
      <c r="F661" s="17" t="s">
        <v>962</v>
      </c>
      <c r="G661" s="3" t="s">
        <v>4441</v>
      </c>
      <c r="H661" s="6">
        <v>9623.1200000000008</v>
      </c>
    </row>
    <row r="662" spans="1:8" ht="15.75" customHeight="1" x14ac:dyDescent="0.35">
      <c r="A662" s="15"/>
      <c r="B662" s="3" t="s">
        <v>4442</v>
      </c>
      <c r="C662" s="16" t="s">
        <v>4443</v>
      </c>
      <c r="D662" s="17" t="s">
        <v>860</v>
      </c>
      <c r="E662" s="16" t="s">
        <v>4444</v>
      </c>
      <c r="F662" s="17" t="s">
        <v>1499</v>
      </c>
      <c r="G662" s="3" t="s">
        <v>4445</v>
      </c>
      <c r="H662" s="6">
        <v>11650.495999999999</v>
      </c>
    </row>
    <row r="663" spans="1:8" ht="15.75" customHeight="1" x14ac:dyDescent="0.35">
      <c r="A663" s="15"/>
      <c r="B663" s="3" t="s">
        <v>4446</v>
      </c>
      <c r="C663" s="16" t="s">
        <v>4447</v>
      </c>
      <c r="D663" s="17" t="s">
        <v>860</v>
      </c>
      <c r="E663" s="16" t="s">
        <v>4448</v>
      </c>
      <c r="F663" s="17" t="s">
        <v>4449</v>
      </c>
      <c r="G663" s="3" t="s">
        <v>4001</v>
      </c>
      <c r="H663" s="6">
        <v>12059.376</v>
      </c>
    </row>
    <row r="664" spans="1:8" ht="15.75" customHeight="1" x14ac:dyDescent="0.35">
      <c r="A664" s="15"/>
      <c r="B664" s="3" t="s">
        <v>4450</v>
      </c>
      <c r="C664" s="16" t="s">
        <v>4451</v>
      </c>
      <c r="D664" s="17" t="s">
        <v>860</v>
      </c>
      <c r="E664" s="16" t="s">
        <v>4452</v>
      </c>
      <c r="F664" s="17" t="s">
        <v>4453</v>
      </c>
      <c r="G664" s="3" t="s">
        <v>4001</v>
      </c>
      <c r="H664" s="6">
        <v>18330.592000000001</v>
      </c>
    </row>
    <row r="665" spans="1:8" ht="15.75" customHeight="1" x14ac:dyDescent="0.35">
      <c r="A665" s="15"/>
      <c r="B665" s="3" t="s">
        <v>4454</v>
      </c>
      <c r="C665" s="16" t="s">
        <v>4455</v>
      </c>
      <c r="D665" s="17" t="s">
        <v>861</v>
      </c>
      <c r="E665" s="16" t="s">
        <v>4456</v>
      </c>
      <c r="F665" s="17" t="s">
        <v>4457</v>
      </c>
      <c r="G665" s="3" t="s">
        <v>4001</v>
      </c>
      <c r="H665" s="6">
        <v>6848.2079999999996</v>
      </c>
    </row>
    <row r="666" spans="1:8" ht="15.75" customHeight="1" x14ac:dyDescent="0.35">
      <c r="A666" s="15"/>
      <c r="B666" s="3" t="s">
        <v>4458</v>
      </c>
      <c r="C666" s="16" t="s">
        <v>4459</v>
      </c>
      <c r="D666" s="17" t="s">
        <v>860</v>
      </c>
      <c r="E666" s="16" t="s">
        <v>4460</v>
      </c>
      <c r="F666" s="17" t="s">
        <v>4461</v>
      </c>
      <c r="G666" s="3" t="s">
        <v>4462</v>
      </c>
      <c r="H666" s="6">
        <v>11804.928</v>
      </c>
    </row>
    <row r="667" spans="1:8" ht="15.75" customHeight="1" x14ac:dyDescent="0.35">
      <c r="A667" s="15"/>
      <c r="B667" s="3" t="s">
        <v>4463</v>
      </c>
      <c r="C667" s="16" t="s">
        <v>4464</v>
      </c>
      <c r="D667" s="17" t="s">
        <v>860</v>
      </c>
      <c r="E667" s="16" t="s">
        <v>4465</v>
      </c>
      <c r="F667" s="17" t="s">
        <v>4466</v>
      </c>
      <c r="G667" s="3" t="s">
        <v>4467</v>
      </c>
      <c r="H667" s="6">
        <v>7862.0479999999998</v>
      </c>
    </row>
    <row r="668" spans="1:8" ht="15.75" customHeight="1" x14ac:dyDescent="0.35">
      <c r="A668" s="15"/>
      <c r="B668" s="3" t="s">
        <v>4468</v>
      </c>
      <c r="C668" s="16" t="s">
        <v>4469</v>
      </c>
      <c r="D668" s="17" t="s">
        <v>861</v>
      </c>
      <c r="E668" s="16" t="s">
        <v>4470</v>
      </c>
      <c r="F668" s="17" t="s">
        <v>4471</v>
      </c>
      <c r="G668" s="3" t="s">
        <v>3439</v>
      </c>
      <c r="H668" s="6">
        <v>18433.648000000001</v>
      </c>
    </row>
    <row r="669" spans="1:8" ht="15.75" customHeight="1" x14ac:dyDescent="0.35">
      <c r="A669" s="15"/>
      <c r="B669" s="3" t="s">
        <v>4472</v>
      </c>
      <c r="C669" s="16" t="s">
        <v>4473</v>
      </c>
      <c r="D669" s="17" t="s">
        <v>861</v>
      </c>
      <c r="E669" s="16" t="s">
        <v>4474</v>
      </c>
      <c r="F669" s="17" t="s">
        <v>4475</v>
      </c>
      <c r="G669" s="3" t="s">
        <v>3803</v>
      </c>
      <c r="H669" s="6">
        <v>21182.719999999998</v>
      </c>
    </row>
    <row r="670" spans="1:8" ht="15.75" customHeight="1" x14ac:dyDescent="0.35">
      <c r="A670" s="15"/>
      <c r="B670" s="3" t="s">
        <v>4476</v>
      </c>
      <c r="C670" s="16" t="s">
        <v>4477</v>
      </c>
      <c r="D670" s="17" t="s">
        <v>861</v>
      </c>
      <c r="E670" s="16" t="s">
        <v>4478</v>
      </c>
      <c r="F670" s="17" t="s">
        <v>4479</v>
      </c>
      <c r="G670" s="3" t="s">
        <v>3803</v>
      </c>
      <c r="H670" s="6">
        <v>5602.72</v>
      </c>
    </row>
    <row r="671" spans="1:8" ht="15.75" customHeight="1" x14ac:dyDescent="0.35">
      <c r="A671" s="15"/>
      <c r="B671" s="3" t="s">
        <v>4480</v>
      </c>
      <c r="C671" s="16" t="s">
        <v>4481</v>
      </c>
      <c r="D671" s="17" t="s">
        <v>861</v>
      </c>
      <c r="E671" s="16" t="s">
        <v>4482</v>
      </c>
      <c r="F671" s="17" t="s">
        <v>4483</v>
      </c>
      <c r="G671" s="3" t="s">
        <v>4484</v>
      </c>
      <c r="H671" s="6">
        <v>14727.888000000001</v>
      </c>
    </row>
    <row r="672" spans="1:8" ht="15.75" customHeight="1" x14ac:dyDescent="0.35">
      <c r="A672" s="15"/>
      <c r="B672" s="3" t="s">
        <v>4485</v>
      </c>
      <c r="C672" s="16" t="s">
        <v>4486</v>
      </c>
      <c r="D672" s="17" t="s">
        <v>861</v>
      </c>
      <c r="E672" s="16" t="s">
        <v>4487</v>
      </c>
      <c r="F672" s="17" t="s">
        <v>4488</v>
      </c>
      <c r="G672" s="3" t="s">
        <v>4489</v>
      </c>
      <c r="H672" s="6">
        <v>90323.118079999986</v>
      </c>
    </row>
    <row r="673" spans="1:8" ht="15.75" customHeight="1" x14ac:dyDescent="0.35">
      <c r="A673" s="15"/>
      <c r="B673" s="3" t="s">
        <v>4490</v>
      </c>
      <c r="C673" s="16" t="s">
        <v>4491</v>
      </c>
      <c r="D673" s="17" t="s">
        <v>861</v>
      </c>
      <c r="E673" s="16" t="s">
        <v>4492</v>
      </c>
      <c r="F673" s="17" t="s">
        <v>4493</v>
      </c>
      <c r="G673" s="3" t="s">
        <v>4494</v>
      </c>
      <c r="H673" s="6">
        <v>7743.4879999999994</v>
      </c>
    </row>
    <row r="674" spans="1:8" ht="15.75" customHeight="1" x14ac:dyDescent="0.35">
      <c r="A674" s="15"/>
      <c r="B674" s="3" t="s">
        <v>4495</v>
      </c>
      <c r="C674" s="16" t="s">
        <v>4496</v>
      </c>
      <c r="D674" s="17" t="s">
        <v>860</v>
      </c>
      <c r="E674" s="16" t="s">
        <v>4497</v>
      </c>
      <c r="F674" s="17" t="s">
        <v>4498</v>
      </c>
      <c r="G674" s="3" t="s">
        <v>4499</v>
      </c>
      <c r="H674" s="6">
        <v>7880.2880000000005</v>
      </c>
    </row>
    <row r="675" spans="1:8" ht="15.75" customHeight="1" x14ac:dyDescent="0.35">
      <c r="A675" s="15"/>
      <c r="B675" s="3" t="s">
        <v>4500</v>
      </c>
      <c r="C675" s="16" t="s">
        <v>4501</v>
      </c>
      <c r="D675" s="17" t="s">
        <v>861</v>
      </c>
      <c r="E675" s="16" t="s">
        <v>4502</v>
      </c>
      <c r="F675" s="17" t="s">
        <v>4503</v>
      </c>
      <c r="G675" s="3" t="s">
        <v>3952</v>
      </c>
      <c r="H675" s="6">
        <v>7077.12</v>
      </c>
    </row>
    <row r="676" spans="1:8" ht="15.75" customHeight="1" x14ac:dyDescent="0.35">
      <c r="A676" s="15"/>
      <c r="B676" s="3" t="s">
        <v>4504</v>
      </c>
      <c r="C676" s="16" t="s">
        <v>4505</v>
      </c>
      <c r="D676" s="17" t="s">
        <v>861</v>
      </c>
      <c r="E676" s="16" t="s">
        <v>4506</v>
      </c>
      <c r="F676" s="17" t="s">
        <v>4507</v>
      </c>
      <c r="G676" s="3" t="s">
        <v>4494</v>
      </c>
      <c r="H676" s="6">
        <v>10506.24</v>
      </c>
    </row>
    <row r="677" spans="1:8" ht="15.75" customHeight="1" x14ac:dyDescent="0.35">
      <c r="A677" s="15"/>
      <c r="B677" s="3" t="s">
        <v>4508</v>
      </c>
      <c r="C677" s="16" t="s">
        <v>4509</v>
      </c>
      <c r="D677" s="17" t="s">
        <v>860</v>
      </c>
      <c r="E677" s="16" t="s">
        <v>4510</v>
      </c>
      <c r="F677" s="17" t="s">
        <v>4511</v>
      </c>
      <c r="G677" s="3" t="s">
        <v>4494</v>
      </c>
      <c r="H677" s="6">
        <v>70347.728000000003</v>
      </c>
    </row>
    <row r="678" spans="1:8" ht="15.75" customHeight="1" x14ac:dyDescent="0.35">
      <c r="A678" s="15"/>
      <c r="B678" s="3" t="s">
        <v>4512</v>
      </c>
      <c r="C678" s="16" t="s">
        <v>4513</v>
      </c>
      <c r="D678" s="17" t="s">
        <v>860</v>
      </c>
      <c r="E678" s="16" t="s">
        <v>4514</v>
      </c>
      <c r="F678" s="17" t="s">
        <v>4515</v>
      </c>
      <c r="G678" s="3" t="s">
        <v>4494</v>
      </c>
      <c r="H678" s="6">
        <v>12176.415999999999</v>
      </c>
    </row>
    <row r="679" spans="1:8" ht="15.75" customHeight="1" x14ac:dyDescent="0.35">
      <c r="A679" s="15"/>
      <c r="B679" s="3" t="s">
        <v>4516</v>
      </c>
      <c r="C679" s="16" t="s">
        <v>4517</v>
      </c>
      <c r="D679" s="17" t="s">
        <v>861</v>
      </c>
      <c r="E679" s="16" t="s">
        <v>4518</v>
      </c>
      <c r="F679" s="17" t="s">
        <v>4519</v>
      </c>
      <c r="G679" s="3" t="s">
        <v>4520</v>
      </c>
      <c r="H679" s="6">
        <v>11913.759999999998</v>
      </c>
    </row>
    <row r="680" spans="1:8" ht="15.75" customHeight="1" x14ac:dyDescent="0.35">
      <c r="A680" s="15"/>
      <c r="B680" s="3" t="s">
        <v>4521</v>
      </c>
      <c r="C680" s="16" t="s">
        <v>4522</v>
      </c>
      <c r="D680" s="17" t="s">
        <v>861</v>
      </c>
      <c r="E680" s="16" t="s">
        <v>4523</v>
      </c>
      <c r="F680" s="17" t="s">
        <v>4524</v>
      </c>
      <c r="G680" s="3" t="s">
        <v>4520</v>
      </c>
      <c r="H680" s="6">
        <v>8328.08</v>
      </c>
    </row>
    <row r="681" spans="1:8" ht="15.75" customHeight="1" x14ac:dyDescent="0.35">
      <c r="A681" s="15"/>
      <c r="B681" s="3" t="s">
        <v>4525</v>
      </c>
      <c r="C681" s="16" t="s">
        <v>4526</v>
      </c>
      <c r="D681" s="17" t="s">
        <v>861</v>
      </c>
      <c r="E681" s="16" t="s">
        <v>4527</v>
      </c>
      <c r="F681" s="17" t="s">
        <v>4528</v>
      </c>
      <c r="G681" s="3" t="s">
        <v>4499</v>
      </c>
      <c r="H681" s="6">
        <v>7880.2880000000005</v>
      </c>
    </row>
    <row r="682" spans="1:8" ht="15.75" customHeight="1" x14ac:dyDescent="0.35">
      <c r="A682" s="15"/>
      <c r="B682" s="3" t="s">
        <v>4529</v>
      </c>
      <c r="C682" s="16" t="s">
        <v>4530</v>
      </c>
      <c r="D682" s="17" t="s">
        <v>860</v>
      </c>
      <c r="E682" s="16" t="s">
        <v>4531</v>
      </c>
      <c r="F682" s="17" t="s">
        <v>4532</v>
      </c>
      <c r="G682" s="3" t="s">
        <v>4533</v>
      </c>
      <c r="H682" s="6">
        <v>21182.719999999998</v>
      </c>
    </row>
    <row r="683" spans="1:8" ht="15.75" customHeight="1" x14ac:dyDescent="0.35">
      <c r="A683" s="15"/>
      <c r="B683" s="3" t="s">
        <v>4534</v>
      </c>
      <c r="C683" s="16" t="s">
        <v>4535</v>
      </c>
      <c r="D683" s="17" t="s">
        <v>861</v>
      </c>
      <c r="E683" s="16" t="s">
        <v>4536</v>
      </c>
      <c r="F683" s="17" t="s">
        <v>4537</v>
      </c>
      <c r="G683" s="3" t="s">
        <v>4499</v>
      </c>
      <c r="H683" s="6">
        <v>11486.64</v>
      </c>
    </row>
    <row r="684" spans="1:8" ht="15.75" customHeight="1" x14ac:dyDescent="0.35">
      <c r="A684" s="15"/>
      <c r="B684" s="3" t="s">
        <v>4538</v>
      </c>
      <c r="C684" s="16" t="s">
        <v>4539</v>
      </c>
      <c r="D684" s="17" t="s">
        <v>861</v>
      </c>
      <c r="E684" s="16" t="s">
        <v>4540</v>
      </c>
      <c r="F684" s="17" t="s">
        <v>4541</v>
      </c>
      <c r="G684" s="3" t="s">
        <v>4542</v>
      </c>
      <c r="H684" s="6">
        <v>13217.92</v>
      </c>
    </row>
    <row r="685" spans="1:8" ht="15.75" customHeight="1" x14ac:dyDescent="0.35">
      <c r="A685" s="15"/>
      <c r="B685" s="3" t="s">
        <v>4543</v>
      </c>
      <c r="C685" s="16" t="s">
        <v>4544</v>
      </c>
      <c r="D685" s="17" t="s">
        <v>860</v>
      </c>
      <c r="E685" s="16" t="s">
        <v>4545</v>
      </c>
      <c r="F685" s="17" t="s">
        <v>4546</v>
      </c>
      <c r="G685" s="3" t="s">
        <v>4547</v>
      </c>
      <c r="H685" s="6">
        <v>9063.4559999999983</v>
      </c>
    </row>
    <row r="686" spans="1:8" ht="15.75" customHeight="1" x14ac:dyDescent="0.35">
      <c r="A686" s="15"/>
      <c r="B686" s="3" t="s">
        <v>4548</v>
      </c>
      <c r="C686" s="16" t="s">
        <v>4549</v>
      </c>
      <c r="D686" s="17" t="s">
        <v>860</v>
      </c>
      <c r="E686" s="16" t="s">
        <v>4550</v>
      </c>
      <c r="F686" s="17" t="s">
        <v>4551</v>
      </c>
      <c r="G686" s="3" t="s">
        <v>4552</v>
      </c>
      <c r="H686" s="6">
        <v>6490.0959999999995</v>
      </c>
    </row>
    <row r="687" spans="1:8" ht="15.75" customHeight="1" x14ac:dyDescent="0.35">
      <c r="A687" s="15"/>
      <c r="B687" s="3" t="s">
        <v>4553</v>
      </c>
      <c r="C687" s="16" t="s">
        <v>4554</v>
      </c>
      <c r="D687" s="17" t="s">
        <v>861</v>
      </c>
      <c r="E687" s="16" t="s">
        <v>4555</v>
      </c>
      <c r="F687" s="17" t="s">
        <v>4556</v>
      </c>
      <c r="G687" s="3" t="s">
        <v>4552</v>
      </c>
      <c r="H687" s="6">
        <v>13217.92</v>
      </c>
    </row>
    <row r="688" spans="1:8" ht="15.75" customHeight="1" x14ac:dyDescent="0.35">
      <c r="A688" s="15"/>
      <c r="B688" s="3" t="s">
        <v>4557</v>
      </c>
      <c r="C688" s="16" t="s">
        <v>4558</v>
      </c>
      <c r="D688" s="17" t="s">
        <v>861</v>
      </c>
      <c r="E688" s="16" t="s">
        <v>4559</v>
      </c>
      <c r="F688" s="17" t="s">
        <v>4384</v>
      </c>
      <c r="G688" s="3" t="s">
        <v>4552</v>
      </c>
      <c r="H688" s="6">
        <v>10424.159999999998</v>
      </c>
    </row>
    <row r="689" spans="1:8" ht="15.75" customHeight="1" x14ac:dyDescent="0.35">
      <c r="A689" s="15"/>
      <c r="B689" s="3" t="s">
        <v>4560</v>
      </c>
      <c r="C689" s="16" t="s">
        <v>4561</v>
      </c>
      <c r="D689" s="17" t="s">
        <v>861</v>
      </c>
      <c r="E689" s="16" t="s">
        <v>4562</v>
      </c>
      <c r="F689" s="17" t="s">
        <v>4563</v>
      </c>
      <c r="G689" s="3" t="s">
        <v>4552</v>
      </c>
      <c r="H689" s="6">
        <v>5826.7679999999991</v>
      </c>
    </row>
    <row r="690" spans="1:8" ht="15.75" customHeight="1" x14ac:dyDescent="0.35">
      <c r="A690" s="15"/>
      <c r="B690" s="3" t="s">
        <v>4564</v>
      </c>
      <c r="C690" s="16" t="s">
        <v>4565</v>
      </c>
      <c r="D690" s="17" t="s">
        <v>861</v>
      </c>
      <c r="E690" s="16" t="s">
        <v>4566</v>
      </c>
      <c r="F690" s="17" t="s">
        <v>4567</v>
      </c>
      <c r="G690" s="3" t="s">
        <v>4568</v>
      </c>
      <c r="H690" s="6">
        <v>8805.3599999999988</v>
      </c>
    </row>
    <row r="691" spans="1:8" ht="15.75" customHeight="1" x14ac:dyDescent="0.35">
      <c r="A691" s="15"/>
      <c r="B691" s="3" t="s">
        <v>4569</v>
      </c>
      <c r="C691" s="16" t="s">
        <v>4570</v>
      </c>
      <c r="D691" s="17" t="s">
        <v>861</v>
      </c>
      <c r="E691" s="16" t="s">
        <v>4571</v>
      </c>
      <c r="F691" s="17" t="s">
        <v>4572</v>
      </c>
      <c r="G691" s="3" t="s">
        <v>4573</v>
      </c>
      <c r="H691" s="6">
        <v>16522.399999999998</v>
      </c>
    </row>
    <row r="692" spans="1:8" ht="15.75" customHeight="1" x14ac:dyDescent="0.35">
      <c r="A692" s="15"/>
      <c r="B692" s="3" t="s">
        <v>4574</v>
      </c>
      <c r="C692" s="16" t="s">
        <v>4575</v>
      </c>
      <c r="D692" s="17" t="s">
        <v>860</v>
      </c>
      <c r="E692" s="16" t="s">
        <v>4576</v>
      </c>
      <c r="F692" s="17" t="s">
        <v>4577</v>
      </c>
      <c r="G692" s="3" t="s">
        <v>4578</v>
      </c>
      <c r="H692" s="6">
        <v>16522.399999999998</v>
      </c>
    </row>
    <row r="693" spans="1:8" ht="15.75" customHeight="1" x14ac:dyDescent="0.35">
      <c r="A693" s="15"/>
      <c r="B693" s="3" t="s">
        <v>4579</v>
      </c>
      <c r="C693" s="16" t="s">
        <v>4580</v>
      </c>
      <c r="D693" s="17" t="s">
        <v>861</v>
      </c>
      <c r="E693" s="16" t="s">
        <v>4581</v>
      </c>
      <c r="F693" s="17" t="s">
        <v>4582</v>
      </c>
      <c r="G693" s="3" t="s">
        <v>4578</v>
      </c>
      <c r="H693" s="6">
        <v>8176.3839999999991</v>
      </c>
    </row>
    <row r="694" spans="1:8" ht="15.75" customHeight="1" x14ac:dyDescent="0.35">
      <c r="A694" s="15"/>
      <c r="B694" s="3" t="s">
        <v>4583</v>
      </c>
      <c r="C694" s="16" t="s">
        <v>4584</v>
      </c>
      <c r="D694" s="17" t="s">
        <v>861</v>
      </c>
      <c r="E694" s="16" t="s">
        <v>4585</v>
      </c>
      <c r="F694" s="17" t="s">
        <v>1222</v>
      </c>
      <c r="G694" s="3" t="s">
        <v>4578</v>
      </c>
      <c r="H694" s="6">
        <v>33045.103999999999</v>
      </c>
    </row>
    <row r="695" spans="1:8" ht="15.75" customHeight="1" x14ac:dyDescent="0.35">
      <c r="A695" s="15"/>
      <c r="B695" s="3" t="s">
        <v>4586</v>
      </c>
      <c r="C695" s="16" t="s">
        <v>4587</v>
      </c>
      <c r="D695" s="17" t="s">
        <v>861</v>
      </c>
      <c r="E695" s="16" t="s">
        <v>4588</v>
      </c>
      <c r="F695" s="17" t="s">
        <v>1600</v>
      </c>
      <c r="G695" s="3" t="s">
        <v>4578</v>
      </c>
      <c r="H695" s="6">
        <v>7518.5279999999993</v>
      </c>
    </row>
    <row r="696" spans="1:8" ht="15.75" customHeight="1" x14ac:dyDescent="0.35">
      <c r="A696" s="15"/>
      <c r="B696" s="3" t="s">
        <v>4589</v>
      </c>
      <c r="C696" s="16" t="s">
        <v>4590</v>
      </c>
      <c r="D696" s="17" t="s">
        <v>860</v>
      </c>
      <c r="E696" s="16" t="s">
        <v>4591</v>
      </c>
      <c r="F696" s="17" t="s">
        <v>4592</v>
      </c>
      <c r="G696" s="3" t="s">
        <v>4593</v>
      </c>
      <c r="H696" s="6">
        <v>12894.464</v>
      </c>
    </row>
    <row r="697" spans="1:8" ht="15.75" customHeight="1" x14ac:dyDescent="0.35">
      <c r="A697" s="15"/>
      <c r="B697" s="3" t="s">
        <v>4594</v>
      </c>
      <c r="C697" s="16" t="s">
        <v>4595</v>
      </c>
      <c r="D697" s="17" t="s">
        <v>860</v>
      </c>
      <c r="E697" s="16" t="s">
        <v>4596</v>
      </c>
      <c r="F697" s="17" t="s">
        <v>4597</v>
      </c>
      <c r="G697" s="3" t="s">
        <v>4593</v>
      </c>
      <c r="H697" s="6">
        <v>45161.631999999998</v>
      </c>
    </row>
    <row r="698" spans="1:8" ht="15.75" customHeight="1" x14ac:dyDescent="0.35">
      <c r="A698" s="15"/>
      <c r="B698" s="3" t="s">
        <v>4598</v>
      </c>
      <c r="C698" s="16" t="s">
        <v>4599</v>
      </c>
      <c r="D698" s="17" t="s">
        <v>861</v>
      </c>
      <c r="E698" s="16" t="s">
        <v>4600</v>
      </c>
      <c r="F698" s="17" t="s">
        <v>4601</v>
      </c>
      <c r="G698" s="3" t="s">
        <v>4602</v>
      </c>
      <c r="H698" s="6">
        <v>9913.44</v>
      </c>
    </row>
    <row r="699" spans="1:8" ht="15.75" customHeight="1" x14ac:dyDescent="0.35">
      <c r="A699" s="15"/>
      <c r="B699" s="3" t="s">
        <v>4603</v>
      </c>
      <c r="C699" s="16" t="s">
        <v>4604</v>
      </c>
      <c r="D699" s="17" t="s">
        <v>861</v>
      </c>
      <c r="E699" s="16" t="s">
        <v>4605</v>
      </c>
      <c r="F699" s="17" t="s">
        <v>4606</v>
      </c>
      <c r="G699" s="3" t="s">
        <v>4607</v>
      </c>
      <c r="H699" s="6">
        <v>9062.848</v>
      </c>
    </row>
    <row r="700" spans="1:8" ht="15.75" customHeight="1" x14ac:dyDescent="0.35">
      <c r="A700" s="15"/>
      <c r="B700" s="3" t="s">
        <v>4608</v>
      </c>
      <c r="C700" s="16" t="s">
        <v>4609</v>
      </c>
      <c r="D700" s="17" t="s">
        <v>861</v>
      </c>
      <c r="E700" s="16" t="s">
        <v>4610</v>
      </c>
      <c r="F700" s="17" t="s">
        <v>4611</v>
      </c>
      <c r="G700" s="3" t="s">
        <v>4607</v>
      </c>
      <c r="H700" s="6">
        <v>9553.1999999999989</v>
      </c>
    </row>
    <row r="701" spans="1:8" ht="15.75" customHeight="1" x14ac:dyDescent="0.35">
      <c r="A701" s="15"/>
      <c r="B701" s="3" t="s">
        <v>4612</v>
      </c>
      <c r="C701" s="16" t="s">
        <v>4613</v>
      </c>
      <c r="D701" s="17" t="s">
        <v>861</v>
      </c>
      <c r="E701" s="16" t="s">
        <v>4614</v>
      </c>
      <c r="F701" s="17" t="s">
        <v>4615</v>
      </c>
      <c r="G701" s="3" t="s">
        <v>4616</v>
      </c>
      <c r="H701" s="6">
        <v>27537.536</v>
      </c>
    </row>
    <row r="702" spans="1:8" ht="15.75" customHeight="1" x14ac:dyDescent="0.35">
      <c r="A702" s="15"/>
      <c r="B702" s="3" t="s">
        <v>4617</v>
      </c>
      <c r="C702" s="16" t="s">
        <v>4618</v>
      </c>
      <c r="D702" s="17" t="s">
        <v>860</v>
      </c>
      <c r="E702" s="16" t="s">
        <v>4619</v>
      </c>
      <c r="F702" s="17" t="s">
        <v>4620</v>
      </c>
      <c r="G702" s="3" t="s">
        <v>4607</v>
      </c>
      <c r="H702" s="6">
        <v>5255.2479999999996</v>
      </c>
    </row>
    <row r="703" spans="1:8" ht="15.75" customHeight="1" x14ac:dyDescent="0.35">
      <c r="A703" s="15"/>
      <c r="B703" s="3" t="s">
        <v>4621</v>
      </c>
      <c r="C703" s="16" t="s">
        <v>4622</v>
      </c>
      <c r="D703" s="17" t="s">
        <v>860</v>
      </c>
      <c r="E703" s="16" t="s">
        <v>4623</v>
      </c>
      <c r="F703" s="17" t="s">
        <v>4624</v>
      </c>
      <c r="G703" s="3" t="s">
        <v>4625</v>
      </c>
      <c r="H703" s="6">
        <v>5826.7679999999991</v>
      </c>
    </row>
    <row r="704" spans="1:8" ht="15.75" customHeight="1" x14ac:dyDescent="0.35">
      <c r="A704" s="15"/>
      <c r="B704" s="3" t="s">
        <v>4626</v>
      </c>
      <c r="C704" s="16" t="s">
        <v>4627</v>
      </c>
      <c r="D704" s="17" t="s">
        <v>860</v>
      </c>
      <c r="E704" s="16" t="s">
        <v>4628</v>
      </c>
      <c r="F704" s="17" t="s">
        <v>4629</v>
      </c>
      <c r="G704" s="3" t="s">
        <v>4625</v>
      </c>
      <c r="H704" s="6">
        <v>8408.3359999999993</v>
      </c>
    </row>
    <row r="705" spans="1:8" ht="15.75" customHeight="1" x14ac:dyDescent="0.35">
      <c r="A705" s="15"/>
      <c r="B705" s="3" t="s">
        <v>4630</v>
      </c>
      <c r="C705" s="16" t="s">
        <v>4631</v>
      </c>
      <c r="D705" s="17" t="s">
        <v>861</v>
      </c>
      <c r="E705" s="16" t="s">
        <v>4632</v>
      </c>
      <c r="F705" s="17" t="s">
        <v>4633</v>
      </c>
      <c r="G705" s="3" t="s">
        <v>4625</v>
      </c>
      <c r="H705" s="6">
        <v>11913.759999999998</v>
      </c>
    </row>
    <row r="706" spans="1:8" ht="15.75" customHeight="1" x14ac:dyDescent="0.35">
      <c r="A706" s="15"/>
      <c r="B706" s="3" t="s">
        <v>4634</v>
      </c>
      <c r="C706" s="16" t="s">
        <v>4635</v>
      </c>
      <c r="D706" s="17" t="s">
        <v>861</v>
      </c>
      <c r="E706" s="16" t="s">
        <v>4636</v>
      </c>
      <c r="F706" s="17" t="s">
        <v>4637</v>
      </c>
      <c r="G706" s="3" t="s">
        <v>4625</v>
      </c>
      <c r="H706" s="6">
        <v>9532.2240000000002</v>
      </c>
    </row>
    <row r="707" spans="1:8" ht="15.75" customHeight="1" x14ac:dyDescent="0.35">
      <c r="A707" s="15"/>
      <c r="B707" s="3" t="s">
        <v>4638</v>
      </c>
      <c r="C707" s="16" t="s">
        <v>4639</v>
      </c>
      <c r="D707" s="17" t="s">
        <v>860</v>
      </c>
      <c r="E707" s="16" t="s">
        <v>4640</v>
      </c>
      <c r="F707" s="17" t="s">
        <v>4641</v>
      </c>
      <c r="G707" s="3" t="s">
        <v>4642</v>
      </c>
      <c r="H707" s="6">
        <v>16734.896000000001</v>
      </c>
    </row>
    <row r="708" spans="1:8" ht="15.75" customHeight="1" x14ac:dyDescent="0.35">
      <c r="A708" s="15"/>
      <c r="B708" s="3" t="s">
        <v>4643</v>
      </c>
      <c r="C708" s="16" t="s">
        <v>4644</v>
      </c>
      <c r="D708" s="17" t="s">
        <v>861</v>
      </c>
      <c r="E708" s="16" t="s">
        <v>4645</v>
      </c>
      <c r="F708" s="17" t="s">
        <v>4646</v>
      </c>
      <c r="G708" s="3" t="s">
        <v>4642</v>
      </c>
      <c r="H708" s="6">
        <v>10494.992</v>
      </c>
    </row>
    <row r="709" spans="1:8" ht="15.75" customHeight="1" x14ac:dyDescent="0.35">
      <c r="A709" s="15"/>
      <c r="B709" s="3" t="s">
        <v>4647</v>
      </c>
      <c r="C709" s="16" t="s">
        <v>4648</v>
      </c>
      <c r="D709" s="17" t="s">
        <v>860</v>
      </c>
      <c r="E709" s="16" t="s">
        <v>4649</v>
      </c>
      <c r="F709" s="17" t="s">
        <v>4650</v>
      </c>
      <c r="G709" s="3" t="s">
        <v>4385</v>
      </c>
      <c r="H709" s="6">
        <v>11913.759999999998</v>
      </c>
    </row>
    <row r="710" spans="1:8" ht="15.75" customHeight="1" x14ac:dyDescent="0.35">
      <c r="A710" s="15"/>
      <c r="B710" s="3" t="s">
        <v>4651</v>
      </c>
      <c r="C710" s="16" t="s">
        <v>4652</v>
      </c>
      <c r="D710" s="17" t="s">
        <v>861</v>
      </c>
      <c r="E710" s="16" t="s">
        <v>4653</v>
      </c>
      <c r="F710" s="17" t="s">
        <v>4654</v>
      </c>
      <c r="G710" s="3" t="s">
        <v>4655</v>
      </c>
      <c r="H710" s="6">
        <v>0</v>
      </c>
    </row>
    <row r="711" spans="1:8" ht="15.75" customHeight="1" x14ac:dyDescent="0.35">
      <c r="A711" s="15"/>
      <c r="B711" s="3" t="s">
        <v>4656</v>
      </c>
      <c r="C711" s="16" t="s">
        <v>4657</v>
      </c>
      <c r="D711" s="17" t="s">
        <v>861</v>
      </c>
      <c r="E711" s="16" t="s">
        <v>4658</v>
      </c>
      <c r="F711" s="17" t="s">
        <v>4659</v>
      </c>
      <c r="G711" s="3" t="s">
        <v>4655</v>
      </c>
      <c r="H711" s="6">
        <v>10678.304</v>
      </c>
    </row>
    <row r="712" spans="1:8" ht="15.75" customHeight="1" x14ac:dyDescent="0.35">
      <c r="A712" s="15"/>
      <c r="B712" s="3" t="s">
        <v>4660</v>
      </c>
      <c r="C712" s="16" t="s">
        <v>4661</v>
      </c>
      <c r="D712" s="17" t="s">
        <v>861</v>
      </c>
      <c r="E712" s="16" t="s">
        <v>4662</v>
      </c>
      <c r="F712" s="17" t="s">
        <v>1294</v>
      </c>
      <c r="G712" s="3" t="s">
        <v>4655</v>
      </c>
      <c r="H712" s="6">
        <v>0</v>
      </c>
    </row>
    <row r="713" spans="1:8" ht="15.75" customHeight="1" x14ac:dyDescent="0.35">
      <c r="A713" s="15"/>
      <c r="B713" s="3" t="s">
        <v>4663</v>
      </c>
      <c r="C713" s="16" t="s">
        <v>4664</v>
      </c>
      <c r="D713" s="17" t="s">
        <v>861</v>
      </c>
      <c r="E713" s="16" t="s">
        <v>4665</v>
      </c>
      <c r="F713" s="17" t="s">
        <v>4666</v>
      </c>
      <c r="G713" s="3" t="s">
        <v>4655</v>
      </c>
      <c r="H713" s="6">
        <v>7880.2880000000005</v>
      </c>
    </row>
    <row r="714" spans="1:8" ht="15.75" customHeight="1" x14ac:dyDescent="0.35">
      <c r="A714" s="15"/>
      <c r="B714" s="3" t="s">
        <v>4667</v>
      </c>
      <c r="C714" s="16" t="s">
        <v>4668</v>
      </c>
      <c r="D714" s="17" t="s">
        <v>860</v>
      </c>
      <c r="E714" s="16" t="s">
        <v>4669</v>
      </c>
      <c r="F714" s="17" t="s">
        <v>4670</v>
      </c>
      <c r="G714" s="3" t="s">
        <v>4671</v>
      </c>
      <c r="H714" s="6">
        <v>8524.159999999998</v>
      </c>
    </row>
    <row r="715" spans="1:8" ht="15.75" customHeight="1" x14ac:dyDescent="0.35">
      <c r="A715" s="15"/>
      <c r="B715" s="3" t="s">
        <v>4672</v>
      </c>
      <c r="C715" s="16" t="s">
        <v>4673</v>
      </c>
      <c r="D715" s="17" t="s">
        <v>861</v>
      </c>
      <c r="E715" s="16" t="s">
        <v>4674</v>
      </c>
      <c r="F715" s="17" t="s">
        <v>4675</v>
      </c>
      <c r="G715" s="3" t="s">
        <v>4676</v>
      </c>
      <c r="H715" s="6">
        <v>13217.92</v>
      </c>
    </row>
    <row r="716" spans="1:8" ht="15.75" customHeight="1" x14ac:dyDescent="0.35">
      <c r="A716" s="15"/>
      <c r="B716" s="3" t="s">
        <v>4677</v>
      </c>
      <c r="C716" s="16" t="s">
        <v>4678</v>
      </c>
      <c r="D716" s="17" t="s">
        <v>861</v>
      </c>
      <c r="E716" s="16" t="s">
        <v>4679</v>
      </c>
      <c r="F716" s="17" t="s">
        <v>4680</v>
      </c>
      <c r="G716" s="3" t="s">
        <v>4681</v>
      </c>
      <c r="H716" s="6">
        <v>13217.92</v>
      </c>
    </row>
    <row r="717" spans="1:8" ht="15.75" customHeight="1" x14ac:dyDescent="0.35">
      <c r="A717" s="15"/>
      <c r="B717" s="3" t="s">
        <v>4682</v>
      </c>
      <c r="C717" s="16" t="s">
        <v>4683</v>
      </c>
      <c r="D717" s="17" t="s">
        <v>861</v>
      </c>
      <c r="E717" s="16" t="s">
        <v>4684</v>
      </c>
      <c r="F717" s="17" t="s">
        <v>4685</v>
      </c>
      <c r="G717" s="3" t="s">
        <v>4681</v>
      </c>
      <c r="H717" s="6">
        <v>18237.567999999999</v>
      </c>
    </row>
    <row r="718" spans="1:8" ht="15.75" customHeight="1" x14ac:dyDescent="0.35">
      <c r="A718" s="15"/>
      <c r="B718" s="3" t="s">
        <v>4686</v>
      </c>
      <c r="C718" s="16" t="s">
        <v>4687</v>
      </c>
      <c r="D718" s="17" t="s">
        <v>860</v>
      </c>
      <c r="E718" s="16" t="s">
        <v>4688</v>
      </c>
      <c r="F718" s="17" t="s">
        <v>4689</v>
      </c>
      <c r="G718" s="3" t="s">
        <v>4681</v>
      </c>
      <c r="H718" s="6">
        <v>14218.688</v>
      </c>
    </row>
    <row r="719" spans="1:8" ht="15.75" customHeight="1" x14ac:dyDescent="0.35">
      <c r="A719" s="15"/>
      <c r="B719" s="3" t="s">
        <v>4690</v>
      </c>
      <c r="C719" s="16" t="s">
        <v>4691</v>
      </c>
      <c r="D719" s="17" t="s">
        <v>860</v>
      </c>
      <c r="E719" s="16" t="s">
        <v>4692</v>
      </c>
      <c r="F719" s="17" t="s">
        <v>4693</v>
      </c>
      <c r="G719" s="3" t="s">
        <v>4694</v>
      </c>
      <c r="H719" s="6">
        <v>7714.6080000000002</v>
      </c>
    </row>
    <row r="720" spans="1:8" ht="15.75" customHeight="1" x14ac:dyDescent="0.35">
      <c r="A720" s="15"/>
      <c r="B720" s="3" t="s">
        <v>4695</v>
      </c>
      <c r="C720" s="16" t="s">
        <v>4696</v>
      </c>
      <c r="D720" s="17" t="s">
        <v>861</v>
      </c>
      <c r="E720" s="16" t="s">
        <v>4697</v>
      </c>
      <c r="F720" s="17" t="s">
        <v>4698</v>
      </c>
      <c r="G720" s="3" t="s">
        <v>4694</v>
      </c>
      <c r="H720" s="6">
        <v>8356.351999999999</v>
      </c>
    </row>
    <row r="721" spans="1:8" ht="15.75" customHeight="1" x14ac:dyDescent="0.35">
      <c r="A721" s="15"/>
      <c r="B721" s="3" t="s">
        <v>4699</v>
      </c>
      <c r="C721" s="16" t="s">
        <v>4700</v>
      </c>
      <c r="D721" s="17" t="s">
        <v>861</v>
      </c>
      <c r="E721" s="16" t="s">
        <v>4701</v>
      </c>
      <c r="F721" s="17" t="s">
        <v>4702</v>
      </c>
      <c r="G721" s="3" t="s">
        <v>4703</v>
      </c>
      <c r="H721" s="6">
        <v>11913.759999999998</v>
      </c>
    </row>
    <row r="722" spans="1:8" ht="15.75" customHeight="1" x14ac:dyDescent="0.35">
      <c r="A722" s="15"/>
      <c r="B722" s="3" t="s">
        <v>4704</v>
      </c>
      <c r="C722" s="16" t="s">
        <v>4705</v>
      </c>
      <c r="D722" s="17" t="s">
        <v>861</v>
      </c>
      <c r="E722" s="16" t="s">
        <v>4706</v>
      </c>
      <c r="F722" s="17" t="s">
        <v>4707</v>
      </c>
      <c r="G722" s="3" t="s">
        <v>4694</v>
      </c>
      <c r="H722" s="6">
        <v>14408.079999999998</v>
      </c>
    </row>
    <row r="723" spans="1:8" ht="15.75" customHeight="1" x14ac:dyDescent="0.35">
      <c r="A723" s="15"/>
      <c r="B723" s="3" t="s">
        <v>4708</v>
      </c>
      <c r="C723" s="16" t="s">
        <v>4709</v>
      </c>
      <c r="D723" s="17" t="s">
        <v>861</v>
      </c>
      <c r="E723" s="16" t="s">
        <v>4710</v>
      </c>
      <c r="F723" s="17" t="s">
        <v>4711</v>
      </c>
      <c r="G723" s="3" t="s">
        <v>4694</v>
      </c>
      <c r="H723" s="6">
        <v>8537.232</v>
      </c>
    </row>
    <row r="724" spans="1:8" ht="15.75" customHeight="1" x14ac:dyDescent="0.35">
      <c r="A724" s="15"/>
      <c r="B724" s="3" t="s">
        <v>4712</v>
      </c>
      <c r="C724" s="16" t="s">
        <v>4713</v>
      </c>
      <c r="D724" s="17" t="s">
        <v>861</v>
      </c>
      <c r="E724" s="16" t="s">
        <v>4714</v>
      </c>
      <c r="F724" s="17" t="s">
        <v>4715</v>
      </c>
      <c r="G724" s="3" t="s">
        <v>4694</v>
      </c>
      <c r="H724" s="6">
        <v>12172.464</v>
      </c>
    </row>
    <row r="725" spans="1:8" ht="15.75" customHeight="1" x14ac:dyDescent="0.35">
      <c r="A725" s="15"/>
      <c r="B725" s="3" t="s">
        <v>4716</v>
      </c>
      <c r="C725" s="16" t="s">
        <v>4717</v>
      </c>
      <c r="D725" s="17" t="s">
        <v>860</v>
      </c>
      <c r="E725" s="16" t="s">
        <v>4718</v>
      </c>
      <c r="F725" s="17" t="s">
        <v>4503</v>
      </c>
      <c r="G725" s="3" t="s">
        <v>3624</v>
      </c>
      <c r="H725" s="6">
        <v>7450.1279999999997</v>
      </c>
    </row>
    <row r="726" spans="1:8" ht="15.75" customHeight="1" x14ac:dyDescent="0.35">
      <c r="A726" s="15"/>
      <c r="B726" s="3" t="s">
        <v>4719</v>
      </c>
      <c r="C726" s="16" t="s">
        <v>4720</v>
      </c>
      <c r="D726" s="17" t="s">
        <v>860</v>
      </c>
      <c r="E726" s="16" t="s">
        <v>4721</v>
      </c>
      <c r="F726" s="17" t="s">
        <v>4722</v>
      </c>
      <c r="G726" s="3" t="s">
        <v>3624</v>
      </c>
      <c r="H726" s="6">
        <v>6313.4719999999998</v>
      </c>
    </row>
    <row r="727" spans="1:8" ht="15.75" customHeight="1" x14ac:dyDescent="0.35">
      <c r="A727" s="15"/>
      <c r="B727" s="3" t="s">
        <v>4723</v>
      </c>
      <c r="C727" s="16" t="s">
        <v>4724</v>
      </c>
      <c r="D727" s="17" t="s">
        <v>860</v>
      </c>
      <c r="E727" s="16" t="s">
        <v>4725</v>
      </c>
      <c r="F727" s="17" t="s">
        <v>4726</v>
      </c>
      <c r="G727" s="3" t="s">
        <v>3624</v>
      </c>
      <c r="H727" s="6">
        <v>10418.688</v>
      </c>
    </row>
    <row r="728" spans="1:8" ht="15.75" customHeight="1" x14ac:dyDescent="0.35">
      <c r="A728" s="15"/>
      <c r="B728" s="3" t="s">
        <v>4727</v>
      </c>
      <c r="C728" s="16" t="s">
        <v>4728</v>
      </c>
      <c r="D728" s="17" t="s">
        <v>860</v>
      </c>
      <c r="E728" s="16" t="s">
        <v>4729</v>
      </c>
      <c r="F728" s="17" t="s">
        <v>4730</v>
      </c>
      <c r="G728" s="3" t="s">
        <v>3624</v>
      </c>
      <c r="H728" s="6">
        <v>13133.407999999999</v>
      </c>
    </row>
    <row r="729" spans="1:8" ht="15.75" customHeight="1" x14ac:dyDescent="0.35">
      <c r="A729" s="15"/>
      <c r="B729" s="3" t="s">
        <v>4731</v>
      </c>
      <c r="C729" s="16" t="s">
        <v>4732</v>
      </c>
      <c r="D729" s="17" t="s">
        <v>860</v>
      </c>
      <c r="E729" s="16" t="s">
        <v>4733</v>
      </c>
      <c r="F729" s="17" t="s">
        <v>4734</v>
      </c>
      <c r="G729" s="3" t="s">
        <v>4735</v>
      </c>
      <c r="H729" s="6">
        <v>10757.951999999999</v>
      </c>
    </row>
    <row r="730" spans="1:8" ht="15.75" customHeight="1" x14ac:dyDescent="0.35">
      <c r="A730" s="15"/>
      <c r="B730" s="3" t="s">
        <v>4736</v>
      </c>
      <c r="C730" s="16" t="s">
        <v>4737</v>
      </c>
      <c r="D730" s="17" t="s">
        <v>861</v>
      </c>
      <c r="E730" s="16" t="s">
        <v>4738</v>
      </c>
      <c r="F730" s="17" t="s">
        <v>4739</v>
      </c>
      <c r="G730" s="3" t="s">
        <v>3968</v>
      </c>
      <c r="H730" s="6">
        <v>5602.72</v>
      </c>
    </row>
    <row r="731" spans="1:8" ht="15.75" customHeight="1" x14ac:dyDescent="0.35">
      <c r="A731" s="15"/>
      <c r="B731" s="3" t="s">
        <v>4740</v>
      </c>
      <c r="C731" s="16" t="s">
        <v>4741</v>
      </c>
      <c r="D731" s="17" t="s">
        <v>861</v>
      </c>
      <c r="E731" s="16" t="s">
        <v>4742</v>
      </c>
      <c r="F731" s="17" t="s">
        <v>4743</v>
      </c>
      <c r="G731" s="3" t="s">
        <v>4735</v>
      </c>
      <c r="H731" s="6">
        <v>11196.016</v>
      </c>
    </row>
    <row r="732" spans="1:8" ht="15.75" customHeight="1" x14ac:dyDescent="0.35">
      <c r="A732" s="15"/>
      <c r="B732" s="3" t="s">
        <v>4744</v>
      </c>
      <c r="C732" s="16" t="s">
        <v>4745</v>
      </c>
      <c r="D732" s="17" t="s">
        <v>861</v>
      </c>
      <c r="E732" s="16" t="s">
        <v>4746</v>
      </c>
      <c r="F732" s="17" t="s">
        <v>4747</v>
      </c>
      <c r="G732" s="3" t="s">
        <v>4735</v>
      </c>
      <c r="H732" s="6">
        <v>16545.2</v>
      </c>
    </row>
    <row r="733" spans="1:8" ht="15.75" customHeight="1" x14ac:dyDescent="0.35">
      <c r="A733" s="15"/>
      <c r="B733" s="3" t="s">
        <v>4748</v>
      </c>
      <c r="C733" s="16" t="s">
        <v>4749</v>
      </c>
      <c r="D733" s="17" t="s">
        <v>861</v>
      </c>
      <c r="E733" s="16" t="s">
        <v>4750</v>
      </c>
      <c r="F733" s="17" t="s">
        <v>4751</v>
      </c>
      <c r="G733" s="3" t="s">
        <v>3968</v>
      </c>
      <c r="H733" s="6">
        <v>6828.7519999999995</v>
      </c>
    </row>
    <row r="734" spans="1:8" ht="15.75" customHeight="1" x14ac:dyDescent="0.35">
      <c r="A734" s="15"/>
      <c r="B734" s="3" t="s">
        <v>4752</v>
      </c>
      <c r="C734" s="16" t="s">
        <v>4753</v>
      </c>
      <c r="D734" s="17" t="s">
        <v>860</v>
      </c>
      <c r="E734" s="16" t="s">
        <v>4754</v>
      </c>
      <c r="F734" s="17" t="s">
        <v>4755</v>
      </c>
      <c r="G734" s="3" t="s">
        <v>4735</v>
      </c>
      <c r="H734" s="6">
        <v>0</v>
      </c>
    </row>
    <row r="735" spans="1:8" ht="15.75" customHeight="1" x14ac:dyDescent="0.35">
      <c r="A735" s="15"/>
      <c r="B735" s="3" t="s">
        <v>4756</v>
      </c>
      <c r="C735" s="16" t="s">
        <v>4757</v>
      </c>
      <c r="D735" s="17" t="s">
        <v>860</v>
      </c>
      <c r="E735" s="16" t="s">
        <v>4758</v>
      </c>
      <c r="F735" s="17" t="s">
        <v>4759</v>
      </c>
      <c r="G735" s="3" t="s">
        <v>3739</v>
      </c>
      <c r="H735" s="6">
        <v>11455.632</v>
      </c>
    </row>
    <row r="736" spans="1:8" ht="15.75" customHeight="1" x14ac:dyDescent="0.35">
      <c r="A736" s="15"/>
      <c r="B736" s="3" t="s">
        <v>4760</v>
      </c>
      <c r="C736" s="16" t="s">
        <v>4761</v>
      </c>
      <c r="D736" s="17" t="s">
        <v>861</v>
      </c>
      <c r="E736" s="16" t="s">
        <v>4762</v>
      </c>
      <c r="F736" s="17" t="s">
        <v>4763</v>
      </c>
      <c r="G736" s="3" t="s">
        <v>3739</v>
      </c>
      <c r="H736" s="6">
        <v>26478.399999999998</v>
      </c>
    </row>
    <row r="737" spans="1:8" ht="15.75" customHeight="1" x14ac:dyDescent="0.35">
      <c r="A737" s="15"/>
      <c r="B737" s="3" t="s">
        <v>4764</v>
      </c>
      <c r="C737" s="16" t="s">
        <v>4765</v>
      </c>
      <c r="D737" s="17" t="s">
        <v>861</v>
      </c>
      <c r="E737" s="16" t="s">
        <v>4766</v>
      </c>
      <c r="F737" s="17" t="s">
        <v>4767</v>
      </c>
      <c r="G737" s="3" t="s">
        <v>3739</v>
      </c>
      <c r="H737" s="6">
        <v>79435.199999999983</v>
      </c>
    </row>
    <row r="738" spans="1:8" ht="15.75" customHeight="1" x14ac:dyDescent="0.35">
      <c r="A738" s="15"/>
      <c r="B738" s="3" t="s">
        <v>4768</v>
      </c>
      <c r="C738" s="16" t="s">
        <v>4769</v>
      </c>
      <c r="D738" s="17" t="s">
        <v>860</v>
      </c>
      <c r="E738" s="16" t="s">
        <v>4770</v>
      </c>
      <c r="F738" s="17" t="s">
        <v>4771</v>
      </c>
      <c r="G738" s="3" t="s">
        <v>4772</v>
      </c>
      <c r="H738" s="6">
        <v>0</v>
      </c>
    </row>
    <row r="739" spans="1:8" ht="15.75" customHeight="1" x14ac:dyDescent="0.35">
      <c r="A739" s="15"/>
      <c r="B739" s="3" t="s">
        <v>4773</v>
      </c>
      <c r="C739" s="16" t="s">
        <v>4774</v>
      </c>
      <c r="D739" s="17" t="s">
        <v>860</v>
      </c>
      <c r="E739" s="16" t="s">
        <v>4775</v>
      </c>
      <c r="F739" s="17" t="s">
        <v>4776</v>
      </c>
      <c r="G739" s="3" t="s">
        <v>4047</v>
      </c>
      <c r="H739" s="6">
        <v>6103.1039999999994</v>
      </c>
    </row>
    <row r="740" spans="1:8" ht="15.75" customHeight="1" x14ac:dyDescent="0.35">
      <c r="A740" s="15"/>
      <c r="B740" s="3" t="s">
        <v>4777</v>
      </c>
      <c r="C740" s="16" t="s">
        <v>4778</v>
      </c>
      <c r="D740" s="17" t="s">
        <v>860</v>
      </c>
      <c r="E740" s="16" t="s">
        <v>4779</v>
      </c>
      <c r="F740" s="17" t="s">
        <v>4780</v>
      </c>
      <c r="G740" s="3" t="s">
        <v>4047</v>
      </c>
      <c r="H740" s="6">
        <v>11838.064</v>
      </c>
    </row>
    <row r="741" spans="1:8" ht="15.75" customHeight="1" x14ac:dyDescent="0.35">
      <c r="A741" s="15"/>
      <c r="B741" s="3" t="s">
        <v>4781</v>
      </c>
      <c r="C741" s="16" t="s">
        <v>4782</v>
      </c>
      <c r="D741" s="17" t="s">
        <v>861</v>
      </c>
      <c r="E741" s="16" t="s">
        <v>4783</v>
      </c>
      <c r="F741" s="17" t="s">
        <v>4784</v>
      </c>
      <c r="G741" s="3" t="s">
        <v>4047</v>
      </c>
      <c r="H741" s="6">
        <v>9015.7279999999992</v>
      </c>
    </row>
    <row r="742" spans="1:8" ht="15.75" customHeight="1" x14ac:dyDescent="0.35">
      <c r="A742" s="15"/>
      <c r="B742" s="3" t="s">
        <v>4785</v>
      </c>
      <c r="C742" s="16" t="s">
        <v>4786</v>
      </c>
      <c r="D742" s="17" t="s">
        <v>861</v>
      </c>
      <c r="E742" s="16" t="s">
        <v>4787</v>
      </c>
      <c r="F742" s="17" t="s">
        <v>1157</v>
      </c>
      <c r="G742" s="3" t="s">
        <v>4047</v>
      </c>
      <c r="H742" s="6">
        <v>12565.84</v>
      </c>
    </row>
    <row r="743" spans="1:8" ht="15.75" customHeight="1" x14ac:dyDescent="0.35">
      <c r="A743" s="15"/>
      <c r="B743" s="3" t="s">
        <v>4788</v>
      </c>
      <c r="C743" s="16" t="s">
        <v>4789</v>
      </c>
      <c r="D743" s="17" t="s">
        <v>861</v>
      </c>
      <c r="E743" s="16" t="s">
        <v>4790</v>
      </c>
      <c r="F743" s="17" t="s">
        <v>1673</v>
      </c>
      <c r="G743" s="3" t="s">
        <v>4047</v>
      </c>
      <c r="H743" s="6">
        <v>7862.0479999999998</v>
      </c>
    </row>
    <row r="744" spans="1:8" ht="15.75" customHeight="1" x14ac:dyDescent="0.35">
      <c r="A744" s="15"/>
      <c r="B744" s="3" t="s">
        <v>4791</v>
      </c>
      <c r="C744" s="16" t="s">
        <v>4792</v>
      </c>
      <c r="D744" s="17" t="s">
        <v>861</v>
      </c>
      <c r="E744" s="16" t="s">
        <v>4793</v>
      </c>
      <c r="F744" s="17" t="s">
        <v>4794</v>
      </c>
      <c r="G744" s="3" t="s">
        <v>4795</v>
      </c>
      <c r="H744" s="6">
        <v>8591.6479999999992</v>
      </c>
    </row>
    <row r="745" spans="1:8" ht="15.75" customHeight="1" x14ac:dyDescent="0.35">
      <c r="A745" s="15"/>
      <c r="B745" s="3" t="s">
        <v>4796</v>
      </c>
      <c r="C745" s="16" t="s">
        <v>4797</v>
      </c>
      <c r="D745" s="17" t="s">
        <v>860</v>
      </c>
      <c r="E745" s="16" t="s">
        <v>4798</v>
      </c>
      <c r="F745" s="17" t="s">
        <v>1627</v>
      </c>
      <c r="G745" s="3" t="s">
        <v>4799</v>
      </c>
      <c r="H745" s="6">
        <v>8250.56</v>
      </c>
    </row>
    <row r="746" spans="1:8" ht="15.75" customHeight="1" x14ac:dyDescent="0.35">
      <c r="A746" s="15"/>
      <c r="B746" s="3" t="s">
        <v>4800</v>
      </c>
      <c r="C746" s="16" t="s">
        <v>4801</v>
      </c>
      <c r="D746" s="17" t="s">
        <v>861</v>
      </c>
      <c r="E746" s="16" t="s">
        <v>4802</v>
      </c>
      <c r="F746" s="17" t="s">
        <v>4803</v>
      </c>
      <c r="G746" s="3" t="s">
        <v>4047</v>
      </c>
      <c r="H746" s="6">
        <v>5602.72</v>
      </c>
    </row>
    <row r="747" spans="1:8" ht="15.75" customHeight="1" x14ac:dyDescent="0.35">
      <c r="A747" s="15"/>
      <c r="B747" s="3" t="s">
        <v>4804</v>
      </c>
      <c r="C747" s="16" t="s">
        <v>4805</v>
      </c>
      <c r="D747" s="17" t="s">
        <v>861</v>
      </c>
      <c r="E747" s="16" t="s">
        <v>4806</v>
      </c>
      <c r="F747" s="17" t="s">
        <v>1147</v>
      </c>
      <c r="G747" s="3" t="s">
        <v>4799</v>
      </c>
      <c r="H747" s="6">
        <v>5982.72</v>
      </c>
    </row>
    <row r="748" spans="1:8" ht="15.75" customHeight="1" x14ac:dyDescent="0.35">
      <c r="A748" s="15"/>
      <c r="B748" s="3" t="s">
        <v>4807</v>
      </c>
      <c r="C748" s="16" t="s">
        <v>4808</v>
      </c>
      <c r="D748" s="17" t="s">
        <v>860</v>
      </c>
      <c r="E748" s="16" t="s">
        <v>4809</v>
      </c>
      <c r="F748" s="17" t="s">
        <v>4810</v>
      </c>
      <c r="G748" s="3" t="s">
        <v>4799</v>
      </c>
      <c r="H748" s="6">
        <v>7862.0479999999998</v>
      </c>
    </row>
    <row r="749" spans="1:8" ht="15.75" customHeight="1" x14ac:dyDescent="0.35">
      <c r="A749" s="15"/>
      <c r="B749" s="3" t="s">
        <v>4811</v>
      </c>
      <c r="C749" s="16" t="s">
        <v>4812</v>
      </c>
      <c r="D749" s="17" t="s">
        <v>861</v>
      </c>
      <c r="E749" s="16" t="s">
        <v>4813</v>
      </c>
      <c r="F749" s="17" t="s">
        <v>4814</v>
      </c>
      <c r="G749" s="3" t="s">
        <v>4815</v>
      </c>
      <c r="H749" s="6">
        <v>0</v>
      </c>
    </row>
    <row r="750" spans="1:8" ht="15.75" customHeight="1" x14ac:dyDescent="0.35">
      <c r="A750" s="15"/>
      <c r="B750" s="3" t="s">
        <v>4816</v>
      </c>
      <c r="C750" s="16" t="s">
        <v>4817</v>
      </c>
      <c r="D750" s="17" t="s">
        <v>860</v>
      </c>
      <c r="E750" s="16" t="s">
        <v>4818</v>
      </c>
      <c r="F750" s="17" t="s">
        <v>4819</v>
      </c>
      <c r="G750" s="3" t="s">
        <v>4815</v>
      </c>
      <c r="H750" s="6">
        <v>6639.6639999999998</v>
      </c>
    </row>
    <row r="751" spans="1:8" ht="15.75" customHeight="1" x14ac:dyDescent="0.35">
      <c r="A751" s="15"/>
      <c r="B751" s="3" t="s">
        <v>4820</v>
      </c>
      <c r="C751" s="16" t="s">
        <v>4821</v>
      </c>
      <c r="D751" s="17" t="s">
        <v>861</v>
      </c>
      <c r="E751" s="16" t="s">
        <v>4822</v>
      </c>
      <c r="F751" s="17" t="s">
        <v>4823</v>
      </c>
      <c r="G751" s="3" t="s">
        <v>4824</v>
      </c>
      <c r="H751" s="6">
        <v>10882.592000000001</v>
      </c>
    </row>
    <row r="752" spans="1:8" ht="15.75" customHeight="1" x14ac:dyDescent="0.35">
      <c r="A752" s="15"/>
      <c r="B752" s="3" t="s">
        <v>4825</v>
      </c>
      <c r="C752" s="16" t="s">
        <v>4826</v>
      </c>
      <c r="D752" s="17" t="s">
        <v>861</v>
      </c>
      <c r="E752" s="16" t="s">
        <v>4827</v>
      </c>
      <c r="F752" s="17" t="s">
        <v>4828</v>
      </c>
      <c r="G752" s="3" t="s">
        <v>4824</v>
      </c>
      <c r="H752" s="6">
        <v>13995.552</v>
      </c>
    </row>
    <row r="753" spans="1:8" ht="15.75" customHeight="1" x14ac:dyDescent="0.35">
      <c r="A753" s="15"/>
      <c r="B753" s="3" t="s">
        <v>4829</v>
      </c>
      <c r="C753" s="16" t="s">
        <v>4830</v>
      </c>
      <c r="D753" s="17" t="s">
        <v>861</v>
      </c>
      <c r="E753" s="16" t="s">
        <v>4831</v>
      </c>
      <c r="F753" s="17" t="s">
        <v>4832</v>
      </c>
      <c r="G753" s="3" t="s">
        <v>4047</v>
      </c>
      <c r="H753" s="6">
        <v>12247.552</v>
      </c>
    </row>
    <row r="754" spans="1:8" ht="15.75" customHeight="1" x14ac:dyDescent="0.35">
      <c r="A754" s="15"/>
      <c r="B754" s="3" t="s">
        <v>4833</v>
      </c>
      <c r="C754" s="16" t="s">
        <v>4834</v>
      </c>
      <c r="D754" s="17" t="s">
        <v>861</v>
      </c>
      <c r="E754" s="16" t="s">
        <v>4835</v>
      </c>
      <c r="F754" s="17" t="s">
        <v>4836</v>
      </c>
      <c r="G754" s="3" t="s">
        <v>4815</v>
      </c>
      <c r="H754" s="6">
        <v>21182.719999999998</v>
      </c>
    </row>
    <row r="755" spans="1:8" ht="15.75" customHeight="1" x14ac:dyDescent="0.35">
      <c r="A755" s="15"/>
      <c r="B755" s="3" t="s">
        <v>4837</v>
      </c>
      <c r="C755" s="16" t="s">
        <v>4838</v>
      </c>
      <c r="D755" s="17" t="s">
        <v>860</v>
      </c>
      <c r="E755" s="16" t="s">
        <v>4839</v>
      </c>
      <c r="F755" s="17" t="s">
        <v>4840</v>
      </c>
      <c r="G755" s="3" t="s">
        <v>4824</v>
      </c>
      <c r="H755" s="6">
        <v>7862.0479999999998</v>
      </c>
    </row>
    <row r="756" spans="1:8" ht="15.75" customHeight="1" x14ac:dyDescent="0.35">
      <c r="A756" s="15"/>
      <c r="B756" s="3" t="s">
        <v>4841</v>
      </c>
      <c r="C756" s="16" t="s">
        <v>4842</v>
      </c>
      <c r="D756" s="17" t="s">
        <v>861</v>
      </c>
      <c r="E756" s="16" t="s">
        <v>4843</v>
      </c>
      <c r="F756" s="17" t="s">
        <v>4844</v>
      </c>
      <c r="G756" s="3" t="s">
        <v>4845</v>
      </c>
      <c r="H756" s="6">
        <v>15887.039999999999</v>
      </c>
    </row>
    <row r="757" spans="1:8" ht="15.75" customHeight="1" x14ac:dyDescent="0.35">
      <c r="A757" s="15"/>
      <c r="B757" s="3" t="s">
        <v>4846</v>
      </c>
      <c r="C757" s="16" t="s">
        <v>4847</v>
      </c>
      <c r="D757" s="17" t="s">
        <v>861</v>
      </c>
      <c r="E757" s="16" t="s">
        <v>4848</v>
      </c>
      <c r="F757" s="17" t="s">
        <v>4849</v>
      </c>
      <c r="G757" s="3" t="s">
        <v>4850</v>
      </c>
      <c r="H757" s="6">
        <v>8891.6959999999999</v>
      </c>
    </row>
    <row r="758" spans="1:8" ht="15.75" customHeight="1" x14ac:dyDescent="0.35">
      <c r="A758" s="15"/>
      <c r="B758" s="3" t="s">
        <v>4851</v>
      </c>
      <c r="C758" s="16" t="s">
        <v>4852</v>
      </c>
      <c r="D758" s="17" t="s">
        <v>861</v>
      </c>
      <c r="E758" s="16" t="s">
        <v>4853</v>
      </c>
      <c r="F758" s="17" t="s">
        <v>4854</v>
      </c>
      <c r="G758" s="3" t="s">
        <v>4772</v>
      </c>
      <c r="H758" s="6">
        <v>7024.8320000000003</v>
      </c>
    </row>
    <row r="759" spans="1:8" ht="15.75" customHeight="1" x14ac:dyDescent="0.35">
      <c r="A759" s="15"/>
      <c r="B759" s="3" t="s">
        <v>4855</v>
      </c>
      <c r="C759" s="16" t="s">
        <v>4856</v>
      </c>
      <c r="D759" s="17" t="s">
        <v>860</v>
      </c>
      <c r="E759" s="16" t="s">
        <v>4857</v>
      </c>
      <c r="F759" s="17" t="s">
        <v>4858</v>
      </c>
      <c r="G759" s="3" t="s">
        <v>4850</v>
      </c>
      <c r="H759" s="6">
        <v>7862.0479999999998</v>
      </c>
    </row>
    <row r="760" spans="1:8" ht="15.75" customHeight="1" x14ac:dyDescent="0.35">
      <c r="A760" s="15"/>
      <c r="B760" s="3" t="s">
        <v>4859</v>
      </c>
      <c r="C760" s="16" t="s">
        <v>4860</v>
      </c>
      <c r="D760" s="17" t="s">
        <v>861</v>
      </c>
      <c r="E760" s="16" t="s">
        <v>4861</v>
      </c>
      <c r="F760" s="17" t="s">
        <v>4862</v>
      </c>
      <c r="G760" s="3" t="s">
        <v>4863</v>
      </c>
      <c r="H760" s="6">
        <v>7299.3440000000001</v>
      </c>
    </row>
    <row r="761" spans="1:8" ht="15.75" customHeight="1" x14ac:dyDescent="0.35">
      <c r="A761" s="15"/>
      <c r="B761" s="3" t="s">
        <v>4864</v>
      </c>
      <c r="C761" s="16" t="s">
        <v>4865</v>
      </c>
      <c r="D761" s="17" t="s">
        <v>860</v>
      </c>
      <c r="E761" s="16" t="s">
        <v>4866</v>
      </c>
      <c r="F761" s="17" t="s">
        <v>4867</v>
      </c>
      <c r="G761" s="3" t="s">
        <v>4863</v>
      </c>
      <c r="H761" s="6">
        <v>8254.2079999999987</v>
      </c>
    </row>
    <row r="762" spans="1:8" ht="15.75" customHeight="1" x14ac:dyDescent="0.35">
      <c r="A762" s="15"/>
      <c r="B762" s="3" t="s">
        <v>4868</v>
      </c>
      <c r="C762" s="16" t="s">
        <v>4869</v>
      </c>
      <c r="D762" s="17" t="s">
        <v>861</v>
      </c>
      <c r="E762" s="16" t="s">
        <v>4870</v>
      </c>
      <c r="F762" s="17" t="s">
        <v>4871</v>
      </c>
      <c r="G762" s="3" t="s">
        <v>4863</v>
      </c>
      <c r="H762" s="6">
        <v>8591.6479999999992</v>
      </c>
    </row>
    <row r="763" spans="1:8" ht="15.75" customHeight="1" x14ac:dyDescent="0.35">
      <c r="A763" s="15"/>
      <c r="B763" s="3" t="s">
        <v>4872</v>
      </c>
      <c r="C763" s="16" t="s">
        <v>4873</v>
      </c>
      <c r="D763" s="17" t="s">
        <v>860</v>
      </c>
      <c r="E763" s="16" t="s">
        <v>4874</v>
      </c>
      <c r="F763" s="17" t="s">
        <v>4875</v>
      </c>
      <c r="G763" s="3" t="s">
        <v>4863</v>
      </c>
      <c r="H763" s="6">
        <v>7848.3680000000004</v>
      </c>
    </row>
    <row r="764" spans="1:8" ht="15.75" customHeight="1" x14ac:dyDescent="0.35">
      <c r="A764" s="15"/>
      <c r="B764" s="3" t="s">
        <v>4876</v>
      </c>
      <c r="C764" s="16" t="s">
        <v>4877</v>
      </c>
      <c r="D764" s="17" t="s">
        <v>860</v>
      </c>
      <c r="E764" s="16" t="s">
        <v>4878</v>
      </c>
      <c r="F764" s="17" t="s">
        <v>4879</v>
      </c>
      <c r="G764" s="3" t="s">
        <v>3873</v>
      </c>
      <c r="H764" s="6">
        <v>17623.792000000001</v>
      </c>
    </row>
    <row r="765" spans="1:8" ht="15.75" customHeight="1" x14ac:dyDescent="0.35">
      <c r="A765" s="15"/>
      <c r="B765" s="3" t="s">
        <v>4880</v>
      </c>
      <c r="C765" s="16" t="s">
        <v>4881</v>
      </c>
      <c r="D765" s="17" t="s">
        <v>861</v>
      </c>
      <c r="E765" s="16" t="s">
        <v>4882</v>
      </c>
      <c r="F765" s="17" t="s">
        <v>4883</v>
      </c>
      <c r="G765" s="3" t="s">
        <v>3873</v>
      </c>
      <c r="H765" s="6">
        <v>8339.9359999999997</v>
      </c>
    </row>
    <row r="766" spans="1:8" ht="15.75" customHeight="1" x14ac:dyDescent="0.35">
      <c r="A766" s="15"/>
      <c r="B766" s="3" t="s">
        <v>4884</v>
      </c>
      <c r="C766" s="16" t="s">
        <v>4885</v>
      </c>
      <c r="D766" s="17" t="s">
        <v>861</v>
      </c>
      <c r="E766" s="16" t="s">
        <v>4886</v>
      </c>
      <c r="F766" s="17" t="s">
        <v>4887</v>
      </c>
      <c r="G766" s="3" t="s">
        <v>3873</v>
      </c>
      <c r="H766" s="6">
        <v>8254.2079999999987</v>
      </c>
    </row>
    <row r="767" spans="1:8" ht="15.75" customHeight="1" x14ac:dyDescent="0.35">
      <c r="A767" s="15"/>
      <c r="B767" s="3" t="s">
        <v>4888</v>
      </c>
      <c r="C767" s="16" t="s">
        <v>4889</v>
      </c>
      <c r="D767" s="17" t="s">
        <v>861</v>
      </c>
      <c r="E767" s="16" t="s">
        <v>4890</v>
      </c>
      <c r="F767" s="17" t="s">
        <v>4222</v>
      </c>
      <c r="G767" s="3" t="s">
        <v>4891</v>
      </c>
      <c r="H767" s="6">
        <v>5602.72</v>
      </c>
    </row>
    <row r="768" spans="1:8" ht="15.75" customHeight="1" x14ac:dyDescent="0.35">
      <c r="A768" s="15"/>
      <c r="B768" s="3" t="s">
        <v>4892</v>
      </c>
      <c r="C768" s="16" t="s">
        <v>4893</v>
      </c>
      <c r="D768" s="17" t="s">
        <v>860</v>
      </c>
      <c r="E768" s="16" t="s">
        <v>4894</v>
      </c>
      <c r="F768" s="17" t="s">
        <v>4895</v>
      </c>
      <c r="G768" s="3" t="s">
        <v>4896</v>
      </c>
      <c r="H768" s="6">
        <v>12709.632</v>
      </c>
    </row>
    <row r="769" spans="1:8" ht="15.75" customHeight="1" x14ac:dyDescent="0.35">
      <c r="A769" s="15"/>
      <c r="B769" s="3" t="s">
        <v>4897</v>
      </c>
      <c r="C769" s="16" t="s">
        <v>4898</v>
      </c>
      <c r="D769" s="17" t="s">
        <v>860</v>
      </c>
      <c r="E769" s="16" t="s">
        <v>4899</v>
      </c>
      <c r="F769" s="17" t="s">
        <v>1631</v>
      </c>
      <c r="G769" s="3" t="s">
        <v>4896</v>
      </c>
      <c r="H769" s="6">
        <v>12250.288</v>
      </c>
    </row>
    <row r="770" spans="1:8" ht="15.75" customHeight="1" x14ac:dyDescent="0.35">
      <c r="A770" s="15"/>
      <c r="B770" s="3" t="s">
        <v>4900</v>
      </c>
      <c r="C770" s="16" t="s">
        <v>4901</v>
      </c>
      <c r="D770" s="17" t="s">
        <v>860</v>
      </c>
      <c r="E770" s="16" t="s">
        <v>4902</v>
      </c>
      <c r="F770" s="17" t="s">
        <v>4903</v>
      </c>
      <c r="G770" s="3" t="s">
        <v>4896</v>
      </c>
      <c r="H770" s="6">
        <v>0</v>
      </c>
    </row>
    <row r="771" spans="1:8" ht="15.75" customHeight="1" x14ac:dyDescent="0.35">
      <c r="A771" s="15"/>
      <c r="B771" s="3" t="s">
        <v>4904</v>
      </c>
      <c r="C771" s="16" t="s">
        <v>4905</v>
      </c>
      <c r="D771" s="17" t="s">
        <v>860</v>
      </c>
      <c r="E771" s="16" t="s">
        <v>4906</v>
      </c>
      <c r="F771" s="17" t="s">
        <v>4907</v>
      </c>
      <c r="G771" s="3" t="s">
        <v>4908</v>
      </c>
      <c r="H771" s="6">
        <v>0</v>
      </c>
    </row>
    <row r="772" spans="1:8" ht="15.75" customHeight="1" x14ac:dyDescent="0.35">
      <c r="A772" s="15"/>
      <c r="B772" s="3" t="s">
        <v>4909</v>
      </c>
      <c r="C772" s="16" t="s">
        <v>4910</v>
      </c>
      <c r="D772" s="17" t="s">
        <v>860</v>
      </c>
      <c r="E772" s="16" t="s">
        <v>4911</v>
      </c>
      <c r="F772" s="17" t="s">
        <v>4912</v>
      </c>
      <c r="G772" s="3" t="s">
        <v>4913</v>
      </c>
      <c r="H772" s="6">
        <v>17339.248</v>
      </c>
    </row>
    <row r="773" spans="1:8" ht="15.75" customHeight="1" x14ac:dyDescent="0.35">
      <c r="A773" s="15"/>
      <c r="B773" s="3" t="s">
        <v>4914</v>
      </c>
      <c r="C773" s="16" t="s">
        <v>4915</v>
      </c>
      <c r="D773" s="17" t="s">
        <v>860</v>
      </c>
      <c r="E773" s="16" t="s">
        <v>4916</v>
      </c>
      <c r="F773" s="17" t="s">
        <v>4917</v>
      </c>
      <c r="G773" s="3" t="s">
        <v>4918</v>
      </c>
      <c r="H773" s="6">
        <v>18926.736000000001</v>
      </c>
    </row>
    <row r="774" spans="1:8" ht="15.75" customHeight="1" x14ac:dyDescent="0.35">
      <c r="A774" s="15"/>
      <c r="B774" s="3" t="s">
        <v>4919</v>
      </c>
      <c r="C774" s="16" t="s">
        <v>4920</v>
      </c>
      <c r="D774" s="17" t="s">
        <v>860</v>
      </c>
      <c r="E774" s="16" t="s">
        <v>4921</v>
      </c>
      <c r="F774" s="17" t="s">
        <v>4922</v>
      </c>
      <c r="G774" s="3" t="s">
        <v>4923</v>
      </c>
      <c r="H774" s="6">
        <v>12709.632</v>
      </c>
    </row>
    <row r="775" spans="1:8" ht="15.75" customHeight="1" x14ac:dyDescent="0.35">
      <c r="A775" s="15"/>
      <c r="B775" s="3" t="s">
        <v>4924</v>
      </c>
      <c r="C775" s="16" t="s">
        <v>4925</v>
      </c>
      <c r="D775" s="17" t="s">
        <v>861</v>
      </c>
      <c r="E775" s="16" t="s">
        <v>4926</v>
      </c>
      <c r="F775" s="17" t="s">
        <v>4927</v>
      </c>
      <c r="G775" s="3" t="s">
        <v>4923</v>
      </c>
      <c r="H775" s="6">
        <v>8322.9119999999984</v>
      </c>
    </row>
    <row r="776" spans="1:8" ht="15.75" customHeight="1" x14ac:dyDescent="0.35">
      <c r="A776" s="15"/>
      <c r="B776" s="3" t="s">
        <v>4928</v>
      </c>
      <c r="C776" s="16" t="s">
        <v>4929</v>
      </c>
      <c r="D776" s="17" t="s">
        <v>860</v>
      </c>
      <c r="E776" s="16" t="s">
        <v>4930</v>
      </c>
      <c r="F776" s="17" t="s">
        <v>4931</v>
      </c>
      <c r="G776" s="3" t="s">
        <v>4932</v>
      </c>
      <c r="H776" s="6">
        <v>30153.455999999998</v>
      </c>
    </row>
    <row r="777" spans="1:8" ht="15.75" customHeight="1" x14ac:dyDescent="0.35">
      <c r="A777" s="15"/>
      <c r="B777" s="3" t="s">
        <v>4933</v>
      </c>
      <c r="C777" s="16" t="s">
        <v>4934</v>
      </c>
      <c r="D777" s="17" t="s">
        <v>860</v>
      </c>
      <c r="E777" s="16" t="s">
        <v>4935</v>
      </c>
      <c r="F777" s="17" t="s">
        <v>3927</v>
      </c>
      <c r="G777" s="3" t="s">
        <v>4923</v>
      </c>
      <c r="H777" s="6">
        <v>7862.0479999999998</v>
      </c>
    </row>
    <row r="778" spans="1:8" ht="15.75" customHeight="1" x14ac:dyDescent="0.35">
      <c r="A778" s="15"/>
      <c r="B778" s="3" t="s">
        <v>4936</v>
      </c>
      <c r="C778" s="16" t="s">
        <v>4937</v>
      </c>
      <c r="D778" s="17" t="s">
        <v>860</v>
      </c>
      <c r="E778" s="16" t="s">
        <v>4938</v>
      </c>
      <c r="F778" s="17" t="s">
        <v>4939</v>
      </c>
      <c r="G778" s="3" t="s">
        <v>4940</v>
      </c>
      <c r="H778" s="6">
        <v>10591.359999999999</v>
      </c>
    </row>
    <row r="779" spans="1:8" ht="15.75" customHeight="1" x14ac:dyDescent="0.35">
      <c r="A779" s="15"/>
      <c r="B779" s="3" t="s">
        <v>4941</v>
      </c>
      <c r="C779" s="16" t="s">
        <v>4942</v>
      </c>
      <c r="D779" s="17" t="s">
        <v>861</v>
      </c>
      <c r="E779" s="16" t="s">
        <v>4943</v>
      </c>
      <c r="F779" s="17" t="s">
        <v>4944</v>
      </c>
      <c r="G779" s="3" t="s">
        <v>4940</v>
      </c>
      <c r="H779" s="6">
        <v>6643.92</v>
      </c>
    </row>
    <row r="780" spans="1:8" ht="15.75" customHeight="1" x14ac:dyDescent="0.35">
      <c r="A780" s="15"/>
      <c r="B780" s="3" t="s">
        <v>4945</v>
      </c>
      <c r="C780" s="16" t="s">
        <v>4946</v>
      </c>
      <c r="D780" s="17" t="s">
        <v>860</v>
      </c>
      <c r="E780" s="16" t="s">
        <v>4947</v>
      </c>
      <c r="F780" s="17" t="s">
        <v>4948</v>
      </c>
      <c r="G780" s="3" t="s">
        <v>4923</v>
      </c>
      <c r="H780" s="6">
        <v>13897.359999999999</v>
      </c>
    </row>
    <row r="781" spans="1:8" ht="15.75" customHeight="1" x14ac:dyDescent="0.35">
      <c r="A781" s="15"/>
      <c r="B781" s="3" t="s">
        <v>4949</v>
      </c>
      <c r="C781" s="16" t="s">
        <v>4950</v>
      </c>
      <c r="D781" s="17" t="s">
        <v>861</v>
      </c>
      <c r="E781" s="16" t="s">
        <v>4951</v>
      </c>
      <c r="F781" s="17" t="s">
        <v>1382</v>
      </c>
      <c r="G781" s="3" t="s">
        <v>4952</v>
      </c>
      <c r="H781" s="6">
        <v>8473.0879999999997</v>
      </c>
    </row>
    <row r="782" spans="1:8" ht="15.75" customHeight="1" x14ac:dyDescent="0.35">
      <c r="A782" s="15"/>
      <c r="B782" s="3" t="s">
        <v>4953</v>
      </c>
      <c r="C782" s="16" t="s">
        <v>4954</v>
      </c>
      <c r="D782" s="17" t="s">
        <v>861</v>
      </c>
      <c r="E782" s="16" t="s">
        <v>4955</v>
      </c>
      <c r="F782" s="17" t="s">
        <v>4956</v>
      </c>
      <c r="G782" s="3" t="s">
        <v>4957</v>
      </c>
      <c r="H782" s="6">
        <v>7445.8720000000003</v>
      </c>
    </row>
    <row r="783" spans="1:8" ht="15.75" customHeight="1" x14ac:dyDescent="0.35">
      <c r="A783" s="15"/>
      <c r="B783" s="3" t="s">
        <v>4958</v>
      </c>
      <c r="C783" s="16" t="s">
        <v>4959</v>
      </c>
      <c r="D783" s="17" t="s">
        <v>861</v>
      </c>
      <c r="E783" s="16" t="s">
        <v>4960</v>
      </c>
      <c r="F783" s="17" t="s">
        <v>4961</v>
      </c>
      <c r="G783" s="3" t="s">
        <v>4962</v>
      </c>
      <c r="H783" s="6">
        <v>22241.856</v>
      </c>
    </row>
    <row r="784" spans="1:8" ht="15.75" customHeight="1" x14ac:dyDescent="0.35">
      <c r="A784" s="15"/>
      <c r="B784" s="3" t="s">
        <v>4963</v>
      </c>
      <c r="C784" s="16" t="s">
        <v>4964</v>
      </c>
      <c r="D784" s="17" t="s">
        <v>861</v>
      </c>
      <c r="E784" s="16" t="s">
        <v>4965</v>
      </c>
      <c r="F784" s="17" t="s">
        <v>4966</v>
      </c>
      <c r="G784" s="3" t="s">
        <v>4967</v>
      </c>
      <c r="H784" s="6">
        <v>0</v>
      </c>
    </row>
    <row r="785" spans="1:8" ht="15.75" customHeight="1" x14ac:dyDescent="0.35">
      <c r="A785" s="15"/>
      <c r="B785" s="3" t="s">
        <v>4968</v>
      </c>
      <c r="C785" s="16" t="s">
        <v>4969</v>
      </c>
      <c r="D785" s="17" t="s">
        <v>861</v>
      </c>
      <c r="E785" s="16" t="s">
        <v>4970</v>
      </c>
      <c r="F785" s="17" t="s">
        <v>4722</v>
      </c>
      <c r="G785" s="3" t="s">
        <v>4971</v>
      </c>
      <c r="H785" s="6">
        <v>12709.632</v>
      </c>
    </row>
    <row r="786" spans="1:8" ht="15.75" customHeight="1" x14ac:dyDescent="0.35">
      <c r="A786" s="15"/>
      <c r="B786" s="3" t="s">
        <v>4972</v>
      </c>
      <c r="C786" s="16" t="s">
        <v>4973</v>
      </c>
      <c r="D786" s="17" t="s">
        <v>861</v>
      </c>
      <c r="E786" s="16" t="s">
        <v>4974</v>
      </c>
      <c r="F786" s="17" t="s">
        <v>4975</v>
      </c>
      <c r="G786" s="3" t="s">
        <v>4976</v>
      </c>
      <c r="H786" s="6">
        <v>6887.7279999999992</v>
      </c>
    </row>
    <row r="787" spans="1:8" ht="15.75" customHeight="1" x14ac:dyDescent="0.35">
      <c r="A787" s="15"/>
      <c r="B787" s="3" t="s">
        <v>4977</v>
      </c>
      <c r="C787" s="16" t="s">
        <v>4978</v>
      </c>
      <c r="D787" s="17" t="s">
        <v>861</v>
      </c>
      <c r="E787" s="16" t="s">
        <v>4979</v>
      </c>
      <c r="F787" s="17" t="s">
        <v>4980</v>
      </c>
      <c r="G787" s="3" t="s">
        <v>4962</v>
      </c>
      <c r="H787" s="6">
        <v>17158.063999999998</v>
      </c>
    </row>
    <row r="788" spans="1:8" ht="15.75" customHeight="1" x14ac:dyDescent="0.35">
      <c r="A788" s="15"/>
      <c r="B788" s="3" t="s">
        <v>4981</v>
      </c>
      <c r="C788" s="16" t="s">
        <v>4982</v>
      </c>
      <c r="D788" s="17" t="s">
        <v>861</v>
      </c>
      <c r="E788" s="16" t="s">
        <v>4983</v>
      </c>
      <c r="F788" s="17" t="s">
        <v>1081</v>
      </c>
      <c r="G788" s="3" t="s">
        <v>4962</v>
      </c>
      <c r="H788" s="6">
        <v>21182.719999999998</v>
      </c>
    </row>
    <row r="789" spans="1:8" ht="15.75" customHeight="1" x14ac:dyDescent="0.35">
      <c r="A789" s="15"/>
      <c r="B789" s="3" t="s">
        <v>4984</v>
      </c>
      <c r="C789" s="16" t="s">
        <v>4985</v>
      </c>
      <c r="D789" s="17" t="s">
        <v>861</v>
      </c>
      <c r="E789" s="16" t="s">
        <v>4986</v>
      </c>
      <c r="F789" s="17" t="s">
        <v>4252</v>
      </c>
      <c r="G789" s="3" t="s">
        <v>4962</v>
      </c>
      <c r="H789" s="6">
        <v>13505.199999999999</v>
      </c>
    </row>
    <row r="790" spans="1:8" ht="15.75" customHeight="1" x14ac:dyDescent="0.35">
      <c r="A790" s="15"/>
      <c r="B790" s="3" t="s">
        <v>4987</v>
      </c>
      <c r="C790" s="16" t="s">
        <v>4988</v>
      </c>
      <c r="D790" s="17" t="s">
        <v>861</v>
      </c>
      <c r="E790" s="16" t="s">
        <v>4989</v>
      </c>
      <c r="F790" s="17" t="s">
        <v>4990</v>
      </c>
      <c r="G790" s="3" t="s">
        <v>4991</v>
      </c>
      <c r="H790" s="6">
        <v>7577.2</v>
      </c>
    </row>
    <row r="791" spans="1:8" ht="15.75" customHeight="1" x14ac:dyDescent="0.35">
      <c r="A791" s="15"/>
      <c r="B791" s="3" t="s">
        <v>4992</v>
      </c>
      <c r="C791" s="16" t="s">
        <v>4993</v>
      </c>
      <c r="D791" s="17" t="s">
        <v>860</v>
      </c>
      <c r="E791" s="16" t="s">
        <v>4994</v>
      </c>
      <c r="F791" s="17" t="s">
        <v>4995</v>
      </c>
      <c r="G791" s="3" t="s">
        <v>4962</v>
      </c>
      <c r="H791" s="6">
        <v>9259.5359999999982</v>
      </c>
    </row>
    <row r="792" spans="1:8" ht="15.75" customHeight="1" x14ac:dyDescent="0.35">
      <c r="A792" s="15"/>
      <c r="B792" s="3" t="s">
        <v>4996</v>
      </c>
      <c r="C792" s="16" t="s">
        <v>4997</v>
      </c>
      <c r="D792" s="17" t="s">
        <v>861</v>
      </c>
      <c r="E792" s="16" t="s">
        <v>4998</v>
      </c>
      <c r="F792" s="17" t="s">
        <v>4999</v>
      </c>
      <c r="G792" s="3" t="s">
        <v>4991</v>
      </c>
      <c r="H792" s="6">
        <v>10126.544</v>
      </c>
    </row>
    <row r="793" spans="1:8" ht="15.75" customHeight="1" x14ac:dyDescent="0.35">
      <c r="A793" s="15"/>
      <c r="B793" s="3" t="s">
        <v>5000</v>
      </c>
      <c r="C793" s="16" t="s">
        <v>5001</v>
      </c>
      <c r="D793" s="17" t="s">
        <v>860</v>
      </c>
      <c r="E793" s="16" t="s">
        <v>5002</v>
      </c>
      <c r="F793" s="17" t="s">
        <v>5003</v>
      </c>
      <c r="G793" s="3" t="s">
        <v>4991</v>
      </c>
      <c r="H793" s="6">
        <v>9627.0720000000001</v>
      </c>
    </row>
    <row r="794" spans="1:8" ht="15.75" customHeight="1" x14ac:dyDescent="0.35">
      <c r="A794" s="15"/>
      <c r="B794" s="3" t="s">
        <v>5004</v>
      </c>
      <c r="C794" s="16" t="s">
        <v>5005</v>
      </c>
      <c r="D794" s="17" t="s">
        <v>860</v>
      </c>
      <c r="E794" s="16" t="s">
        <v>5006</v>
      </c>
      <c r="F794" s="17" t="s">
        <v>5007</v>
      </c>
      <c r="G794" s="3" t="s">
        <v>5008</v>
      </c>
      <c r="H794" s="6">
        <v>8013.7439999999997</v>
      </c>
    </row>
    <row r="795" spans="1:8" ht="15.75" customHeight="1" x14ac:dyDescent="0.35">
      <c r="A795" s="15"/>
      <c r="B795" s="3" t="s">
        <v>5009</v>
      </c>
      <c r="C795" s="16" t="s">
        <v>5010</v>
      </c>
      <c r="D795" s="17" t="s">
        <v>861</v>
      </c>
      <c r="E795" s="16" t="s">
        <v>5011</v>
      </c>
      <c r="F795" s="17" t="s">
        <v>5012</v>
      </c>
      <c r="G795" s="3" t="s">
        <v>5008</v>
      </c>
      <c r="H795" s="6">
        <v>7862.0479999999998</v>
      </c>
    </row>
    <row r="796" spans="1:8" ht="15.75" customHeight="1" x14ac:dyDescent="0.35">
      <c r="A796" s="15"/>
      <c r="B796" s="3" t="s">
        <v>5013</v>
      </c>
      <c r="C796" s="16" t="s">
        <v>5014</v>
      </c>
      <c r="D796" s="17" t="s">
        <v>861</v>
      </c>
      <c r="E796" s="16" t="s">
        <v>5015</v>
      </c>
      <c r="F796" s="17" t="s">
        <v>5016</v>
      </c>
      <c r="G796" s="3" t="s">
        <v>5017</v>
      </c>
      <c r="H796" s="6">
        <v>11455.632</v>
      </c>
    </row>
    <row r="797" spans="1:8" ht="15.75" customHeight="1" x14ac:dyDescent="0.35">
      <c r="A797" s="15"/>
      <c r="B797" s="3" t="s">
        <v>5018</v>
      </c>
      <c r="C797" s="16" t="s">
        <v>5019</v>
      </c>
      <c r="D797" s="17" t="s">
        <v>861</v>
      </c>
      <c r="E797" s="16" t="s">
        <v>5020</v>
      </c>
      <c r="F797" s="17" t="s">
        <v>5021</v>
      </c>
      <c r="G797" s="3" t="s">
        <v>3952</v>
      </c>
      <c r="H797" s="6">
        <v>14721.503999999999</v>
      </c>
    </row>
    <row r="798" spans="1:8" ht="15.75" customHeight="1" x14ac:dyDescent="0.35">
      <c r="A798" s="15"/>
      <c r="B798" s="3" t="s">
        <v>5022</v>
      </c>
      <c r="C798" s="16" t="s">
        <v>5023</v>
      </c>
      <c r="D798" s="17" t="s">
        <v>860</v>
      </c>
      <c r="E798" s="16" t="s">
        <v>5024</v>
      </c>
      <c r="F798" s="17" t="s">
        <v>5025</v>
      </c>
      <c r="G798" s="3" t="s">
        <v>5026</v>
      </c>
      <c r="H798" s="6">
        <v>9532.2240000000002</v>
      </c>
    </row>
    <row r="799" spans="1:8" ht="15.75" customHeight="1" x14ac:dyDescent="0.35">
      <c r="A799" s="15"/>
      <c r="B799" s="3" t="s">
        <v>5027</v>
      </c>
      <c r="C799" s="16" t="s">
        <v>5028</v>
      </c>
      <c r="D799" s="17" t="s">
        <v>860</v>
      </c>
      <c r="E799" s="16" t="s">
        <v>5029</v>
      </c>
      <c r="F799" s="17" t="s">
        <v>5030</v>
      </c>
      <c r="G799" s="3" t="s">
        <v>5026</v>
      </c>
      <c r="H799" s="6">
        <v>23300.991999999998</v>
      </c>
    </row>
    <row r="800" spans="1:8" ht="15.75" customHeight="1" x14ac:dyDescent="0.35">
      <c r="A800" s="15"/>
      <c r="B800" s="3" t="s">
        <v>5031</v>
      </c>
      <c r="C800" s="16" t="s">
        <v>5032</v>
      </c>
      <c r="D800" s="17" t="s">
        <v>860</v>
      </c>
      <c r="E800" s="16" t="s">
        <v>5033</v>
      </c>
      <c r="F800" s="17" t="s">
        <v>5034</v>
      </c>
      <c r="G800" s="3" t="s">
        <v>5026</v>
      </c>
      <c r="H800" s="6">
        <v>29126.239999999998</v>
      </c>
    </row>
    <row r="801" spans="1:8" ht="15.75" customHeight="1" x14ac:dyDescent="0.35">
      <c r="A801" s="15"/>
      <c r="B801" s="3" t="s">
        <v>5035</v>
      </c>
      <c r="C801" s="16" t="s">
        <v>5036</v>
      </c>
      <c r="D801" s="17" t="s">
        <v>861</v>
      </c>
      <c r="E801" s="16" t="s">
        <v>5037</v>
      </c>
      <c r="F801" s="17" t="s">
        <v>5038</v>
      </c>
      <c r="G801" s="3" t="s">
        <v>5039</v>
      </c>
      <c r="H801" s="6">
        <v>7445.8720000000003</v>
      </c>
    </row>
    <row r="802" spans="1:8" ht="15.75" customHeight="1" x14ac:dyDescent="0.35">
      <c r="A802" s="15"/>
      <c r="B802" s="3" t="s">
        <v>5040</v>
      </c>
      <c r="C802" s="16" t="s">
        <v>5041</v>
      </c>
      <c r="D802" s="17" t="s">
        <v>860</v>
      </c>
      <c r="E802" s="16" t="s">
        <v>5042</v>
      </c>
      <c r="F802" s="17" t="s">
        <v>5043</v>
      </c>
      <c r="G802" s="3" t="s">
        <v>5026</v>
      </c>
      <c r="H802" s="6">
        <v>0</v>
      </c>
    </row>
    <row r="803" spans="1:8" ht="15.75" customHeight="1" x14ac:dyDescent="0.35">
      <c r="A803" s="15"/>
      <c r="B803" s="3" t="s">
        <v>5044</v>
      </c>
      <c r="C803" s="16" t="s">
        <v>5045</v>
      </c>
      <c r="D803" s="17" t="s">
        <v>861</v>
      </c>
      <c r="E803" s="16" t="s">
        <v>5046</v>
      </c>
      <c r="F803" s="17" t="s">
        <v>5047</v>
      </c>
      <c r="G803" s="3" t="s">
        <v>5026</v>
      </c>
      <c r="H803" s="6">
        <v>5602.72</v>
      </c>
    </row>
    <row r="804" spans="1:8" ht="15.75" customHeight="1" x14ac:dyDescent="0.35">
      <c r="A804" s="15"/>
      <c r="B804" s="3" t="s">
        <v>5048</v>
      </c>
      <c r="C804" s="16" t="s">
        <v>5049</v>
      </c>
      <c r="D804" s="17" t="s">
        <v>861</v>
      </c>
      <c r="E804" s="16" t="s">
        <v>5050</v>
      </c>
      <c r="F804" s="17" t="s">
        <v>5051</v>
      </c>
      <c r="G804" s="3" t="s">
        <v>5026</v>
      </c>
      <c r="H804" s="6">
        <v>9612.1759999999995</v>
      </c>
    </row>
    <row r="805" spans="1:8" ht="15.75" customHeight="1" x14ac:dyDescent="0.35">
      <c r="A805" s="15"/>
      <c r="B805" s="3" t="s">
        <v>5052</v>
      </c>
      <c r="C805" s="16" t="s">
        <v>5053</v>
      </c>
      <c r="D805" s="17" t="s">
        <v>861</v>
      </c>
      <c r="E805" s="16" t="s">
        <v>5054</v>
      </c>
      <c r="F805" s="17" t="s">
        <v>1630</v>
      </c>
      <c r="G805" s="3" t="s">
        <v>5055</v>
      </c>
      <c r="H805" s="6">
        <v>7862.0479999999998</v>
      </c>
    </row>
    <row r="806" spans="1:8" ht="15.75" customHeight="1" x14ac:dyDescent="0.35">
      <c r="A806" s="15"/>
      <c r="B806" s="3" t="s">
        <v>5056</v>
      </c>
      <c r="C806" s="16" t="s">
        <v>5057</v>
      </c>
      <c r="D806" s="17" t="s">
        <v>861</v>
      </c>
      <c r="E806" s="16" t="s">
        <v>5058</v>
      </c>
      <c r="F806" s="17" t="s">
        <v>5059</v>
      </c>
      <c r="G806" s="3" t="s">
        <v>5039</v>
      </c>
      <c r="H806" s="6">
        <v>17558.432000000001</v>
      </c>
    </row>
    <row r="807" spans="1:8" ht="15.75" customHeight="1" x14ac:dyDescent="0.35">
      <c r="A807" s="15"/>
      <c r="B807" s="3" t="s">
        <v>5060</v>
      </c>
      <c r="C807" s="16" t="s">
        <v>5061</v>
      </c>
      <c r="D807" s="17" t="s">
        <v>861</v>
      </c>
      <c r="E807" s="16" t="s">
        <v>5062</v>
      </c>
      <c r="F807" s="17" t="s">
        <v>5063</v>
      </c>
      <c r="G807" s="3" t="s">
        <v>5026</v>
      </c>
      <c r="H807" s="6">
        <v>11781.52</v>
      </c>
    </row>
    <row r="808" spans="1:8" ht="15.75" customHeight="1" x14ac:dyDescent="0.35">
      <c r="A808" s="15"/>
      <c r="B808" s="3" t="s">
        <v>5064</v>
      </c>
      <c r="C808" s="16" t="s">
        <v>5065</v>
      </c>
      <c r="D808" s="17" t="s">
        <v>861</v>
      </c>
      <c r="E808" s="16" t="s">
        <v>5066</v>
      </c>
      <c r="F808" s="17" t="s">
        <v>5067</v>
      </c>
      <c r="G808" s="3" t="s">
        <v>5068</v>
      </c>
      <c r="H808" s="6">
        <v>25948.831999999999</v>
      </c>
    </row>
    <row r="809" spans="1:8" ht="15.75" customHeight="1" x14ac:dyDescent="0.35">
      <c r="A809" s="15"/>
      <c r="B809" s="3" t="s">
        <v>5069</v>
      </c>
      <c r="C809" s="16" t="s">
        <v>5070</v>
      </c>
      <c r="D809" s="17" t="s">
        <v>861</v>
      </c>
      <c r="E809" s="16" t="s">
        <v>5071</v>
      </c>
      <c r="F809" s="17" t="s">
        <v>5072</v>
      </c>
      <c r="G809" s="3" t="s">
        <v>3952</v>
      </c>
      <c r="H809" s="6">
        <v>7862.0479999999998</v>
      </c>
    </row>
    <row r="810" spans="1:8" ht="15.75" customHeight="1" x14ac:dyDescent="0.35">
      <c r="A810" s="15"/>
      <c r="B810" s="3" t="s">
        <v>5073</v>
      </c>
      <c r="C810" s="16" t="s">
        <v>5074</v>
      </c>
      <c r="D810" s="17" t="s">
        <v>861</v>
      </c>
      <c r="E810" s="16" t="s">
        <v>5075</v>
      </c>
      <c r="F810" s="17" t="s">
        <v>5076</v>
      </c>
      <c r="G810" s="3" t="s">
        <v>5077</v>
      </c>
      <c r="H810" s="6">
        <v>7510.6239999999998</v>
      </c>
    </row>
    <row r="811" spans="1:8" ht="15.75" customHeight="1" x14ac:dyDescent="0.35">
      <c r="A811" s="15"/>
      <c r="B811" s="3" t="s">
        <v>5078</v>
      </c>
      <c r="C811" s="16" t="s">
        <v>5079</v>
      </c>
      <c r="D811" s="17" t="s">
        <v>860</v>
      </c>
      <c r="E811" s="16" t="s">
        <v>5080</v>
      </c>
      <c r="F811" s="17" t="s">
        <v>5081</v>
      </c>
      <c r="G811" s="3" t="s">
        <v>5082</v>
      </c>
      <c r="H811" s="6">
        <v>8049.311999999999</v>
      </c>
    </row>
    <row r="812" spans="1:8" ht="15.75" customHeight="1" x14ac:dyDescent="0.35">
      <c r="A812" s="15"/>
      <c r="B812" s="3" t="s">
        <v>5083</v>
      </c>
      <c r="C812" s="16" t="s">
        <v>5084</v>
      </c>
      <c r="D812" s="17" t="s">
        <v>861</v>
      </c>
      <c r="E812" s="16" t="s">
        <v>5085</v>
      </c>
      <c r="F812" s="17" t="s">
        <v>5086</v>
      </c>
      <c r="G812" s="3" t="s">
        <v>5087</v>
      </c>
      <c r="H812" s="6">
        <v>9532.2240000000002</v>
      </c>
    </row>
    <row r="813" spans="1:8" ht="15.75" customHeight="1" x14ac:dyDescent="0.35">
      <c r="A813" s="15"/>
      <c r="B813" s="3" t="s">
        <v>5088</v>
      </c>
      <c r="C813" s="16" t="s">
        <v>5089</v>
      </c>
      <c r="D813" s="17" t="s">
        <v>861</v>
      </c>
      <c r="E813" s="16" t="s">
        <v>5090</v>
      </c>
      <c r="F813" s="17" t="s">
        <v>5091</v>
      </c>
      <c r="G813" s="3" t="s">
        <v>5087</v>
      </c>
      <c r="H813" s="6">
        <v>6526.8799999999992</v>
      </c>
    </row>
    <row r="814" spans="1:8" ht="15.75" customHeight="1" x14ac:dyDescent="0.35">
      <c r="A814" s="15"/>
      <c r="B814" s="3" t="s">
        <v>5092</v>
      </c>
      <c r="C814" s="16" t="s">
        <v>5093</v>
      </c>
      <c r="D814" s="17" t="s">
        <v>860</v>
      </c>
      <c r="E814" s="16" t="s">
        <v>5094</v>
      </c>
      <c r="F814" s="17" t="s">
        <v>5095</v>
      </c>
      <c r="G814" s="3" t="s">
        <v>5096</v>
      </c>
      <c r="H814" s="6">
        <v>10591.359999999999</v>
      </c>
    </row>
    <row r="815" spans="1:8" ht="15.75" customHeight="1" x14ac:dyDescent="0.35">
      <c r="A815" s="15"/>
      <c r="B815" s="3" t="s">
        <v>5097</v>
      </c>
      <c r="C815" s="16" t="s">
        <v>5098</v>
      </c>
      <c r="D815" s="17" t="s">
        <v>861</v>
      </c>
      <c r="E815" s="16" t="s">
        <v>5099</v>
      </c>
      <c r="F815" s="17" t="s">
        <v>5100</v>
      </c>
      <c r="G815" s="3" t="s">
        <v>5077</v>
      </c>
      <c r="H815" s="6">
        <v>7862.0479999999998</v>
      </c>
    </row>
    <row r="816" spans="1:8" ht="15.75" customHeight="1" x14ac:dyDescent="0.35">
      <c r="A816" s="15"/>
      <c r="B816" s="3" t="s">
        <v>5101</v>
      </c>
      <c r="C816" s="16" t="s">
        <v>5102</v>
      </c>
      <c r="D816" s="17" t="s">
        <v>861</v>
      </c>
      <c r="E816" s="16" t="s">
        <v>5103</v>
      </c>
      <c r="F816" s="17" t="s">
        <v>5104</v>
      </c>
      <c r="G816" s="3" t="s">
        <v>5105</v>
      </c>
      <c r="H816" s="6">
        <v>26478.399999999998</v>
      </c>
    </row>
    <row r="817" spans="1:8" ht="15.75" customHeight="1" x14ac:dyDescent="0.35">
      <c r="A817" s="15"/>
      <c r="B817" s="3" t="s">
        <v>5106</v>
      </c>
      <c r="C817" s="16" t="s">
        <v>5107</v>
      </c>
      <c r="D817" s="17" t="s">
        <v>860</v>
      </c>
      <c r="E817" s="16" t="s">
        <v>5108</v>
      </c>
      <c r="F817" s="17" t="s">
        <v>1535</v>
      </c>
      <c r="G817" s="3" t="s">
        <v>5105</v>
      </c>
      <c r="H817" s="6">
        <v>7445.8720000000003</v>
      </c>
    </row>
    <row r="818" spans="1:8" ht="15.75" customHeight="1" x14ac:dyDescent="0.35">
      <c r="A818" s="15"/>
      <c r="B818" s="3" t="s">
        <v>5109</v>
      </c>
      <c r="C818" s="16" t="s">
        <v>5110</v>
      </c>
      <c r="D818" s="17" t="s">
        <v>861</v>
      </c>
      <c r="E818" s="16" t="s">
        <v>5111</v>
      </c>
      <c r="F818" s="17" t="s">
        <v>5112</v>
      </c>
      <c r="G818" s="3" t="s">
        <v>5105</v>
      </c>
      <c r="H818" s="6">
        <v>8388.271999999999</v>
      </c>
    </row>
    <row r="819" spans="1:8" ht="15.75" customHeight="1" x14ac:dyDescent="0.35">
      <c r="A819" s="15"/>
      <c r="B819" s="3" t="s">
        <v>5113</v>
      </c>
      <c r="C819" s="16" t="s">
        <v>5114</v>
      </c>
      <c r="D819" s="17" t="s">
        <v>861</v>
      </c>
      <c r="E819" s="16" t="s">
        <v>5115</v>
      </c>
      <c r="F819" s="17" t="s">
        <v>5116</v>
      </c>
      <c r="G819" s="3" t="s">
        <v>5117</v>
      </c>
      <c r="H819" s="6">
        <v>5741.6480000000001</v>
      </c>
    </row>
    <row r="820" spans="1:8" ht="15.75" customHeight="1" x14ac:dyDescent="0.35">
      <c r="A820" s="15"/>
      <c r="B820" s="3" t="s">
        <v>5118</v>
      </c>
      <c r="C820" s="16" t="s">
        <v>5119</v>
      </c>
      <c r="D820" s="17" t="s">
        <v>861</v>
      </c>
      <c r="E820" s="16" t="s">
        <v>5120</v>
      </c>
      <c r="F820" s="17" t="s">
        <v>5121</v>
      </c>
      <c r="G820" s="3" t="s">
        <v>5122</v>
      </c>
      <c r="H820" s="6">
        <v>61429.887999999999</v>
      </c>
    </row>
    <row r="821" spans="1:8" ht="15.75" customHeight="1" x14ac:dyDescent="0.35">
      <c r="A821" s="15"/>
      <c r="B821" s="3" t="s">
        <v>5123</v>
      </c>
      <c r="C821" s="16" t="s">
        <v>5124</v>
      </c>
      <c r="D821" s="17" t="s">
        <v>860</v>
      </c>
      <c r="E821" s="16" t="s">
        <v>5125</v>
      </c>
      <c r="F821" s="17" t="s">
        <v>5126</v>
      </c>
      <c r="G821" s="3" t="s">
        <v>4316</v>
      </c>
      <c r="H821" s="6">
        <v>7862.0479999999998</v>
      </c>
    </row>
    <row r="822" spans="1:8" ht="15.75" customHeight="1" x14ac:dyDescent="0.35">
      <c r="A822" s="15"/>
      <c r="B822" s="3" t="s">
        <v>5127</v>
      </c>
      <c r="C822" s="16" t="s">
        <v>5128</v>
      </c>
      <c r="D822" s="17" t="s">
        <v>860</v>
      </c>
      <c r="E822" s="16" t="s">
        <v>5129</v>
      </c>
      <c r="F822" s="17" t="s">
        <v>1533</v>
      </c>
      <c r="G822" s="3" t="s">
        <v>3952</v>
      </c>
      <c r="H822" s="6">
        <v>48483.743999999992</v>
      </c>
    </row>
    <row r="823" spans="1:8" ht="15.75" customHeight="1" x14ac:dyDescent="0.35">
      <c r="A823" s="15"/>
      <c r="B823" s="3" t="s">
        <v>5130</v>
      </c>
      <c r="C823" s="16" t="s">
        <v>5131</v>
      </c>
      <c r="D823" s="17" t="s">
        <v>861</v>
      </c>
      <c r="E823" s="16" t="s">
        <v>5132</v>
      </c>
      <c r="F823" s="17" t="s">
        <v>5133</v>
      </c>
      <c r="G823" s="3" t="s">
        <v>4316</v>
      </c>
      <c r="H823" s="6">
        <v>5602.72</v>
      </c>
    </row>
    <row r="824" spans="1:8" ht="15.75" customHeight="1" x14ac:dyDescent="0.35">
      <c r="A824" s="15"/>
      <c r="B824" s="3" t="s">
        <v>5134</v>
      </c>
      <c r="C824" s="16" t="s">
        <v>5135</v>
      </c>
      <c r="D824" s="17" t="s">
        <v>861</v>
      </c>
      <c r="E824" s="16" t="s">
        <v>5136</v>
      </c>
      <c r="F824" s="17" t="s">
        <v>5137</v>
      </c>
      <c r="G824" s="3" t="s">
        <v>5138</v>
      </c>
      <c r="H824" s="6">
        <v>8049.311999999999</v>
      </c>
    </row>
    <row r="825" spans="1:8" ht="15.75" customHeight="1" x14ac:dyDescent="0.35">
      <c r="A825" s="15"/>
      <c r="B825" s="3" t="s">
        <v>5139</v>
      </c>
      <c r="C825" s="16" t="s">
        <v>5140</v>
      </c>
      <c r="D825" s="17" t="s">
        <v>860</v>
      </c>
      <c r="E825" s="16" t="s">
        <v>5141</v>
      </c>
      <c r="F825" s="17" t="s">
        <v>5142</v>
      </c>
      <c r="G825" s="3" t="s">
        <v>5138</v>
      </c>
      <c r="H825" s="6">
        <v>12709.632</v>
      </c>
    </row>
    <row r="826" spans="1:8" ht="15.75" customHeight="1" x14ac:dyDescent="0.35">
      <c r="A826" s="15"/>
      <c r="B826" s="3" t="s">
        <v>5143</v>
      </c>
      <c r="C826" s="16" t="s">
        <v>5144</v>
      </c>
      <c r="D826" s="17" t="s">
        <v>861</v>
      </c>
      <c r="E826" s="16" t="s">
        <v>5145</v>
      </c>
      <c r="F826" s="17" t="s">
        <v>5146</v>
      </c>
      <c r="G826" s="3" t="s">
        <v>5147</v>
      </c>
      <c r="H826" s="6">
        <v>5602.72</v>
      </c>
    </row>
    <row r="827" spans="1:8" ht="15.75" customHeight="1" x14ac:dyDescent="0.35">
      <c r="A827" s="15"/>
      <c r="B827" s="3" t="s">
        <v>5148</v>
      </c>
      <c r="C827" s="16" t="s">
        <v>5149</v>
      </c>
      <c r="D827" s="17" t="s">
        <v>861</v>
      </c>
      <c r="E827" s="16" t="s">
        <v>5150</v>
      </c>
      <c r="F827" s="17" t="s">
        <v>5151</v>
      </c>
      <c r="G827" s="3" t="s">
        <v>5105</v>
      </c>
      <c r="H827" s="6">
        <v>9105.7119999999995</v>
      </c>
    </row>
    <row r="828" spans="1:8" ht="15.75" customHeight="1" x14ac:dyDescent="0.35">
      <c r="A828" s="15"/>
      <c r="B828" s="3" t="s">
        <v>5152</v>
      </c>
      <c r="C828" s="16" t="s">
        <v>5153</v>
      </c>
      <c r="D828" s="17" t="s">
        <v>861</v>
      </c>
      <c r="E828" s="16" t="s">
        <v>5154</v>
      </c>
      <c r="F828" s="17" t="s">
        <v>5155</v>
      </c>
      <c r="G828" s="3" t="s">
        <v>5156</v>
      </c>
      <c r="H828" s="6">
        <v>7862.0479999999998</v>
      </c>
    </row>
    <row r="829" spans="1:8" ht="15.75" customHeight="1" x14ac:dyDescent="0.35">
      <c r="A829" s="15"/>
      <c r="B829" s="3" t="s">
        <v>5157</v>
      </c>
      <c r="C829" s="16" t="s">
        <v>5158</v>
      </c>
      <c r="D829" s="17" t="s">
        <v>861</v>
      </c>
      <c r="E829" s="16" t="s">
        <v>5159</v>
      </c>
      <c r="F829" s="17" t="s">
        <v>5160</v>
      </c>
      <c r="G829" s="3" t="s">
        <v>5156</v>
      </c>
      <c r="H829" s="6">
        <v>8473.0879999999997</v>
      </c>
    </row>
    <row r="830" spans="1:8" ht="15.75" customHeight="1" x14ac:dyDescent="0.35">
      <c r="A830" s="15"/>
      <c r="B830" s="3" t="s">
        <v>5161</v>
      </c>
      <c r="C830" s="16" t="s">
        <v>5162</v>
      </c>
      <c r="D830" s="17" t="s">
        <v>860</v>
      </c>
      <c r="E830" s="16" t="s">
        <v>5163</v>
      </c>
      <c r="F830" s="17" t="s">
        <v>5164</v>
      </c>
      <c r="G830" s="3" t="s">
        <v>5165</v>
      </c>
      <c r="H830" s="6">
        <v>6990.1759999999995</v>
      </c>
    </row>
    <row r="831" spans="1:8" ht="15.75" customHeight="1" x14ac:dyDescent="0.35">
      <c r="A831" s="15"/>
      <c r="B831" s="3" t="s">
        <v>5166</v>
      </c>
      <c r="C831" s="16" t="s">
        <v>5167</v>
      </c>
      <c r="D831" s="17" t="s">
        <v>861</v>
      </c>
      <c r="E831" s="16" t="s">
        <v>5168</v>
      </c>
      <c r="F831" s="17" t="s">
        <v>1649</v>
      </c>
      <c r="G831" s="3" t="s">
        <v>5156</v>
      </c>
      <c r="H831" s="6">
        <v>7862.0479999999998</v>
      </c>
    </row>
    <row r="832" spans="1:8" ht="15.75" customHeight="1" x14ac:dyDescent="0.35">
      <c r="A832" s="15"/>
      <c r="B832" s="3" t="s">
        <v>5169</v>
      </c>
      <c r="C832" s="16" t="s">
        <v>5170</v>
      </c>
      <c r="D832" s="17" t="s">
        <v>861</v>
      </c>
      <c r="E832" s="16" t="s">
        <v>5171</v>
      </c>
      <c r="F832" s="17" t="s">
        <v>5172</v>
      </c>
      <c r="G832" s="3" t="s">
        <v>5173</v>
      </c>
      <c r="H832" s="6">
        <v>5602.72</v>
      </c>
    </row>
    <row r="833" spans="1:8" ht="15.75" customHeight="1" x14ac:dyDescent="0.35">
      <c r="A833" s="15"/>
      <c r="B833" s="3" t="s">
        <v>5174</v>
      </c>
      <c r="C833" s="16" t="s">
        <v>5175</v>
      </c>
      <c r="D833" s="17" t="s">
        <v>861</v>
      </c>
      <c r="E833" s="16" t="s">
        <v>5176</v>
      </c>
      <c r="F833" s="17" t="s">
        <v>1607</v>
      </c>
      <c r="G833" s="3" t="s">
        <v>5173</v>
      </c>
      <c r="H833" s="6">
        <v>5602.72</v>
      </c>
    </row>
    <row r="834" spans="1:8" ht="15.75" customHeight="1" x14ac:dyDescent="0.35">
      <c r="A834" s="15"/>
      <c r="B834" s="3" t="s">
        <v>5177</v>
      </c>
      <c r="C834" s="16" t="s">
        <v>5178</v>
      </c>
      <c r="D834" s="17" t="s">
        <v>860</v>
      </c>
      <c r="E834" s="16" t="s">
        <v>5179</v>
      </c>
      <c r="F834" s="17" t="s">
        <v>5180</v>
      </c>
      <c r="G834" s="3" t="s">
        <v>5173</v>
      </c>
      <c r="H834" s="6">
        <v>8049.311999999999</v>
      </c>
    </row>
    <row r="835" spans="1:8" ht="15.75" customHeight="1" x14ac:dyDescent="0.35">
      <c r="A835" s="15"/>
      <c r="B835" s="3" t="s">
        <v>5181</v>
      </c>
      <c r="C835" s="16" t="s">
        <v>5182</v>
      </c>
      <c r="D835" s="17" t="s">
        <v>861</v>
      </c>
      <c r="E835" s="16" t="s">
        <v>5183</v>
      </c>
      <c r="F835" s="17" t="s">
        <v>1441</v>
      </c>
      <c r="G835" s="3" t="s">
        <v>5173</v>
      </c>
      <c r="H835" s="6">
        <v>7445.8720000000003</v>
      </c>
    </row>
    <row r="836" spans="1:8" ht="15.75" customHeight="1" x14ac:dyDescent="0.35">
      <c r="A836" s="15"/>
      <c r="B836" s="3" t="s">
        <v>5184</v>
      </c>
      <c r="C836" s="16" t="s">
        <v>5185</v>
      </c>
      <c r="D836" s="17" t="s">
        <v>860</v>
      </c>
      <c r="E836" s="16" t="s">
        <v>5186</v>
      </c>
      <c r="F836" s="17" t="s">
        <v>5187</v>
      </c>
      <c r="G836" s="3" t="s">
        <v>5165</v>
      </c>
      <c r="H836" s="6">
        <v>7862.0479999999998</v>
      </c>
    </row>
    <row r="837" spans="1:8" ht="15.75" customHeight="1" x14ac:dyDescent="0.35">
      <c r="A837" s="15"/>
      <c r="B837" s="3" t="s">
        <v>5188</v>
      </c>
      <c r="C837" s="16" t="s">
        <v>5189</v>
      </c>
      <c r="D837" s="17" t="s">
        <v>861</v>
      </c>
      <c r="E837" s="16" t="s">
        <v>5190</v>
      </c>
      <c r="F837" s="17" t="s">
        <v>1435</v>
      </c>
      <c r="G837" s="3" t="s">
        <v>5165</v>
      </c>
      <c r="H837" s="6">
        <v>7862.0479999999998</v>
      </c>
    </row>
    <row r="838" spans="1:8" ht="15.75" customHeight="1" x14ac:dyDescent="0.35">
      <c r="A838" s="15"/>
      <c r="B838" s="3" t="s">
        <v>5191</v>
      </c>
      <c r="C838" s="16" t="s">
        <v>5192</v>
      </c>
      <c r="D838" s="17" t="s">
        <v>861</v>
      </c>
      <c r="E838" s="16" t="s">
        <v>5193</v>
      </c>
      <c r="F838" s="17" t="s">
        <v>5194</v>
      </c>
      <c r="G838" s="3" t="s">
        <v>5165</v>
      </c>
      <c r="H838" s="6">
        <v>7862.0479999999998</v>
      </c>
    </row>
    <row r="839" spans="1:8" ht="15.75" customHeight="1" x14ac:dyDescent="0.35">
      <c r="A839" s="15"/>
      <c r="B839" s="3" t="s">
        <v>5195</v>
      </c>
      <c r="C839" s="16" t="s">
        <v>5196</v>
      </c>
      <c r="D839" s="17" t="s">
        <v>861</v>
      </c>
      <c r="E839" s="16" t="s">
        <v>5197</v>
      </c>
      <c r="F839" s="17" t="s">
        <v>5198</v>
      </c>
      <c r="G839" s="3" t="s">
        <v>5199</v>
      </c>
      <c r="H839" s="6">
        <v>5602.72</v>
      </c>
    </row>
    <row r="840" spans="1:8" ht="15.75" customHeight="1" x14ac:dyDescent="0.35">
      <c r="A840" s="15"/>
      <c r="B840" s="3" t="s">
        <v>5200</v>
      </c>
      <c r="C840" s="16" t="s">
        <v>5201</v>
      </c>
      <c r="D840" s="17" t="s">
        <v>861</v>
      </c>
      <c r="E840" s="16" t="s">
        <v>5202</v>
      </c>
      <c r="F840" s="17" t="s">
        <v>5203</v>
      </c>
      <c r="G840" s="3" t="s">
        <v>3776</v>
      </c>
      <c r="H840" s="6">
        <v>5602.72</v>
      </c>
    </row>
    <row r="841" spans="1:8" ht="15.75" customHeight="1" x14ac:dyDescent="0.35">
      <c r="A841" s="15"/>
      <c r="B841" s="3" t="s">
        <v>5204</v>
      </c>
      <c r="C841" s="16" t="s">
        <v>5205</v>
      </c>
      <c r="D841" s="17" t="s">
        <v>860</v>
      </c>
      <c r="E841" s="16" t="s">
        <v>5206</v>
      </c>
      <c r="F841" s="17" t="s">
        <v>5207</v>
      </c>
      <c r="G841" s="3" t="s">
        <v>4316</v>
      </c>
      <c r="H841" s="6">
        <v>7862.0479999999998</v>
      </c>
    </row>
    <row r="842" spans="1:8" ht="15.75" customHeight="1" x14ac:dyDescent="0.35">
      <c r="A842" s="15"/>
      <c r="B842" s="3" t="s">
        <v>5208</v>
      </c>
      <c r="C842" s="16" t="s">
        <v>5209</v>
      </c>
      <c r="D842" s="17" t="s">
        <v>861</v>
      </c>
      <c r="E842" s="16" t="s">
        <v>5210</v>
      </c>
      <c r="F842" s="17" t="s">
        <v>5211</v>
      </c>
      <c r="G842" s="3" t="s">
        <v>5212</v>
      </c>
      <c r="H842" s="6">
        <v>9532.2240000000002</v>
      </c>
    </row>
    <row r="843" spans="1:8" ht="15.75" customHeight="1" x14ac:dyDescent="0.35">
      <c r="A843" s="15"/>
      <c r="B843" s="3" t="s">
        <v>5213</v>
      </c>
      <c r="C843" s="16" t="s">
        <v>5214</v>
      </c>
      <c r="D843" s="17" t="s">
        <v>860</v>
      </c>
      <c r="E843" s="16" t="s">
        <v>5215</v>
      </c>
      <c r="F843" s="17" t="s">
        <v>5216</v>
      </c>
      <c r="G843" s="3" t="s">
        <v>5212</v>
      </c>
      <c r="H843" s="6">
        <v>9532.2240000000002</v>
      </c>
    </row>
    <row r="844" spans="1:8" ht="15.75" customHeight="1" x14ac:dyDescent="0.35">
      <c r="A844" s="15"/>
      <c r="B844" s="3" t="s">
        <v>5217</v>
      </c>
      <c r="C844" s="16" t="s">
        <v>5218</v>
      </c>
      <c r="D844" s="17" t="s">
        <v>861</v>
      </c>
      <c r="E844" s="16" t="s">
        <v>5219</v>
      </c>
      <c r="F844" s="17" t="s">
        <v>5220</v>
      </c>
      <c r="G844" s="3" t="s">
        <v>5212</v>
      </c>
      <c r="H844" s="6">
        <v>5602.72</v>
      </c>
    </row>
    <row r="845" spans="1:8" ht="15.75" customHeight="1" x14ac:dyDescent="0.35">
      <c r="A845" s="15"/>
      <c r="B845" s="3" t="s">
        <v>5221</v>
      </c>
      <c r="C845" s="16" t="s">
        <v>5222</v>
      </c>
      <c r="D845" s="17" t="s">
        <v>861</v>
      </c>
      <c r="E845" s="16" t="s">
        <v>5223</v>
      </c>
      <c r="F845" s="17" t="s">
        <v>5224</v>
      </c>
      <c r="G845" s="3" t="s">
        <v>5225</v>
      </c>
      <c r="H845" s="6">
        <v>7445.8720000000003</v>
      </c>
    </row>
    <row r="846" spans="1:8" ht="15.75" customHeight="1" x14ac:dyDescent="0.35">
      <c r="A846" s="15"/>
      <c r="B846" s="3" t="s">
        <v>5226</v>
      </c>
      <c r="C846" s="16" t="s">
        <v>5227</v>
      </c>
      <c r="D846" s="17" t="s">
        <v>860</v>
      </c>
      <c r="E846" s="16" t="s">
        <v>5228</v>
      </c>
      <c r="F846" s="17" t="s">
        <v>5229</v>
      </c>
      <c r="G846" s="3" t="s">
        <v>5230</v>
      </c>
      <c r="H846" s="6">
        <v>0</v>
      </c>
    </row>
    <row r="847" spans="1:8" ht="15.75" customHeight="1" x14ac:dyDescent="0.35">
      <c r="A847" s="15"/>
      <c r="B847" s="3" t="s">
        <v>5231</v>
      </c>
      <c r="C847" s="16" t="s">
        <v>5232</v>
      </c>
      <c r="D847" s="17" t="s">
        <v>860</v>
      </c>
      <c r="E847" s="16" t="s">
        <v>5233</v>
      </c>
      <c r="F847" s="17" t="s">
        <v>5234</v>
      </c>
      <c r="G847" s="3" t="s">
        <v>5235</v>
      </c>
      <c r="H847" s="6">
        <v>5602.72</v>
      </c>
    </row>
    <row r="848" spans="1:8" ht="15.75" customHeight="1" x14ac:dyDescent="0.35">
      <c r="A848" s="15"/>
      <c r="B848" s="3" t="s">
        <v>5236</v>
      </c>
      <c r="C848" s="16" t="s">
        <v>5237</v>
      </c>
      <c r="D848" s="17" t="s">
        <v>860</v>
      </c>
      <c r="E848" s="16" t="s">
        <v>5238</v>
      </c>
      <c r="F848" s="17" t="s">
        <v>5239</v>
      </c>
      <c r="G848" s="3" t="s">
        <v>5235</v>
      </c>
      <c r="H848" s="6">
        <v>6354.8159999999998</v>
      </c>
    </row>
    <row r="849" spans="1:8" ht="15.75" customHeight="1" x14ac:dyDescent="0.35">
      <c r="A849" s="15"/>
      <c r="B849" s="3" t="s">
        <v>5240</v>
      </c>
      <c r="C849" s="16" t="s">
        <v>5241</v>
      </c>
      <c r="D849" s="17" t="s">
        <v>861</v>
      </c>
      <c r="E849" s="16" t="s">
        <v>5242</v>
      </c>
      <c r="F849" s="17" t="s">
        <v>5243</v>
      </c>
      <c r="G849" s="3" t="s">
        <v>5225</v>
      </c>
      <c r="H849" s="6">
        <v>7445.8720000000003</v>
      </c>
    </row>
    <row r="850" spans="1:8" ht="15.75" customHeight="1" x14ac:dyDescent="0.35">
      <c r="A850" s="15"/>
      <c r="B850" s="3" t="s">
        <v>5244</v>
      </c>
      <c r="C850" s="16" t="s">
        <v>5245</v>
      </c>
      <c r="D850" s="17" t="s">
        <v>861</v>
      </c>
      <c r="E850" s="16" t="s">
        <v>5246</v>
      </c>
      <c r="F850" s="17" t="s">
        <v>5247</v>
      </c>
      <c r="G850" s="3" t="s">
        <v>5248</v>
      </c>
      <c r="H850" s="6">
        <v>15887.039999999999</v>
      </c>
    </row>
    <row r="851" spans="1:8" ht="15.75" customHeight="1" x14ac:dyDescent="0.35">
      <c r="A851" s="15"/>
      <c r="B851" s="3" t="s">
        <v>5249</v>
      </c>
      <c r="C851" s="16" t="s">
        <v>5250</v>
      </c>
      <c r="D851" s="17" t="s">
        <v>861</v>
      </c>
      <c r="E851" s="16" t="s">
        <v>5251</v>
      </c>
      <c r="F851" s="17" t="s">
        <v>5252</v>
      </c>
      <c r="G851" s="3" t="s">
        <v>3813</v>
      </c>
      <c r="H851" s="6">
        <v>0</v>
      </c>
    </row>
    <row r="852" spans="1:8" ht="15.75" customHeight="1" x14ac:dyDescent="0.35">
      <c r="A852" s="15"/>
      <c r="B852" s="3" t="s">
        <v>5253</v>
      </c>
      <c r="C852" s="16" t="s">
        <v>5254</v>
      </c>
      <c r="D852" s="17" t="s">
        <v>860</v>
      </c>
      <c r="E852" s="16" t="s">
        <v>5255</v>
      </c>
      <c r="F852" s="17" t="s">
        <v>5256</v>
      </c>
      <c r="G852" s="3" t="s">
        <v>3813</v>
      </c>
      <c r="H852" s="6">
        <v>0</v>
      </c>
    </row>
    <row r="853" spans="1:8" ht="15.75" customHeight="1" x14ac:dyDescent="0.35">
      <c r="A853" s="15"/>
      <c r="B853" s="3" t="s">
        <v>5257</v>
      </c>
      <c r="C853" s="16" t="s">
        <v>5258</v>
      </c>
      <c r="D853" s="17" t="s">
        <v>860</v>
      </c>
      <c r="E853" s="16" t="s">
        <v>5259</v>
      </c>
      <c r="F853" s="17" t="s">
        <v>5260</v>
      </c>
      <c r="G853" s="3" t="s">
        <v>3813</v>
      </c>
      <c r="H853" s="6">
        <v>6643.92</v>
      </c>
    </row>
    <row r="854" spans="1:8" ht="15.75" customHeight="1" x14ac:dyDescent="0.35">
      <c r="A854" s="15"/>
      <c r="B854" s="3" t="s">
        <v>5261</v>
      </c>
      <c r="C854" s="16" t="s">
        <v>5262</v>
      </c>
      <c r="D854" s="17" t="s">
        <v>861</v>
      </c>
      <c r="E854" s="16" t="s">
        <v>5263</v>
      </c>
      <c r="F854" s="17" t="s">
        <v>5264</v>
      </c>
      <c r="G854" s="3" t="s">
        <v>3813</v>
      </c>
      <c r="H854" s="6">
        <v>6661.8559999999989</v>
      </c>
    </row>
    <row r="855" spans="1:8" ht="15.75" customHeight="1" x14ac:dyDescent="0.35">
      <c r="A855" s="15"/>
      <c r="B855" s="3" t="s">
        <v>5265</v>
      </c>
      <c r="C855" s="16" t="s">
        <v>5266</v>
      </c>
      <c r="D855" s="17" t="s">
        <v>861</v>
      </c>
      <c r="E855" s="16" t="s">
        <v>5267</v>
      </c>
      <c r="F855" s="17" t="s">
        <v>5268</v>
      </c>
      <c r="G855" s="3" t="s">
        <v>3813</v>
      </c>
      <c r="H855" s="6">
        <v>6661.8559999999989</v>
      </c>
    </row>
    <row r="856" spans="1:8" ht="15.75" customHeight="1" x14ac:dyDescent="0.35">
      <c r="A856" s="15"/>
      <c r="B856" s="3" t="s">
        <v>5269</v>
      </c>
      <c r="C856" s="16" t="s">
        <v>5270</v>
      </c>
      <c r="D856" s="17" t="s">
        <v>860</v>
      </c>
      <c r="E856" s="16" t="s">
        <v>5271</v>
      </c>
      <c r="F856" s="17" t="s">
        <v>5272</v>
      </c>
      <c r="G856" s="3" t="s">
        <v>5273</v>
      </c>
      <c r="H856" s="6">
        <v>12709.632</v>
      </c>
    </row>
    <row r="857" spans="1:8" ht="15.75" customHeight="1" x14ac:dyDescent="0.35">
      <c r="A857" s="15"/>
      <c r="B857" s="3" t="s">
        <v>5274</v>
      </c>
      <c r="C857" s="16" t="s">
        <v>5275</v>
      </c>
      <c r="D857" s="17" t="s">
        <v>860</v>
      </c>
      <c r="E857" s="16" t="s">
        <v>5276</v>
      </c>
      <c r="F857" s="17" t="s">
        <v>5277</v>
      </c>
      <c r="G857" s="3" t="s">
        <v>4952</v>
      </c>
      <c r="H857" s="6">
        <v>14827.903999999999</v>
      </c>
    </row>
    <row r="858" spans="1:8" ht="15.75" customHeight="1" x14ac:dyDescent="0.35">
      <c r="A858" s="15"/>
      <c r="B858" s="3" t="s">
        <v>5278</v>
      </c>
      <c r="C858" s="16" t="s">
        <v>5279</v>
      </c>
      <c r="D858" s="17" t="s">
        <v>861</v>
      </c>
      <c r="E858" s="16" t="s">
        <v>5280</v>
      </c>
      <c r="F858" s="17" t="s">
        <v>5281</v>
      </c>
      <c r="G858" s="3" t="s">
        <v>4952</v>
      </c>
      <c r="H858" s="6">
        <v>9532.2240000000002</v>
      </c>
    </row>
    <row r="859" spans="1:8" ht="15.75" customHeight="1" x14ac:dyDescent="0.35">
      <c r="A859" s="15"/>
      <c r="B859" s="3" t="s">
        <v>5282</v>
      </c>
      <c r="C859" s="16" t="s">
        <v>5283</v>
      </c>
      <c r="D859" s="17" t="s">
        <v>861</v>
      </c>
      <c r="E859" s="16" t="s">
        <v>5284</v>
      </c>
      <c r="F859" s="17" t="s">
        <v>5285</v>
      </c>
      <c r="G859" s="3" t="s">
        <v>4952</v>
      </c>
      <c r="H859" s="6">
        <v>6661.8559999999989</v>
      </c>
    </row>
    <row r="860" spans="1:8" ht="15.75" customHeight="1" x14ac:dyDescent="0.35">
      <c r="A860" s="15"/>
      <c r="B860" s="3" t="s">
        <v>5286</v>
      </c>
      <c r="C860" s="16" t="s">
        <v>5287</v>
      </c>
      <c r="D860" s="17" t="s">
        <v>861</v>
      </c>
      <c r="E860" s="16" t="s">
        <v>5288</v>
      </c>
      <c r="F860" s="17" t="s">
        <v>5289</v>
      </c>
      <c r="G860" s="3" t="s">
        <v>5290</v>
      </c>
      <c r="H860" s="6">
        <v>11455.632</v>
      </c>
    </row>
    <row r="861" spans="1:8" ht="15.75" customHeight="1" x14ac:dyDescent="0.35">
      <c r="A861" s="15"/>
      <c r="B861" s="3" t="s">
        <v>5291</v>
      </c>
      <c r="C861" s="16" t="s">
        <v>5292</v>
      </c>
      <c r="D861" s="17" t="s">
        <v>860</v>
      </c>
      <c r="E861" s="16" t="s">
        <v>5293</v>
      </c>
      <c r="F861" s="17" t="s">
        <v>5294</v>
      </c>
      <c r="G861" s="3" t="s">
        <v>5295</v>
      </c>
      <c r="H861" s="6">
        <v>21182.719999999998</v>
      </c>
    </row>
    <row r="862" spans="1:8" ht="15.75" customHeight="1" x14ac:dyDescent="0.35">
      <c r="A862" s="15"/>
      <c r="B862" s="3" t="s">
        <v>5296</v>
      </c>
      <c r="C862" s="16" t="s">
        <v>5297</v>
      </c>
      <c r="D862" s="17" t="s">
        <v>860</v>
      </c>
      <c r="E862" s="16" t="s">
        <v>5298</v>
      </c>
      <c r="F862" s="17" t="s">
        <v>5299</v>
      </c>
      <c r="G862" s="3" t="s">
        <v>5300</v>
      </c>
      <c r="H862" s="6">
        <v>12709.632</v>
      </c>
    </row>
    <row r="863" spans="1:8" ht="15.75" customHeight="1" x14ac:dyDescent="0.35">
      <c r="A863" s="15"/>
      <c r="B863" s="3" t="s">
        <v>5301</v>
      </c>
      <c r="C863" s="16" t="s">
        <v>5302</v>
      </c>
      <c r="D863" s="17" t="s">
        <v>861</v>
      </c>
      <c r="E863" s="16" t="s">
        <v>5303</v>
      </c>
      <c r="F863" s="17" t="s">
        <v>5304</v>
      </c>
      <c r="G863" s="3" t="s">
        <v>3770</v>
      </c>
      <c r="H863" s="6">
        <v>8049.311999999999</v>
      </c>
    </row>
    <row r="864" spans="1:8" ht="15.75" customHeight="1" x14ac:dyDescent="0.35">
      <c r="A864" s="15"/>
      <c r="B864" s="3" t="s">
        <v>5305</v>
      </c>
      <c r="C864" s="16" t="s">
        <v>5306</v>
      </c>
      <c r="D864" s="17" t="s">
        <v>860</v>
      </c>
      <c r="E864" s="16" t="s">
        <v>5307</v>
      </c>
      <c r="F864" s="17" t="s">
        <v>5308</v>
      </c>
      <c r="G864" s="3" t="s">
        <v>3770</v>
      </c>
      <c r="H864" s="6">
        <v>8049.311999999999</v>
      </c>
    </row>
    <row r="865" spans="1:8" ht="15.75" customHeight="1" x14ac:dyDescent="0.35">
      <c r="A865" s="15"/>
      <c r="B865" s="3" t="s">
        <v>5309</v>
      </c>
      <c r="C865" s="16" t="s">
        <v>5310</v>
      </c>
      <c r="D865" s="17" t="s">
        <v>861</v>
      </c>
      <c r="E865" s="16" t="s">
        <v>5311</v>
      </c>
      <c r="F865" s="17" t="s">
        <v>5312</v>
      </c>
      <c r="G865" s="3" t="s">
        <v>3770</v>
      </c>
      <c r="H865" s="6">
        <v>8049.311999999999</v>
      </c>
    </row>
    <row r="866" spans="1:8" ht="15.75" customHeight="1" x14ac:dyDescent="0.35">
      <c r="A866" s="15"/>
      <c r="B866" s="3" t="s">
        <v>5313</v>
      </c>
      <c r="C866" s="16" t="s">
        <v>5314</v>
      </c>
      <c r="D866" s="17" t="s">
        <v>860</v>
      </c>
      <c r="E866" s="16" t="s">
        <v>5315</v>
      </c>
      <c r="F866" s="17" t="s">
        <v>5316</v>
      </c>
      <c r="G866" s="3" t="s">
        <v>5317</v>
      </c>
      <c r="H866" s="6">
        <v>6778.5919999999996</v>
      </c>
    </row>
    <row r="867" spans="1:8" ht="15.75" customHeight="1" x14ac:dyDescent="0.35">
      <c r="A867" s="15"/>
      <c r="B867" s="3" t="s">
        <v>5318</v>
      </c>
      <c r="C867" s="16" t="s">
        <v>5319</v>
      </c>
      <c r="D867" s="17" t="s">
        <v>861</v>
      </c>
      <c r="E867" s="16" t="s">
        <v>5320</v>
      </c>
      <c r="F867" s="17" t="s">
        <v>5321</v>
      </c>
      <c r="G867" s="3" t="s">
        <v>5317</v>
      </c>
      <c r="H867" s="6">
        <v>7445.8720000000003</v>
      </c>
    </row>
    <row r="868" spans="1:8" ht="15.75" customHeight="1" x14ac:dyDescent="0.35">
      <c r="A868" s="15"/>
      <c r="B868" s="3" t="s">
        <v>5322</v>
      </c>
      <c r="C868" s="16" t="s">
        <v>5323</v>
      </c>
      <c r="D868" s="17" t="s">
        <v>860</v>
      </c>
      <c r="E868" s="16" t="s">
        <v>5324</v>
      </c>
      <c r="F868" s="17" t="s">
        <v>5325</v>
      </c>
      <c r="G868" s="3" t="s">
        <v>4533</v>
      </c>
      <c r="H868" s="6">
        <v>8049.311999999999</v>
      </c>
    </row>
    <row r="869" spans="1:8" ht="15.75" customHeight="1" x14ac:dyDescent="0.35">
      <c r="A869" s="15"/>
      <c r="B869" s="3" t="s">
        <v>5326</v>
      </c>
      <c r="C869" s="16" t="s">
        <v>5327</v>
      </c>
      <c r="D869" s="17" t="s">
        <v>861</v>
      </c>
      <c r="E869" s="16" t="s">
        <v>5328</v>
      </c>
      <c r="F869" s="17" t="s">
        <v>5329</v>
      </c>
      <c r="G869" s="3" t="s">
        <v>5330</v>
      </c>
      <c r="H869" s="6">
        <v>6661.8559999999989</v>
      </c>
    </row>
    <row r="870" spans="1:8" ht="15.75" customHeight="1" x14ac:dyDescent="0.35">
      <c r="A870" s="15"/>
      <c r="B870" s="3" t="s">
        <v>5331</v>
      </c>
      <c r="C870" s="16" t="s">
        <v>5332</v>
      </c>
      <c r="D870" s="17" t="s">
        <v>860</v>
      </c>
      <c r="E870" s="16" t="s">
        <v>5333</v>
      </c>
      <c r="F870" s="17" t="s">
        <v>5334</v>
      </c>
      <c r="G870" s="3" t="s">
        <v>5330</v>
      </c>
      <c r="H870" s="6">
        <v>5602.72</v>
      </c>
    </row>
    <row r="871" spans="1:8" ht="15.75" customHeight="1" x14ac:dyDescent="0.35">
      <c r="A871" s="15"/>
      <c r="B871" s="3" t="s">
        <v>5335</v>
      </c>
      <c r="C871" s="16" t="s">
        <v>5336</v>
      </c>
      <c r="D871" s="17" t="s">
        <v>861</v>
      </c>
      <c r="E871" s="16" t="s">
        <v>5337</v>
      </c>
      <c r="F871" s="17" t="s">
        <v>5338</v>
      </c>
      <c r="G871" s="3" t="s">
        <v>5339</v>
      </c>
      <c r="H871" s="6">
        <v>7862.0479999999998</v>
      </c>
    </row>
    <row r="872" spans="1:8" ht="15.75" customHeight="1" x14ac:dyDescent="0.35">
      <c r="A872" s="15"/>
      <c r="B872" s="3" t="s">
        <v>5340</v>
      </c>
      <c r="C872" s="16" t="s">
        <v>5341</v>
      </c>
      <c r="D872" s="17" t="s">
        <v>861</v>
      </c>
      <c r="E872" s="16" t="s">
        <v>5342</v>
      </c>
      <c r="F872" s="17" t="s">
        <v>5343</v>
      </c>
      <c r="G872" s="3" t="s">
        <v>5344</v>
      </c>
      <c r="H872" s="6">
        <v>11455.632</v>
      </c>
    </row>
    <row r="873" spans="1:8" ht="15.75" customHeight="1" x14ac:dyDescent="0.35">
      <c r="A873" s="15"/>
      <c r="B873" s="3" t="s">
        <v>5345</v>
      </c>
      <c r="C873" s="16" t="s">
        <v>5346</v>
      </c>
      <c r="D873" s="17" t="s">
        <v>861</v>
      </c>
      <c r="E873" s="16" t="s">
        <v>5347</v>
      </c>
      <c r="F873" s="17" t="s">
        <v>4832</v>
      </c>
      <c r="G873" s="3" t="s">
        <v>5344</v>
      </c>
      <c r="H873" s="6">
        <v>6661.8559999999989</v>
      </c>
    </row>
    <row r="874" spans="1:8" ht="15.75" customHeight="1" x14ac:dyDescent="0.35">
      <c r="A874" s="15"/>
      <c r="B874" s="3" t="s">
        <v>5348</v>
      </c>
      <c r="C874" s="16" t="s">
        <v>5349</v>
      </c>
      <c r="D874" s="17" t="s">
        <v>860</v>
      </c>
      <c r="E874" s="16" t="s">
        <v>5350</v>
      </c>
      <c r="F874" s="17" t="s">
        <v>5351</v>
      </c>
      <c r="G874" s="3" t="s">
        <v>5352</v>
      </c>
      <c r="H874" s="6">
        <v>5602.72</v>
      </c>
    </row>
    <row r="875" spans="1:8" ht="15.75" customHeight="1" x14ac:dyDescent="0.35">
      <c r="A875" s="15"/>
      <c r="B875" s="3" t="s">
        <v>5353</v>
      </c>
      <c r="C875" s="16" t="s">
        <v>5354</v>
      </c>
      <c r="D875" s="17" t="s">
        <v>860</v>
      </c>
      <c r="E875" s="16" t="s">
        <v>5355</v>
      </c>
      <c r="F875" s="17" t="s">
        <v>4755</v>
      </c>
      <c r="G875" s="3" t="s">
        <v>5356</v>
      </c>
      <c r="H875" s="6">
        <v>6661.8559999999989</v>
      </c>
    </row>
    <row r="876" spans="1:8" ht="15.75" customHeight="1" x14ac:dyDescent="0.35">
      <c r="A876" s="15"/>
      <c r="B876" s="3" t="s">
        <v>5357</v>
      </c>
      <c r="C876" s="16" t="s">
        <v>5358</v>
      </c>
      <c r="D876" s="17" t="s">
        <v>861</v>
      </c>
      <c r="E876" s="16" t="s">
        <v>5359</v>
      </c>
      <c r="F876" s="17" t="s">
        <v>5360</v>
      </c>
      <c r="G876" s="3" t="s">
        <v>5361</v>
      </c>
      <c r="H876" s="6">
        <v>5602.72</v>
      </c>
    </row>
    <row r="877" spans="1:8" ht="15.75" customHeight="1" x14ac:dyDescent="0.35">
      <c r="A877" s="15"/>
      <c r="B877" s="3" t="s">
        <v>5362</v>
      </c>
      <c r="C877" s="16" t="s">
        <v>5363</v>
      </c>
      <c r="D877" s="17" t="s">
        <v>860</v>
      </c>
      <c r="E877" s="16" t="s">
        <v>5364</v>
      </c>
      <c r="F877" s="17" t="s">
        <v>5365</v>
      </c>
      <c r="G877" s="3" t="s">
        <v>5356</v>
      </c>
      <c r="H877" s="6">
        <v>6661.8559999999989</v>
      </c>
    </row>
    <row r="878" spans="1:8" ht="15.75" customHeight="1" x14ac:dyDescent="0.35">
      <c r="A878" s="15"/>
      <c r="B878" s="3" t="s">
        <v>5366</v>
      </c>
      <c r="C878" s="16" t="s">
        <v>5367</v>
      </c>
      <c r="D878" s="17" t="s">
        <v>860</v>
      </c>
      <c r="E878" s="16" t="s">
        <v>5368</v>
      </c>
      <c r="F878" s="17" t="s">
        <v>5369</v>
      </c>
      <c r="G878" s="3" t="s">
        <v>5370</v>
      </c>
      <c r="H878" s="6">
        <v>10591.359999999999</v>
      </c>
    </row>
    <row r="879" spans="1:8" ht="15.75" customHeight="1" x14ac:dyDescent="0.35">
      <c r="A879" s="15"/>
      <c r="B879" s="3" t="s">
        <v>5371</v>
      </c>
      <c r="C879" s="16" t="s">
        <v>5372</v>
      </c>
      <c r="D879" s="17" t="s">
        <v>860</v>
      </c>
      <c r="E879" s="16" t="s">
        <v>5373</v>
      </c>
      <c r="F879" s="17" t="s">
        <v>1655</v>
      </c>
      <c r="G879" s="3" t="s">
        <v>5370</v>
      </c>
      <c r="H879" s="6">
        <v>8049.311999999999</v>
      </c>
    </row>
    <row r="880" spans="1:8" ht="15.75" customHeight="1" x14ac:dyDescent="0.35">
      <c r="A880" s="15"/>
      <c r="B880" s="3" t="s">
        <v>5374</v>
      </c>
      <c r="C880" s="16" t="s">
        <v>5375</v>
      </c>
      <c r="D880" s="17" t="s">
        <v>860</v>
      </c>
      <c r="E880" s="16" t="s">
        <v>5376</v>
      </c>
      <c r="F880" s="17" t="s">
        <v>5377</v>
      </c>
      <c r="G880" s="3" t="s">
        <v>5378</v>
      </c>
      <c r="H880" s="6">
        <v>7445.8720000000003</v>
      </c>
    </row>
    <row r="881" spans="1:8" ht="15.75" customHeight="1" x14ac:dyDescent="0.35">
      <c r="A881" s="15"/>
      <c r="B881" s="3" t="s">
        <v>5379</v>
      </c>
      <c r="C881" s="16" t="s">
        <v>5380</v>
      </c>
      <c r="D881" s="17" t="s">
        <v>861</v>
      </c>
      <c r="E881" s="16" t="s">
        <v>5381</v>
      </c>
      <c r="F881" s="17" t="s">
        <v>5382</v>
      </c>
      <c r="G881" s="3" t="s">
        <v>3590</v>
      </c>
      <c r="H881" s="6">
        <v>7445.8720000000003</v>
      </c>
    </row>
    <row r="882" spans="1:8" ht="15.75" customHeight="1" x14ac:dyDescent="0.35">
      <c r="A882" s="15"/>
      <c r="B882" s="3" t="s">
        <v>5383</v>
      </c>
      <c r="C882" s="16" t="s">
        <v>5384</v>
      </c>
      <c r="D882" s="17" t="s">
        <v>861</v>
      </c>
      <c r="E882" s="16" t="s">
        <v>5385</v>
      </c>
      <c r="F882" s="17" t="s">
        <v>5386</v>
      </c>
      <c r="G882" s="3" t="s">
        <v>3590</v>
      </c>
      <c r="H882" s="6">
        <v>12709.632</v>
      </c>
    </row>
    <row r="883" spans="1:8" ht="15.75" customHeight="1" x14ac:dyDescent="0.35">
      <c r="A883" s="15"/>
      <c r="B883" s="3" t="s">
        <v>5387</v>
      </c>
      <c r="C883" s="16" t="s">
        <v>5388</v>
      </c>
      <c r="D883" s="17" t="s">
        <v>861</v>
      </c>
      <c r="E883" s="16" t="s">
        <v>5389</v>
      </c>
      <c r="F883" s="17" t="s">
        <v>5390</v>
      </c>
      <c r="G883" s="3" t="s">
        <v>3590</v>
      </c>
      <c r="H883" s="6">
        <v>5602.72</v>
      </c>
    </row>
    <row r="884" spans="1:8" ht="15.75" customHeight="1" x14ac:dyDescent="0.35">
      <c r="A884" s="15"/>
      <c r="B884" s="3" t="s">
        <v>5391</v>
      </c>
      <c r="C884" s="16" t="s">
        <v>5392</v>
      </c>
      <c r="D884" s="17" t="s">
        <v>861</v>
      </c>
      <c r="E884" s="16" t="s">
        <v>5393</v>
      </c>
      <c r="F884" s="17" t="s">
        <v>5394</v>
      </c>
      <c r="G884" s="3" t="s">
        <v>5395</v>
      </c>
      <c r="H884" s="6">
        <v>7577.2</v>
      </c>
    </row>
    <row r="885" spans="1:8" ht="15.75" customHeight="1" x14ac:dyDescent="0.35">
      <c r="A885" s="15"/>
      <c r="B885" s="3" t="s">
        <v>5396</v>
      </c>
      <c r="C885" s="16" t="s">
        <v>5397</v>
      </c>
      <c r="D885" s="17" t="s">
        <v>860</v>
      </c>
      <c r="E885" s="16" t="s">
        <v>5398</v>
      </c>
      <c r="F885" s="17" t="s">
        <v>5399</v>
      </c>
      <c r="G885" s="3" t="s">
        <v>5395</v>
      </c>
      <c r="H885" s="6">
        <v>7862.0479999999998</v>
      </c>
    </row>
    <row r="886" spans="1:8" ht="15.75" customHeight="1" x14ac:dyDescent="0.35">
      <c r="A886" s="15"/>
      <c r="B886" s="3" t="s">
        <v>5400</v>
      </c>
      <c r="C886" s="16" t="s">
        <v>5401</v>
      </c>
      <c r="D886" s="17" t="s">
        <v>861</v>
      </c>
      <c r="E886" s="16" t="s">
        <v>5402</v>
      </c>
      <c r="F886" s="17" t="s">
        <v>5403</v>
      </c>
      <c r="G886" s="3" t="s">
        <v>5395</v>
      </c>
      <c r="H886" s="6">
        <v>6661.8559999999989</v>
      </c>
    </row>
    <row r="887" spans="1:8" ht="15.75" customHeight="1" x14ac:dyDescent="0.35">
      <c r="A887" s="15"/>
      <c r="B887" s="3" t="s">
        <v>834</v>
      </c>
      <c r="C887" s="16" t="s">
        <v>3382</v>
      </c>
      <c r="D887" s="3" t="s">
        <v>861</v>
      </c>
      <c r="E887" s="16" t="s">
        <v>2523</v>
      </c>
      <c r="F887" s="17" t="s">
        <v>1667</v>
      </c>
      <c r="G887" s="19">
        <v>35856</v>
      </c>
      <c r="H887" s="6">
        <v>178171.7213952</v>
      </c>
    </row>
    <row r="888" spans="1:8" ht="15.75" customHeight="1" x14ac:dyDescent="0.35">
      <c r="A888" s="15"/>
      <c r="B888" s="3" t="s">
        <v>835</v>
      </c>
      <c r="C888" s="16" t="s">
        <v>3383</v>
      </c>
      <c r="D888" s="3" t="s">
        <v>860</v>
      </c>
      <c r="E888" s="16" t="s">
        <v>2524</v>
      </c>
      <c r="F888" s="17" t="s">
        <v>1668</v>
      </c>
      <c r="G888" s="3" t="s">
        <v>5404</v>
      </c>
      <c r="H888" s="6">
        <v>178628.18687999999</v>
      </c>
    </row>
    <row r="889" spans="1:8" ht="15.75" customHeight="1" x14ac:dyDescent="0.35">
      <c r="A889" s="15"/>
      <c r="B889" s="3" t="s">
        <v>836</v>
      </c>
      <c r="C889" s="16" t="s">
        <v>3384</v>
      </c>
      <c r="D889" s="3" t="s">
        <v>860</v>
      </c>
      <c r="E889" s="16" t="s">
        <v>2525</v>
      </c>
      <c r="F889" s="17" t="s">
        <v>1669</v>
      </c>
      <c r="G889" s="3" t="s">
        <v>3775</v>
      </c>
      <c r="H889" s="6">
        <v>243943.55511999998</v>
      </c>
    </row>
    <row r="890" spans="1:8" ht="15.75" customHeight="1" x14ac:dyDescent="0.35">
      <c r="A890" s="15"/>
      <c r="B890" s="3" t="s">
        <v>838</v>
      </c>
      <c r="C890" s="16" t="s">
        <v>3386</v>
      </c>
      <c r="D890" s="3" t="s">
        <v>860</v>
      </c>
      <c r="E890" s="16" t="s">
        <v>2527</v>
      </c>
      <c r="F890" s="17" t="s">
        <v>1671</v>
      </c>
      <c r="G890" s="3" t="s">
        <v>5405</v>
      </c>
      <c r="H890" s="6">
        <v>359677.26559999998</v>
      </c>
    </row>
    <row r="891" spans="1:8" ht="15.75" customHeight="1" x14ac:dyDescent="0.35">
      <c r="A891" s="15"/>
      <c r="B891" s="3" t="s">
        <v>5406</v>
      </c>
      <c r="C891" s="16" t="s">
        <v>5407</v>
      </c>
      <c r="D891" s="3" t="s">
        <v>861</v>
      </c>
      <c r="E891" s="16" t="s">
        <v>5408</v>
      </c>
      <c r="F891" s="17" t="s">
        <v>5409</v>
      </c>
      <c r="G891" s="3" t="s">
        <v>3832</v>
      </c>
      <c r="H891" s="6">
        <v>143278.848</v>
      </c>
    </row>
    <row r="892" spans="1:8" ht="15.75" customHeight="1" x14ac:dyDescent="0.35">
      <c r="A892" s="15"/>
      <c r="B892" s="3" t="s">
        <v>5410</v>
      </c>
      <c r="C892" s="16" t="s">
        <v>5411</v>
      </c>
      <c r="D892" s="3" t="s">
        <v>860</v>
      </c>
      <c r="E892" s="16" t="s">
        <v>5412</v>
      </c>
      <c r="F892" s="17" t="s">
        <v>5413</v>
      </c>
      <c r="G892" s="3" t="s">
        <v>3704</v>
      </c>
      <c r="H892" s="6">
        <v>546673.14367999986</v>
      </c>
    </row>
    <row r="893" spans="1:8" ht="15.75" customHeight="1" x14ac:dyDescent="0.35">
      <c r="A893" s="15"/>
      <c r="B893" s="3" t="s">
        <v>839</v>
      </c>
      <c r="C893" s="16" t="s">
        <v>3387</v>
      </c>
      <c r="D893" s="3" t="s">
        <v>861</v>
      </c>
      <c r="E893" s="16" t="s">
        <v>2528</v>
      </c>
      <c r="F893" s="17" t="s">
        <v>1149</v>
      </c>
      <c r="G893" s="3" t="s">
        <v>5414</v>
      </c>
      <c r="H893" s="6">
        <v>13463.248</v>
      </c>
    </row>
    <row r="894" spans="1:8" ht="15.75" customHeight="1" x14ac:dyDescent="0.35">
      <c r="A894" s="15"/>
      <c r="B894" s="3" t="s">
        <v>840</v>
      </c>
      <c r="C894" s="16" t="s">
        <v>3388</v>
      </c>
      <c r="D894" s="3" t="s">
        <v>861</v>
      </c>
      <c r="E894" s="16" t="s">
        <v>2529</v>
      </c>
      <c r="F894" s="17" t="s">
        <v>1176</v>
      </c>
      <c r="G894" s="3" t="s">
        <v>5415</v>
      </c>
      <c r="H894" s="6">
        <v>6413.7919999999995</v>
      </c>
    </row>
    <row r="895" spans="1:8" ht="15.75" customHeight="1" x14ac:dyDescent="0.35">
      <c r="A895" s="15"/>
      <c r="B895" s="3" t="s">
        <v>841</v>
      </c>
      <c r="C895" s="16" t="s">
        <v>3389</v>
      </c>
      <c r="D895" s="3" t="s">
        <v>861</v>
      </c>
      <c r="E895" s="16" t="s">
        <v>2530</v>
      </c>
      <c r="F895" s="17" t="s">
        <v>1672</v>
      </c>
      <c r="G895" s="3" t="s">
        <v>5416</v>
      </c>
      <c r="H895" s="6">
        <v>6413.7919999999995</v>
      </c>
    </row>
    <row r="896" spans="1:8" ht="15.75" customHeight="1" x14ac:dyDescent="0.35">
      <c r="A896" s="15"/>
      <c r="B896" s="3" t="s">
        <v>843</v>
      </c>
      <c r="C896" s="16" t="s">
        <v>3391</v>
      </c>
      <c r="D896" s="3" t="s">
        <v>860</v>
      </c>
      <c r="E896" s="16" t="s">
        <v>2532</v>
      </c>
      <c r="F896" s="17" t="s">
        <v>864</v>
      </c>
      <c r="G896" s="3" t="s">
        <v>3671</v>
      </c>
      <c r="H896" s="6">
        <v>18014.736000000001</v>
      </c>
    </row>
    <row r="897" spans="1:8" ht="15.75" customHeight="1" x14ac:dyDescent="0.35">
      <c r="A897" s="15"/>
      <c r="B897" s="3" t="s">
        <v>845</v>
      </c>
      <c r="C897" s="16" t="s">
        <v>3393</v>
      </c>
      <c r="D897" s="3" t="s">
        <v>861</v>
      </c>
      <c r="E897" s="16" t="s">
        <v>2534</v>
      </c>
      <c r="F897" s="17" t="s">
        <v>1675</v>
      </c>
      <c r="G897" s="3" t="s">
        <v>5417</v>
      </c>
      <c r="H897" s="6">
        <v>9307.5679999999993</v>
      </c>
    </row>
    <row r="898" spans="1:8" ht="15.75" customHeight="1" x14ac:dyDescent="0.35">
      <c r="A898" s="15"/>
      <c r="B898" s="3" t="s">
        <v>846</v>
      </c>
      <c r="C898" s="16" t="s">
        <v>3394</v>
      </c>
      <c r="D898" s="3" t="s">
        <v>860</v>
      </c>
      <c r="E898" s="16" t="s">
        <v>2535</v>
      </c>
      <c r="F898" s="17" t="s">
        <v>1676</v>
      </c>
      <c r="G898" s="3" t="s">
        <v>5418</v>
      </c>
      <c r="H898" s="6">
        <v>16143.615999999998</v>
      </c>
    </row>
    <row r="899" spans="1:8" ht="15.75" customHeight="1" x14ac:dyDescent="0.35">
      <c r="A899" s="15"/>
      <c r="B899" s="3" t="s">
        <v>847</v>
      </c>
      <c r="C899" s="16" t="s">
        <v>3395</v>
      </c>
      <c r="D899" s="3" t="s">
        <v>860</v>
      </c>
      <c r="E899" s="16" t="s">
        <v>2536</v>
      </c>
      <c r="F899" s="17" t="s">
        <v>1677</v>
      </c>
      <c r="G899" s="3" t="s">
        <v>5419</v>
      </c>
      <c r="H899" s="6">
        <v>6843.0399999999991</v>
      </c>
    </row>
    <row r="900" spans="1:8" ht="15.75" customHeight="1" x14ac:dyDescent="0.35">
      <c r="A900" s="15"/>
      <c r="B900" s="3" t="s">
        <v>849</v>
      </c>
      <c r="C900" s="16" t="s">
        <v>3397</v>
      </c>
      <c r="D900" s="3" t="s">
        <v>861</v>
      </c>
      <c r="E900" s="16" t="s">
        <v>2538</v>
      </c>
      <c r="F900" s="17" t="s">
        <v>1679</v>
      </c>
      <c r="G900" s="3" t="s">
        <v>5420</v>
      </c>
      <c r="H900" s="6">
        <v>5632.2079999999996</v>
      </c>
    </row>
    <row r="901" spans="1:8" ht="15.75" customHeight="1" x14ac:dyDescent="0.35">
      <c r="A901" s="15"/>
      <c r="B901" s="3" t="s">
        <v>850</v>
      </c>
      <c r="C901" s="16" t="s">
        <v>3398</v>
      </c>
      <c r="D901" s="3" t="s">
        <v>860</v>
      </c>
      <c r="E901" s="16" t="s">
        <v>2539</v>
      </c>
      <c r="F901" s="17" t="s">
        <v>1680</v>
      </c>
      <c r="G901" s="3" t="s">
        <v>5421</v>
      </c>
      <c r="H901" s="6">
        <v>5632.2079999999996</v>
      </c>
    </row>
    <row r="902" spans="1:8" ht="15.75" customHeight="1" x14ac:dyDescent="0.35">
      <c r="A902" s="15"/>
      <c r="B902" s="3" t="s">
        <v>851</v>
      </c>
      <c r="C902" s="16" t="s">
        <v>3399</v>
      </c>
      <c r="D902" s="3" t="s">
        <v>861</v>
      </c>
      <c r="E902" s="16" t="s">
        <v>2540</v>
      </c>
      <c r="F902" s="17" t="s">
        <v>1681</v>
      </c>
      <c r="G902" s="3" t="s">
        <v>5422</v>
      </c>
      <c r="H902" s="6">
        <v>5632.2079999999996</v>
      </c>
    </row>
    <row r="903" spans="1:8" ht="15.75" customHeight="1" x14ac:dyDescent="0.35">
      <c r="A903" s="15"/>
      <c r="B903" s="3" t="s">
        <v>852</v>
      </c>
      <c r="C903" s="16" t="s">
        <v>3400</v>
      </c>
      <c r="D903" s="3" t="s">
        <v>861</v>
      </c>
      <c r="E903" s="16" t="s">
        <v>2541</v>
      </c>
      <c r="F903" s="17" t="s">
        <v>1682</v>
      </c>
      <c r="G903" s="3" t="s">
        <v>5423</v>
      </c>
      <c r="H903" s="6">
        <v>5632.2079999999996</v>
      </c>
    </row>
    <row r="904" spans="1:8" ht="15.75" customHeight="1" x14ac:dyDescent="0.35">
      <c r="A904" s="15"/>
      <c r="B904" s="3" t="s">
        <v>855</v>
      </c>
      <c r="C904" s="16" t="s">
        <v>3403</v>
      </c>
      <c r="D904" s="3" t="s">
        <v>860</v>
      </c>
      <c r="E904" s="16" t="s">
        <v>2544</v>
      </c>
      <c r="F904" s="17" t="s">
        <v>1685</v>
      </c>
      <c r="G904" s="3" t="s">
        <v>5424</v>
      </c>
      <c r="H904" s="6">
        <v>15598.848</v>
      </c>
    </row>
    <row r="905" spans="1:8" ht="15.75" customHeight="1" x14ac:dyDescent="0.35">
      <c r="A905" s="15"/>
      <c r="B905" s="3" t="s">
        <v>857</v>
      </c>
      <c r="C905" s="16" t="s">
        <v>3405</v>
      </c>
      <c r="D905" s="3" t="s">
        <v>860</v>
      </c>
      <c r="E905" s="16" t="s">
        <v>2546</v>
      </c>
      <c r="F905" s="17" t="s">
        <v>1687</v>
      </c>
      <c r="G905" s="3" t="s">
        <v>5425</v>
      </c>
      <c r="H905" s="6">
        <v>17069.903999999999</v>
      </c>
    </row>
    <row r="906" spans="1:8" ht="15.75" customHeight="1" x14ac:dyDescent="0.35">
      <c r="A906" s="15"/>
      <c r="B906" s="3" t="s">
        <v>5426</v>
      </c>
      <c r="C906" s="16" t="s">
        <v>2599</v>
      </c>
      <c r="D906" s="3" t="s">
        <v>861</v>
      </c>
      <c r="E906" s="16" t="s">
        <v>1740</v>
      </c>
      <c r="F906" s="17" t="s">
        <v>913</v>
      </c>
      <c r="G906" s="3" t="s">
        <v>5427</v>
      </c>
      <c r="H906" s="6">
        <v>32364.143999999997</v>
      </c>
    </row>
    <row r="907" spans="1:8" ht="15.75" customHeight="1" x14ac:dyDescent="0.35">
      <c r="A907" s="15"/>
      <c r="B907" s="3" t="s">
        <v>11</v>
      </c>
      <c r="C907" s="16" t="s">
        <v>2572</v>
      </c>
      <c r="D907" s="3" t="s">
        <v>860</v>
      </c>
      <c r="E907" s="16" t="s">
        <v>1713</v>
      </c>
      <c r="F907" s="17" t="s">
        <v>886</v>
      </c>
      <c r="G907" s="20" t="s">
        <v>5428</v>
      </c>
      <c r="H907" s="6">
        <v>50243.6</v>
      </c>
    </row>
    <row r="908" spans="1:8" ht="15.75" customHeight="1" x14ac:dyDescent="0.35">
      <c r="A908" s="15"/>
      <c r="B908" s="3" t="s">
        <v>5429</v>
      </c>
      <c r="C908" s="16" t="s">
        <v>2811</v>
      </c>
      <c r="D908" s="3" t="s">
        <v>861</v>
      </c>
      <c r="E908" s="16" t="s">
        <v>1952</v>
      </c>
      <c r="F908" s="17" t="s">
        <v>1121</v>
      </c>
      <c r="G908" s="20" t="s">
        <v>5430</v>
      </c>
      <c r="H908" s="6">
        <v>28382.643428320196</v>
      </c>
    </row>
    <row r="909" spans="1:8" ht="15.75" customHeight="1" x14ac:dyDescent="0.35">
      <c r="A909" s="15"/>
      <c r="B909" s="3" t="s">
        <v>490</v>
      </c>
      <c r="C909" s="16" t="s">
        <v>2843</v>
      </c>
      <c r="D909" s="3" t="s">
        <v>861</v>
      </c>
      <c r="E909" s="16" t="s">
        <v>1984</v>
      </c>
      <c r="F909" s="17" t="s">
        <v>1153</v>
      </c>
      <c r="G909" s="3" t="s">
        <v>5431</v>
      </c>
      <c r="H909" s="6">
        <v>14395.007999999998</v>
      </c>
    </row>
    <row r="910" spans="1:8" ht="15.75" customHeight="1" x14ac:dyDescent="0.35">
      <c r="A910" s="15"/>
      <c r="B910" s="3" t="s">
        <v>493</v>
      </c>
      <c r="C910" s="16" t="s">
        <v>5432</v>
      </c>
      <c r="D910" s="3" t="s">
        <v>860</v>
      </c>
      <c r="E910" s="16" t="s">
        <v>5433</v>
      </c>
      <c r="F910" s="17" t="s">
        <v>5434</v>
      </c>
      <c r="G910" s="3" t="s">
        <v>5435</v>
      </c>
      <c r="H910" s="6">
        <v>38552.671999999999</v>
      </c>
    </row>
    <row r="911" spans="1:8" ht="15.75" customHeight="1" x14ac:dyDescent="0.35">
      <c r="A911" s="15"/>
      <c r="B911" s="3" t="s">
        <v>5436</v>
      </c>
      <c r="C911" s="16" t="s">
        <v>2655</v>
      </c>
      <c r="D911" s="3" t="s">
        <v>861</v>
      </c>
      <c r="E911" s="16" t="s">
        <v>1796</v>
      </c>
      <c r="F911" s="17" t="s">
        <v>967</v>
      </c>
      <c r="G911" s="3" t="s">
        <v>3497</v>
      </c>
      <c r="H911" s="6">
        <v>13859.664000000001</v>
      </c>
    </row>
    <row r="912" spans="1:8" ht="15.75" customHeight="1" x14ac:dyDescent="0.35">
      <c r="A912" s="15"/>
      <c r="B912" s="3" t="s">
        <v>474</v>
      </c>
      <c r="C912" s="16" t="s">
        <v>2588</v>
      </c>
      <c r="D912" s="3" t="s">
        <v>861</v>
      </c>
      <c r="E912" s="16" t="s">
        <v>1729</v>
      </c>
      <c r="F912" s="17" t="s">
        <v>902</v>
      </c>
      <c r="G912" s="3" t="s">
        <v>5437</v>
      </c>
      <c r="H912" s="6">
        <v>19075.392</v>
      </c>
    </row>
    <row r="913" spans="1:128" ht="15.75" customHeight="1" x14ac:dyDescent="0.35">
      <c r="A913" s="15"/>
      <c r="B913" s="3" t="s">
        <v>543</v>
      </c>
      <c r="C913" s="16" t="s">
        <v>3175</v>
      </c>
      <c r="D913" s="3" t="s">
        <v>861</v>
      </c>
      <c r="E913" s="16" t="s">
        <v>2316</v>
      </c>
      <c r="F913" s="17" t="s">
        <v>1476</v>
      </c>
      <c r="G913" s="3" t="s">
        <v>3851</v>
      </c>
      <c r="H913" s="6">
        <v>43471.695999999996</v>
      </c>
    </row>
    <row r="914" spans="1:128" ht="15.75" customHeight="1" x14ac:dyDescent="0.35">
      <c r="A914" s="15"/>
      <c r="B914" s="3" t="s">
        <v>5438</v>
      </c>
      <c r="C914" s="16" t="s">
        <v>5439</v>
      </c>
      <c r="D914" s="3" t="s">
        <v>861</v>
      </c>
      <c r="E914" s="16" t="s">
        <v>5440</v>
      </c>
      <c r="F914" s="17" t="s">
        <v>5441</v>
      </c>
      <c r="G914" s="3" t="s">
        <v>3952</v>
      </c>
      <c r="H914" s="6">
        <v>13768.768</v>
      </c>
    </row>
    <row r="915" spans="1:128" ht="15.75" customHeight="1" x14ac:dyDescent="0.35">
      <c r="A915" s="15"/>
      <c r="B915" s="3" t="s">
        <v>329</v>
      </c>
      <c r="C915" s="16" t="s">
        <v>2737</v>
      </c>
      <c r="D915" s="3" t="s">
        <v>861</v>
      </c>
      <c r="E915" s="16" t="s">
        <v>1878</v>
      </c>
      <c r="F915" s="17" t="s">
        <v>1048</v>
      </c>
      <c r="G915" s="3" t="s">
        <v>5442</v>
      </c>
      <c r="H915" s="6">
        <v>18611.184000000001</v>
      </c>
    </row>
    <row r="916" spans="1:128" ht="15.75" customHeight="1" x14ac:dyDescent="0.35">
      <c r="A916" s="15"/>
      <c r="B916" s="3" t="s">
        <v>330</v>
      </c>
      <c r="C916" s="16" t="s">
        <v>3381</v>
      </c>
      <c r="D916" s="3" t="s">
        <v>860</v>
      </c>
      <c r="E916" s="16" t="s">
        <v>2522</v>
      </c>
      <c r="F916" s="17" t="s">
        <v>1666</v>
      </c>
      <c r="G916" s="3" t="s">
        <v>5443</v>
      </c>
      <c r="H916" s="6">
        <v>37798.143999999993</v>
      </c>
    </row>
    <row r="917" spans="1:128" ht="15.75" customHeight="1" x14ac:dyDescent="0.35">
      <c r="A917" s="15"/>
      <c r="B917" s="3"/>
      <c r="C917" s="3"/>
      <c r="D917" s="3"/>
      <c r="E917" s="3"/>
      <c r="F917" s="19"/>
      <c r="G917" s="19"/>
      <c r="H917" s="21"/>
    </row>
    <row r="918" spans="1:128" ht="15.75" customHeight="1" x14ac:dyDescent="0.35"/>
    <row r="919" spans="1:128" ht="15.75" customHeight="1" thickBot="1" x14ac:dyDescent="0.4">
      <c r="A919" s="26"/>
      <c r="B919" s="27"/>
      <c r="C919" s="27"/>
      <c r="D919" s="27"/>
      <c r="E919" s="27"/>
      <c r="F919" s="28"/>
      <c r="G919" s="28"/>
      <c r="H919" s="29"/>
      <c r="I919" s="30"/>
      <c r="J919" s="30"/>
      <c r="K919" s="30"/>
      <c r="L919" s="30"/>
      <c r="M919" s="30"/>
      <c r="N919" s="30"/>
      <c r="O919" s="30"/>
      <c r="P919" s="30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  <c r="DI919" s="31"/>
      <c r="DJ919" s="31"/>
      <c r="DK919" s="31"/>
      <c r="DL919" s="31"/>
      <c r="DM919" s="31"/>
      <c r="DN919" s="31"/>
      <c r="DO919" s="31"/>
      <c r="DP919" s="31"/>
      <c r="DQ919" s="31"/>
      <c r="DR919" s="31"/>
      <c r="DS919" s="31"/>
      <c r="DT919" s="31"/>
      <c r="DU919" s="31"/>
      <c r="DV919" s="31"/>
      <c r="DW919" s="31"/>
      <c r="DX919" s="31"/>
    </row>
    <row r="920" spans="1:128" ht="14.25" customHeight="1" x14ac:dyDescent="0.35">
      <c r="A920" s="32"/>
      <c r="B920" s="32"/>
      <c r="C920" s="32"/>
      <c r="D920" s="32"/>
      <c r="E920" s="32"/>
      <c r="F920" s="32"/>
      <c r="G920" s="32"/>
      <c r="H920" s="32"/>
      <c r="I920" s="30"/>
      <c r="J920" s="30"/>
      <c r="K920" s="30"/>
      <c r="L920" s="30"/>
      <c r="M920" s="30"/>
      <c r="N920" s="30"/>
      <c r="O920" s="30"/>
      <c r="P920" s="30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  <c r="DI920" s="31"/>
      <c r="DJ920" s="31"/>
      <c r="DK920" s="31"/>
      <c r="DL920" s="31"/>
      <c r="DM920" s="31"/>
      <c r="DN920" s="31"/>
      <c r="DO920" s="31"/>
      <c r="DP920" s="31"/>
      <c r="DQ920" s="31"/>
      <c r="DR920" s="31"/>
      <c r="DS920" s="31"/>
      <c r="DT920" s="31"/>
      <c r="DU920" s="31"/>
      <c r="DV920" s="31"/>
      <c r="DW920" s="31"/>
      <c r="DX920" s="31"/>
    </row>
    <row r="921" spans="1:128" s="10" customFormat="1" ht="20.25" hidden="1" customHeight="1" x14ac:dyDescent="0.35">
      <c r="B921" s="42"/>
      <c r="C921" s="42"/>
      <c r="D921" s="42"/>
      <c r="E921" s="42"/>
      <c r="F921" s="43"/>
      <c r="G921" s="43"/>
      <c r="H921" s="44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  <c r="BI921" s="30"/>
      <c r="BJ921" s="30"/>
      <c r="BK921" s="30"/>
      <c r="BL921" s="30"/>
      <c r="BM921" s="30"/>
      <c r="BN921" s="30"/>
      <c r="BO921" s="30"/>
      <c r="BP921" s="30"/>
      <c r="BQ921" s="30"/>
      <c r="BR921" s="30"/>
      <c r="BS921" s="30"/>
      <c r="BT921" s="30"/>
      <c r="BU921" s="30"/>
      <c r="BV921" s="30"/>
      <c r="BW921" s="30"/>
      <c r="BX921" s="30"/>
      <c r="BY921" s="30"/>
      <c r="BZ921" s="30"/>
      <c r="CA921" s="30"/>
      <c r="CB921" s="30"/>
      <c r="CC921" s="30"/>
      <c r="CD921" s="30"/>
      <c r="CE921" s="30"/>
      <c r="CF921" s="30"/>
      <c r="CG921" s="30"/>
      <c r="CH921" s="30"/>
      <c r="CI921" s="30"/>
      <c r="CJ921" s="30"/>
      <c r="CK921" s="30"/>
      <c r="CL921" s="30"/>
      <c r="CM921" s="30"/>
      <c r="CN921" s="30"/>
      <c r="CO921" s="30"/>
      <c r="CP921" s="30"/>
      <c r="CQ921" s="30"/>
      <c r="CR921" s="30"/>
      <c r="CS921" s="30"/>
      <c r="CT921" s="30"/>
      <c r="CU921" s="30"/>
      <c r="CV921" s="30"/>
      <c r="CW921" s="30"/>
      <c r="CX921" s="30"/>
      <c r="CY921" s="30"/>
      <c r="CZ921" s="30"/>
      <c r="DA921" s="30"/>
      <c r="DB921" s="30"/>
      <c r="DC921" s="30"/>
      <c r="DD921" s="30"/>
      <c r="DE921" s="30"/>
      <c r="DF921" s="30"/>
      <c r="DG921" s="30"/>
      <c r="DH921" s="30"/>
      <c r="DI921" s="30"/>
      <c r="DJ921" s="30"/>
      <c r="DK921" s="30"/>
      <c r="DL921" s="30"/>
      <c r="DM921" s="30"/>
      <c r="DN921" s="30"/>
      <c r="DO921" s="30"/>
      <c r="DP921" s="30"/>
      <c r="DQ921" s="30"/>
      <c r="DR921" s="30"/>
      <c r="DS921" s="30"/>
      <c r="DT921" s="30"/>
      <c r="DU921" s="30"/>
      <c r="DV921" s="30"/>
      <c r="DW921" s="30"/>
      <c r="DX921" s="30"/>
    </row>
    <row r="922" spans="1:128" s="10" customFormat="1" ht="20.25" hidden="1" customHeight="1" x14ac:dyDescent="0.35">
      <c r="B922" s="42"/>
      <c r="C922" s="42"/>
      <c r="D922" s="42"/>
      <c r="E922" s="42"/>
      <c r="F922" s="43"/>
      <c r="G922" s="43"/>
      <c r="H922" s="44"/>
    </row>
    <row r="923" spans="1:128" s="10" customFormat="1" ht="20.25" hidden="1" customHeight="1" x14ac:dyDescent="0.35">
      <c r="B923" s="42"/>
      <c r="C923" s="42"/>
      <c r="D923" s="42"/>
      <c r="E923" s="42"/>
      <c r="F923" s="43"/>
      <c r="G923" s="43"/>
      <c r="H923" s="44"/>
    </row>
    <row r="924" spans="1:128" s="10" customFormat="1" ht="20.25" hidden="1" customHeight="1" x14ac:dyDescent="0.35">
      <c r="B924" s="42"/>
      <c r="C924" s="42"/>
      <c r="D924" s="42"/>
      <c r="E924" s="42"/>
      <c r="F924" s="43"/>
      <c r="G924" s="43"/>
      <c r="H924" s="44"/>
    </row>
    <row r="925" spans="1:128" s="10" customFormat="1" ht="20.25" hidden="1" customHeight="1" x14ac:dyDescent="0.35">
      <c r="A925" s="45"/>
      <c r="B925" s="42"/>
      <c r="C925" s="42"/>
      <c r="D925" s="42"/>
      <c r="E925" s="42"/>
      <c r="F925" s="43"/>
      <c r="G925" s="43"/>
      <c r="H925" s="44"/>
    </row>
    <row r="926" spans="1:128" s="10" customFormat="1" ht="20.25" hidden="1" customHeight="1" x14ac:dyDescent="0.35">
      <c r="A926" s="45"/>
      <c r="B926" s="42"/>
      <c r="C926" s="42"/>
      <c r="D926" s="42"/>
      <c r="E926" s="42"/>
      <c r="F926" s="43"/>
      <c r="G926" s="43"/>
      <c r="H926" s="44"/>
    </row>
    <row r="927" spans="1:128" s="10" customFormat="1" ht="20.25" hidden="1" customHeight="1" x14ac:dyDescent="0.35">
      <c r="A927" s="45"/>
      <c r="B927" s="42"/>
      <c r="C927" s="42"/>
      <c r="D927" s="42"/>
      <c r="E927" s="42"/>
      <c r="F927" s="43"/>
      <c r="G927" s="43"/>
      <c r="H927" s="44"/>
    </row>
    <row r="928" spans="1:128" s="10" customFormat="1" ht="20.25" hidden="1" customHeight="1" x14ac:dyDescent="0.35">
      <c r="A928" s="45"/>
      <c r="B928" s="42"/>
      <c r="C928" s="42"/>
      <c r="D928" s="42"/>
      <c r="E928" s="42"/>
      <c r="F928" s="43"/>
      <c r="G928" s="43"/>
      <c r="H928" s="44"/>
    </row>
    <row r="929" spans="1:8" s="10" customFormat="1" ht="20.25" hidden="1" customHeight="1" x14ac:dyDescent="0.35">
      <c r="A929" s="45"/>
      <c r="B929" s="42"/>
      <c r="C929" s="42"/>
      <c r="D929" s="42"/>
      <c r="E929" s="42"/>
      <c r="F929" s="43"/>
      <c r="G929" s="43"/>
      <c r="H929" s="44"/>
    </row>
    <row r="930" spans="1:8" s="10" customFormat="1" ht="20.25" hidden="1" customHeight="1" x14ac:dyDescent="0.35">
      <c r="A930" s="45"/>
      <c r="B930" s="42"/>
      <c r="C930" s="42"/>
      <c r="D930" s="42"/>
      <c r="E930" s="42"/>
      <c r="F930" s="43"/>
      <c r="G930" s="43"/>
      <c r="H930" s="44"/>
    </row>
    <row r="931" spans="1:8" s="10" customFormat="1" ht="20.25" hidden="1" customHeight="1" x14ac:dyDescent="0.35">
      <c r="A931" s="45"/>
      <c r="B931" s="42"/>
      <c r="C931" s="42"/>
      <c r="D931" s="42"/>
      <c r="E931" s="42"/>
      <c r="F931" s="43"/>
      <c r="G931" s="43"/>
      <c r="H931" s="44"/>
    </row>
    <row r="932" spans="1:8" s="10" customFormat="1" ht="20.25" hidden="1" customHeight="1" x14ac:dyDescent="0.35">
      <c r="A932" s="45"/>
      <c r="B932" s="42"/>
      <c r="C932" s="42"/>
      <c r="D932" s="42"/>
      <c r="E932" s="42"/>
      <c r="F932" s="43"/>
      <c r="G932" s="43"/>
      <c r="H932" s="44"/>
    </row>
    <row r="933" spans="1:8" s="10" customFormat="1" ht="20.25" hidden="1" customHeight="1" x14ac:dyDescent="0.35">
      <c r="A933" s="45"/>
      <c r="B933" s="42"/>
      <c r="C933" s="42"/>
      <c r="D933" s="42"/>
      <c r="E933" s="42"/>
      <c r="F933" s="43"/>
      <c r="G933" s="43"/>
      <c r="H933" s="44"/>
    </row>
    <row r="934" spans="1:8" s="10" customFormat="1" ht="20.25" hidden="1" customHeight="1" x14ac:dyDescent="0.35">
      <c r="A934" s="45"/>
      <c r="B934" s="42"/>
      <c r="C934" s="42"/>
      <c r="D934" s="42"/>
      <c r="E934" s="42"/>
      <c r="F934" s="43"/>
      <c r="G934" s="43"/>
      <c r="H934" s="44"/>
    </row>
    <row r="935" spans="1:8" s="10" customFormat="1" ht="20.25" hidden="1" customHeight="1" x14ac:dyDescent="0.35">
      <c r="A935" s="45"/>
      <c r="B935" s="42"/>
      <c r="C935" s="42"/>
      <c r="D935" s="42"/>
      <c r="E935" s="42"/>
      <c r="F935" s="43"/>
      <c r="G935" s="43"/>
      <c r="H935" s="44"/>
    </row>
    <row r="936" spans="1:8" s="10" customFormat="1" ht="20.25" hidden="1" customHeight="1" x14ac:dyDescent="0.35">
      <c r="A936" s="45"/>
      <c r="B936" s="42"/>
      <c r="C936" s="42"/>
      <c r="D936" s="42"/>
      <c r="E936" s="42"/>
      <c r="F936" s="43"/>
      <c r="G936" s="43"/>
      <c r="H936" s="44"/>
    </row>
    <row r="937" spans="1:8" s="10" customFormat="1" ht="20.25" hidden="1" customHeight="1" x14ac:dyDescent="0.35">
      <c r="A937" s="45"/>
      <c r="B937" s="42"/>
      <c r="C937" s="42"/>
      <c r="D937" s="42"/>
      <c r="E937" s="42"/>
      <c r="F937" s="43"/>
      <c r="G937" s="43"/>
      <c r="H937" s="44"/>
    </row>
    <row r="938" spans="1:8" s="10" customFormat="1" ht="20.25" hidden="1" customHeight="1" x14ac:dyDescent="0.35">
      <c r="A938" s="45"/>
      <c r="B938" s="42"/>
      <c r="C938" s="42"/>
      <c r="D938" s="42"/>
      <c r="E938" s="42"/>
      <c r="F938" s="43"/>
      <c r="G938" s="43"/>
      <c r="H938" s="44"/>
    </row>
    <row r="939" spans="1:8" s="10" customFormat="1" ht="20.25" hidden="1" customHeight="1" x14ac:dyDescent="0.35">
      <c r="A939" s="45"/>
      <c r="B939" s="42"/>
      <c r="C939" s="42"/>
      <c r="D939" s="42"/>
      <c r="E939" s="42"/>
      <c r="F939" s="43"/>
      <c r="G939" s="43"/>
      <c r="H939" s="44"/>
    </row>
    <row r="940" spans="1:8" s="10" customFormat="1" ht="20.25" hidden="1" customHeight="1" x14ac:dyDescent="0.35">
      <c r="A940" s="45"/>
      <c r="B940" s="42"/>
      <c r="C940" s="42"/>
      <c r="D940" s="42"/>
      <c r="E940" s="42"/>
      <c r="F940" s="43"/>
      <c r="G940" s="43"/>
      <c r="H940" s="44"/>
    </row>
    <row r="941" spans="1:8" s="10" customFormat="1" ht="20.25" hidden="1" customHeight="1" x14ac:dyDescent="0.35">
      <c r="A941" s="45"/>
      <c r="B941" s="42"/>
      <c r="C941" s="42"/>
      <c r="D941" s="42"/>
      <c r="E941" s="42"/>
      <c r="F941" s="43"/>
      <c r="G941" s="43"/>
      <c r="H941" s="44"/>
    </row>
    <row r="942" spans="1:8" s="10" customFormat="1" ht="20.25" hidden="1" customHeight="1" x14ac:dyDescent="0.35">
      <c r="A942" s="45"/>
      <c r="B942" s="42"/>
      <c r="C942" s="42"/>
      <c r="D942" s="42"/>
      <c r="E942" s="42"/>
      <c r="F942" s="43"/>
      <c r="G942" s="43"/>
      <c r="H942" s="44"/>
    </row>
    <row r="943" spans="1:8" s="10" customFormat="1" ht="20.25" hidden="1" customHeight="1" x14ac:dyDescent="0.35">
      <c r="A943" s="45"/>
      <c r="B943" s="42"/>
      <c r="C943" s="42"/>
      <c r="D943" s="42"/>
      <c r="E943" s="42"/>
      <c r="F943" s="43"/>
      <c r="G943" s="43"/>
      <c r="H943" s="44"/>
    </row>
    <row r="944" spans="1:8" s="10" customFormat="1" ht="20.25" hidden="1" customHeight="1" x14ac:dyDescent="0.35">
      <c r="A944" s="45"/>
      <c r="B944" s="42"/>
      <c r="C944" s="42"/>
      <c r="D944" s="42"/>
      <c r="E944" s="42"/>
      <c r="F944" s="43"/>
      <c r="G944" s="43"/>
      <c r="H944" s="44"/>
    </row>
    <row r="945" spans="1:8" s="10" customFormat="1" ht="20.25" hidden="1" customHeight="1" x14ac:dyDescent="0.35">
      <c r="A945" s="45"/>
      <c r="B945" s="42"/>
      <c r="C945" s="42"/>
      <c r="D945" s="42"/>
      <c r="E945" s="42"/>
      <c r="F945" s="43"/>
      <c r="G945" s="43"/>
      <c r="H945" s="44"/>
    </row>
    <row r="946" spans="1:8" s="10" customFormat="1" ht="20.25" hidden="1" customHeight="1" x14ac:dyDescent="0.35">
      <c r="A946" s="45"/>
      <c r="B946" s="42"/>
      <c r="C946" s="42"/>
      <c r="D946" s="42"/>
      <c r="E946" s="42"/>
      <c r="F946" s="43"/>
      <c r="G946" s="43"/>
      <c r="H946" s="44"/>
    </row>
    <row r="947" spans="1:8" s="10" customFormat="1" ht="20.25" hidden="1" customHeight="1" x14ac:dyDescent="0.35">
      <c r="A947" s="45"/>
      <c r="B947" s="42"/>
      <c r="C947" s="42"/>
      <c r="D947" s="42"/>
      <c r="E947" s="42"/>
      <c r="F947" s="43"/>
      <c r="G947" s="43"/>
      <c r="H947" s="44"/>
    </row>
    <row r="948" spans="1:8" s="10" customFormat="1" ht="20.25" hidden="1" customHeight="1" x14ac:dyDescent="0.35">
      <c r="A948" s="45"/>
      <c r="B948" s="42"/>
      <c r="C948" s="42"/>
      <c r="D948" s="42"/>
      <c r="E948" s="42"/>
      <c r="F948" s="43"/>
      <c r="G948" s="43"/>
      <c r="H948" s="44"/>
    </row>
    <row r="949" spans="1:8" s="10" customFormat="1" ht="20.25" hidden="1" customHeight="1" x14ac:dyDescent="0.35">
      <c r="A949" s="45"/>
      <c r="B949" s="42"/>
      <c r="C949" s="42"/>
      <c r="D949" s="42"/>
      <c r="E949" s="42"/>
      <c r="F949" s="43"/>
      <c r="G949" s="43"/>
      <c r="H949" s="44"/>
    </row>
    <row r="950" spans="1:8" s="10" customFormat="1" ht="20.25" hidden="1" customHeight="1" x14ac:dyDescent="0.35">
      <c r="A950" s="45"/>
      <c r="B950" s="42"/>
      <c r="C950" s="42"/>
      <c r="D950" s="42"/>
      <c r="E950" s="42"/>
      <c r="F950" s="43"/>
      <c r="G950" s="43"/>
      <c r="H950" s="44"/>
    </row>
    <row r="951" spans="1:8" s="10" customFormat="1" ht="20.25" hidden="1" customHeight="1" x14ac:dyDescent="0.35">
      <c r="A951" s="45"/>
      <c r="B951" s="42"/>
      <c r="C951" s="42"/>
      <c r="D951" s="42"/>
      <c r="E951" s="42"/>
      <c r="F951" s="43"/>
      <c r="G951" s="43"/>
      <c r="H951" s="44"/>
    </row>
    <row r="952" spans="1:8" s="10" customFormat="1" ht="20.25" hidden="1" customHeight="1" x14ac:dyDescent="0.35">
      <c r="A952" s="45"/>
      <c r="B952" s="42"/>
      <c r="C952" s="42"/>
      <c r="D952" s="42"/>
      <c r="E952" s="42"/>
      <c r="F952" s="43"/>
      <c r="G952" s="43"/>
      <c r="H952" s="44"/>
    </row>
    <row r="953" spans="1:8" s="10" customFormat="1" ht="20.25" hidden="1" customHeight="1" x14ac:dyDescent="0.35">
      <c r="A953" s="45"/>
      <c r="B953" s="42"/>
      <c r="C953" s="42"/>
      <c r="D953" s="42"/>
      <c r="E953" s="42"/>
      <c r="F953" s="43"/>
      <c r="G953" s="43"/>
      <c r="H953" s="44"/>
    </row>
    <row r="954" spans="1:8" s="10" customFormat="1" ht="20.25" hidden="1" customHeight="1" x14ac:dyDescent="0.35">
      <c r="A954" s="45"/>
      <c r="B954" s="42"/>
      <c r="C954" s="42"/>
      <c r="D954" s="42"/>
      <c r="E954" s="42"/>
      <c r="F954" s="43"/>
      <c r="G954" s="43"/>
      <c r="H954" s="44"/>
    </row>
    <row r="955" spans="1:8" s="10" customFormat="1" ht="20.25" hidden="1" customHeight="1" x14ac:dyDescent="0.35">
      <c r="A955" s="45"/>
      <c r="B955" s="42"/>
      <c r="C955" s="42"/>
      <c r="D955" s="42"/>
      <c r="E955" s="42"/>
      <c r="F955" s="43"/>
      <c r="G955" s="43"/>
      <c r="H955" s="44"/>
    </row>
    <row r="956" spans="1:8" s="10" customFormat="1" ht="20.25" hidden="1" customHeight="1" x14ac:dyDescent="0.35">
      <c r="A956" s="45"/>
      <c r="B956" s="42"/>
      <c r="C956" s="42"/>
      <c r="D956" s="42"/>
      <c r="E956" s="42"/>
      <c r="F956" s="43"/>
      <c r="G956" s="43"/>
      <c r="H956" s="44"/>
    </row>
    <row r="957" spans="1:8" s="10" customFormat="1" ht="20.25" hidden="1" customHeight="1" x14ac:dyDescent="0.35">
      <c r="A957" s="45"/>
      <c r="B957" s="42"/>
      <c r="C957" s="42"/>
      <c r="D957" s="42"/>
      <c r="E957" s="42"/>
      <c r="F957" s="43"/>
      <c r="G957" s="43"/>
      <c r="H957" s="44"/>
    </row>
    <row r="958" spans="1:8" s="10" customFormat="1" ht="20.25" hidden="1" customHeight="1" x14ac:dyDescent="0.35">
      <c r="A958" s="45"/>
      <c r="B958" s="42"/>
      <c r="C958" s="42"/>
      <c r="D958" s="42"/>
      <c r="E958" s="42"/>
      <c r="F958" s="43"/>
      <c r="G958" s="43"/>
      <c r="H958" s="44"/>
    </row>
    <row r="959" spans="1:8" s="10" customFormat="1" ht="20.25" hidden="1" customHeight="1" x14ac:dyDescent="0.35">
      <c r="A959" s="45"/>
      <c r="B959" s="42"/>
      <c r="C959" s="42"/>
      <c r="D959" s="42"/>
      <c r="E959" s="42"/>
      <c r="F959" s="43"/>
      <c r="G959" s="43"/>
      <c r="H959" s="44"/>
    </row>
    <row r="960" spans="1:8" s="10" customFormat="1" ht="20.25" hidden="1" customHeight="1" x14ac:dyDescent="0.35">
      <c r="A960" s="45"/>
      <c r="B960" s="42"/>
      <c r="C960" s="42"/>
      <c r="D960" s="42"/>
      <c r="E960" s="42"/>
      <c r="F960" s="43"/>
      <c r="G960" s="43"/>
      <c r="H960" s="44"/>
    </row>
    <row r="961" spans="1:8" s="10" customFormat="1" ht="20.25" hidden="1" customHeight="1" x14ac:dyDescent="0.35">
      <c r="A961" s="45"/>
      <c r="B961" s="42"/>
      <c r="C961" s="42"/>
      <c r="D961" s="42"/>
      <c r="E961" s="42"/>
      <c r="F961" s="43"/>
      <c r="G961" s="43"/>
      <c r="H961" s="44"/>
    </row>
    <row r="962" spans="1:8" s="10" customFormat="1" ht="20.25" hidden="1" customHeight="1" x14ac:dyDescent="0.35">
      <c r="A962" s="45"/>
      <c r="B962" s="42"/>
      <c r="C962" s="42"/>
      <c r="D962" s="42"/>
      <c r="E962" s="42"/>
      <c r="F962" s="43"/>
      <c r="G962" s="43"/>
      <c r="H962" s="44"/>
    </row>
    <row r="963" spans="1:8" s="10" customFormat="1" ht="20.25" hidden="1" customHeight="1" x14ac:dyDescent="0.35">
      <c r="A963" s="45"/>
      <c r="B963" s="42"/>
      <c r="C963" s="42"/>
      <c r="D963" s="42"/>
      <c r="E963" s="42"/>
      <c r="F963" s="43"/>
      <c r="G963" s="43"/>
      <c r="H963" s="44"/>
    </row>
    <row r="964" spans="1:8" s="10" customFormat="1" ht="20.25" hidden="1" customHeight="1" x14ac:dyDescent="0.35">
      <c r="A964" s="45"/>
      <c r="B964" s="42"/>
      <c r="C964" s="42"/>
      <c r="D964" s="42"/>
      <c r="E964" s="42"/>
      <c r="F964" s="43"/>
      <c r="G964" s="43"/>
      <c r="H964" s="44"/>
    </row>
    <row r="965" spans="1:8" s="10" customFormat="1" ht="20.25" hidden="1" customHeight="1" x14ac:dyDescent="0.35">
      <c r="A965" s="45"/>
      <c r="B965" s="42"/>
      <c r="C965" s="42"/>
      <c r="D965" s="42"/>
      <c r="E965" s="42"/>
      <c r="F965" s="43"/>
      <c r="G965" s="43"/>
      <c r="H965" s="44"/>
    </row>
    <row r="966" spans="1:8" s="10" customFormat="1" ht="20.25" hidden="1" customHeight="1" x14ac:dyDescent="0.35">
      <c r="A966" s="45"/>
      <c r="B966" s="42"/>
      <c r="C966" s="42"/>
      <c r="D966" s="42"/>
      <c r="E966" s="42"/>
      <c r="F966" s="43"/>
      <c r="G966" s="43"/>
      <c r="H966" s="44"/>
    </row>
    <row r="967" spans="1:8" s="10" customFormat="1" ht="20.25" hidden="1" customHeight="1" x14ac:dyDescent="0.35">
      <c r="A967" s="45"/>
      <c r="B967" s="42"/>
      <c r="C967" s="42"/>
      <c r="D967" s="42"/>
      <c r="E967" s="42"/>
      <c r="F967" s="43"/>
      <c r="G967" s="43"/>
      <c r="H967" s="44"/>
    </row>
    <row r="968" spans="1:8" s="10" customFormat="1" ht="20.25" hidden="1" customHeight="1" x14ac:dyDescent="0.35">
      <c r="A968" s="45"/>
      <c r="B968" s="42"/>
      <c r="C968" s="42"/>
      <c r="D968" s="42"/>
      <c r="E968" s="42"/>
      <c r="F968" s="43"/>
      <c r="G968" s="43"/>
      <c r="H968" s="44"/>
    </row>
    <row r="969" spans="1:8" s="10" customFormat="1" ht="20.25" hidden="1" customHeight="1" x14ac:dyDescent="0.35">
      <c r="A969" s="45"/>
      <c r="B969" s="42"/>
      <c r="C969" s="42"/>
      <c r="D969" s="42"/>
      <c r="E969" s="42"/>
      <c r="F969" s="43"/>
      <c r="G969" s="43"/>
      <c r="H969" s="44"/>
    </row>
    <row r="970" spans="1:8" s="10" customFormat="1" ht="20.25" hidden="1" customHeight="1" x14ac:dyDescent="0.35">
      <c r="A970" s="45"/>
      <c r="B970" s="42"/>
      <c r="C970" s="42"/>
      <c r="D970" s="42"/>
      <c r="E970" s="42"/>
      <c r="F970" s="43"/>
      <c r="G970" s="43"/>
      <c r="H970" s="44"/>
    </row>
    <row r="971" spans="1:8" ht="20.25" hidden="1" customHeight="1" x14ac:dyDescent="0.35"/>
    <row r="972" spans="1:8" ht="20.25" hidden="1" customHeight="1" x14ac:dyDescent="0.35"/>
    <row r="973" spans="1:8" ht="20.25" hidden="1" customHeight="1" x14ac:dyDescent="0.35"/>
    <row r="974" spans="1:8" ht="20.25" hidden="1" customHeight="1" x14ac:dyDescent="0.35"/>
    <row r="975" spans="1:8" ht="20.25" hidden="1" customHeight="1" x14ac:dyDescent="0.35"/>
    <row r="976" spans="1:8" ht="20.25" hidden="1" customHeight="1" x14ac:dyDescent="0.35"/>
    <row r="977" spans="2:16" ht="20.25" hidden="1" customHeight="1" x14ac:dyDescent="0.35"/>
    <row r="978" spans="2:16" ht="20.25" hidden="1" customHeight="1" x14ac:dyDescent="0.35"/>
    <row r="979" spans="2:16" s="7" customFormat="1" ht="20.25" hidden="1" customHeight="1" x14ac:dyDescent="0.35">
      <c r="B979" s="22"/>
      <c r="C979" s="22"/>
      <c r="D979" s="22"/>
      <c r="E979" s="22"/>
      <c r="F979" s="23"/>
      <c r="G979" s="23"/>
      <c r="H979" s="24"/>
      <c r="I979" s="10"/>
      <c r="J979" s="10"/>
      <c r="K979" s="10"/>
      <c r="L979" s="10"/>
      <c r="M979" s="10"/>
      <c r="N979" s="10"/>
      <c r="O979" s="10"/>
      <c r="P979" s="10"/>
    </row>
    <row r="980" spans="2:16" s="7" customFormat="1" ht="20.25" hidden="1" customHeight="1" x14ac:dyDescent="0.35">
      <c r="B980" s="22"/>
      <c r="C980" s="22"/>
      <c r="D980" s="22"/>
      <c r="E980" s="22"/>
      <c r="F980" s="23"/>
      <c r="G980" s="23"/>
      <c r="H980" s="24"/>
      <c r="I980" s="10"/>
      <c r="J980" s="10"/>
      <c r="K980" s="10"/>
      <c r="L980" s="10"/>
      <c r="M980" s="10"/>
      <c r="N980" s="10"/>
      <c r="O980" s="10"/>
      <c r="P980" s="10"/>
    </row>
    <row r="981" spans="2:16" s="7" customFormat="1" ht="20.25" hidden="1" customHeight="1" x14ac:dyDescent="0.35">
      <c r="B981" s="22"/>
      <c r="C981" s="22"/>
      <c r="D981" s="22"/>
      <c r="E981" s="22"/>
      <c r="F981" s="23"/>
      <c r="G981" s="23"/>
      <c r="H981" s="24"/>
      <c r="I981" s="10"/>
      <c r="J981" s="10"/>
      <c r="K981" s="10"/>
      <c r="L981" s="10"/>
      <c r="M981" s="10"/>
      <c r="N981" s="10"/>
      <c r="O981" s="10"/>
      <c r="P981" s="10"/>
    </row>
    <row r="982" spans="2:16" s="7" customFormat="1" ht="20.25" hidden="1" customHeight="1" x14ac:dyDescent="0.35">
      <c r="B982" s="22"/>
      <c r="C982" s="22"/>
      <c r="D982" s="22"/>
      <c r="E982" s="22"/>
      <c r="F982" s="23"/>
      <c r="G982" s="23"/>
      <c r="H982" s="24"/>
      <c r="I982" s="10"/>
      <c r="J982" s="10"/>
      <c r="K982" s="10"/>
      <c r="L982" s="10"/>
      <c r="M982" s="10"/>
      <c r="N982" s="10"/>
      <c r="O982" s="10"/>
      <c r="P982" s="10"/>
    </row>
  </sheetData>
  <autoFilter ref="A2:DX916" xr:uid="{59E3F6A7-9660-4455-AAD6-7FD5A08230A0}"/>
  <printOptions horizontalCentered="1"/>
  <pageMargins left="0.39370078740157483" right="0.39370078740157483" top="0.78740157480314965" bottom="0.78740157480314965" header="0" footer="0"/>
  <pageSetup scale="65" orientation="landscape" r:id="rId1"/>
  <headerFooter alignWithMargins="0"/>
  <rowBreaks count="1" manualBreakCount="1">
    <brk id="931" max="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2549-C075-491B-B34B-27AC09EBF70A}">
  <dimension ref="A1:EC337"/>
  <sheetViews>
    <sheetView showGridLines="0" zoomScale="75" zoomScaleNormal="75" zoomScaleSheetLayoutView="100" workbookViewId="0">
      <pane xSplit="2" ySplit="2" topLeftCell="C260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B3" sqref="B3:B271"/>
    </sheetView>
  </sheetViews>
  <sheetFormatPr baseColWidth="10" defaultColWidth="11.453125" defaultRowHeight="0" customHeight="1" zeroHeight="1" x14ac:dyDescent="0.35"/>
  <cols>
    <col min="1" max="1" width="1.6328125" style="7" customWidth="1"/>
    <col min="2" max="2" width="18.54296875" style="22" customWidth="1"/>
    <col min="3" max="3" width="8.08984375" style="22" customWidth="1"/>
    <col min="4" max="4" width="18.54296875" style="23" customWidth="1"/>
    <col min="5" max="5" width="18.08984375" style="23" customWidth="1"/>
    <col min="6" max="7" width="18.54296875" style="23" customWidth="1"/>
    <col min="8" max="8" width="30.90625" style="24" customWidth="1"/>
    <col min="9" max="10" width="18.08984375" style="24" customWidth="1"/>
    <col min="11" max="11" width="39" style="24" bestFit="1" customWidth="1"/>
    <col min="12" max="12" width="34.08984375" style="9" customWidth="1"/>
    <col min="13" max="13" width="15.36328125" style="10" customWidth="1"/>
    <col min="14" max="21" width="42.6328125" style="10" customWidth="1"/>
    <col min="22" max="25" width="42.6328125" style="9" customWidth="1"/>
    <col min="26" max="33" width="20.08984375" style="9" customWidth="1"/>
    <col min="34" max="38" width="6.08984375" style="9" customWidth="1"/>
    <col min="39" max="150" width="11.453125" style="9" customWidth="1"/>
    <col min="151" max="16384" width="11.453125" style="9"/>
  </cols>
  <sheetData>
    <row r="1" spans="1:21" ht="91.5" customHeight="1" x14ac:dyDescent="0.35">
      <c r="B1" s="1"/>
      <c r="C1" s="8"/>
      <c r="F1" s="1"/>
      <c r="G1" s="1"/>
      <c r="H1" s="1"/>
      <c r="I1" s="1"/>
      <c r="J1" s="1"/>
      <c r="K1" s="1"/>
    </row>
    <row r="2" spans="1:21" s="14" customFormat="1" ht="110.25" customHeight="1" x14ac:dyDescent="0.35">
      <c r="A2" s="11"/>
      <c r="B2" s="2" t="s">
        <v>0</v>
      </c>
      <c r="C2" s="2" t="s">
        <v>859</v>
      </c>
      <c r="D2" s="4" t="s">
        <v>1689</v>
      </c>
      <c r="E2" s="4" t="s">
        <v>862</v>
      </c>
      <c r="F2" s="4" t="s">
        <v>3407</v>
      </c>
      <c r="G2" s="4" t="s">
        <v>5448</v>
      </c>
      <c r="H2" s="5" t="s">
        <v>6301</v>
      </c>
      <c r="I2" s="5" t="s">
        <v>5449</v>
      </c>
      <c r="J2" s="5" t="s">
        <v>5450</v>
      </c>
      <c r="K2" s="5" t="s">
        <v>5451</v>
      </c>
      <c r="L2" s="12"/>
      <c r="M2" s="13"/>
      <c r="N2" s="13"/>
      <c r="O2" s="13"/>
      <c r="P2" s="13"/>
      <c r="Q2" s="13"/>
      <c r="R2" s="13"/>
      <c r="S2" s="13"/>
      <c r="T2" s="13"/>
      <c r="U2" s="13"/>
    </row>
    <row r="3" spans="1:21" ht="15.75" customHeight="1" x14ac:dyDescent="0.35">
      <c r="A3" s="15"/>
      <c r="B3" s="3" t="s">
        <v>5452</v>
      </c>
      <c r="C3" s="3" t="s">
        <v>861</v>
      </c>
      <c r="D3" s="3" t="s">
        <v>5453</v>
      </c>
      <c r="E3" s="3" t="s">
        <v>5454</v>
      </c>
      <c r="F3" s="3" t="s">
        <v>4280</v>
      </c>
      <c r="G3" s="3" t="s">
        <v>3585</v>
      </c>
      <c r="H3" s="3"/>
      <c r="I3" s="3"/>
      <c r="J3" s="3"/>
      <c r="K3" s="16" t="s">
        <v>5455</v>
      </c>
      <c r="L3" s="18"/>
    </row>
    <row r="4" spans="1:21" ht="15.75" customHeight="1" x14ac:dyDescent="0.35">
      <c r="A4" s="15"/>
      <c r="B4" s="3" t="s">
        <v>5456</v>
      </c>
      <c r="C4" s="3" t="s">
        <v>860</v>
      </c>
      <c r="D4" s="3" t="s">
        <v>5457</v>
      </c>
      <c r="E4" s="3" t="s">
        <v>5458</v>
      </c>
      <c r="F4" s="3" t="s">
        <v>4019</v>
      </c>
      <c r="G4" s="3" t="s">
        <v>4353</v>
      </c>
      <c r="H4" s="3"/>
      <c r="I4" s="3"/>
      <c r="J4" s="3"/>
      <c r="K4" s="16" t="s">
        <v>5459</v>
      </c>
      <c r="L4" s="18"/>
    </row>
    <row r="5" spans="1:21" ht="15.75" customHeight="1" x14ac:dyDescent="0.35">
      <c r="A5" s="15"/>
      <c r="B5" s="3" t="s">
        <v>5460</v>
      </c>
      <c r="C5" s="3" t="s">
        <v>860</v>
      </c>
      <c r="D5" s="3" t="s">
        <v>5461</v>
      </c>
      <c r="E5" s="3" t="s">
        <v>5462</v>
      </c>
      <c r="F5" s="3" t="s">
        <v>4336</v>
      </c>
      <c r="G5" s="3" t="s">
        <v>3585</v>
      </c>
      <c r="H5" s="3"/>
      <c r="I5" s="3"/>
      <c r="J5" s="3"/>
      <c r="K5" s="16" t="s">
        <v>5459</v>
      </c>
      <c r="L5" s="18"/>
    </row>
    <row r="6" spans="1:21" ht="15.75" customHeight="1" x14ac:dyDescent="0.35">
      <c r="A6" s="15"/>
      <c r="B6" s="3" t="s">
        <v>5463</v>
      </c>
      <c r="C6" s="3" t="s">
        <v>861</v>
      </c>
      <c r="D6" s="3" t="s">
        <v>5464</v>
      </c>
      <c r="E6" s="3" t="s">
        <v>5465</v>
      </c>
      <c r="F6" s="3" t="s">
        <v>4331</v>
      </c>
      <c r="G6" s="3" t="s">
        <v>4353</v>
      </c>
      <c r="H6" s="3"/>
      <c r="I6" s="3"/>
      <c r="J6" s="3"/>
      <c r="K6" s="16" t="s">
        <v>5455</v>
      </c>
      <c r="L6" s="18"/>
    </row>
    <row r="7" spans="1:21" ht="15.75" customHeight="1" x14ac:dyDescent="0.35">
      <c r="A7" s="15"/>
      <c r="B7" s="3" t="s">
        <v>715</v>
      </c>
      <c r="C7" s="3" t="s">
        <v>861</v>
      </c>
      <c r="D7" s="3" t="s">
        <v>2404</v>
      </c>
      <c r="E7" s="3" t="s">
        <v>1556</v>
      </c>
      <c r="F7" s="3" t="s">
        <v>5466</v>
      </c>
      <c r="G7" s="3" t="s">
        <v>5467</v>
      </c>
      <c r="H7" s="3"/>
      <c r="I7" s="3"/>
      <c r="J7" s="3"/>
      <c r="K7" s="16" t="s">
        <v>5459</v>
      </c>
      <c r="L7" s="18"/>
    </row>
    <row r="8" spans="1:21" ht="15.75" customHeight="1" x14ac:dyDescent="0.35">
      <c r="A8" s="15"/>
      <c r="B8" s="3" t="s">
        <v>5468</v>
      </c>
      <c r="C8" s="3" t="s">
        <v>861</v>
      </c>
      <c r="D8" s="3" t="s">
        <v>5469</v>
      </c>
      <c r="E8" s="3" t="s">
        <v>5470</v>
      </c>
      <c r="F8" s="3" t="s">
        <v>5471</v>
      </c>
      <c r="G8" s="3" t="s">
        <v>3585</v>
      </c>
      <c r="H8" s="3"/>
      <c r="I8" s="3"/>
      <c r="J8" s="3"/>
      <c r="K8" s="16" t="s">
        <v>5459</v>
      </c>
      <c r="L8" s="18"/>
    </row>
    <row r="9" spans="1:21" ht="15.75" customHeight="1" x14ac:dyDescent="0.35">
      <c r="A9" s="15"/>
      <c r="B9" s="3" t="s">
        <v>232</v>
      </c>
      <c r="C9" s="3" t="s">
        <v>860</v>
      </c>
      <c r="D9" s="3" t="s">
        <v>1921</v>
      </c>
      <c r="E9" s="3" t="s">
        <v>1090</v>
      </c>
      <c r="F9" s="3" t="s">
        <v>5472</v>
      </c>
      <c r="G9" s="3" t="s">
        <v>5473</v>
      </c>
      <c r="H9" s="3"/>
      <c r="I9" s="3"/>
      <c r="J9" s="3"/>
      <c r="K9" s="16" t="s">
        <v>5459</v>
      </c>
      <c r="L9" s="18"/>
    </row>
    <row r="10" spans="1:21" ht="15.75" customHeight="1" x14ac:dyDescent="0.35">
      <c r="A10" s="15"/>
      <c r="B10" s="3" t="s">
        <v>4284</v>
      </c>
      <c r="C10" s="3" t="s">
        <v>861</v>
      </c>
      <c r="D10" s="3" t="s">
        <v>4286</v>
      </c>
      <c r="E10" s="3" t="s">
        <v>4287</v>
      </c>
      <c r="F10" s="3" t="s">
        <v>5474</v>
      </c>
      <c r="G10" s="3" t="s">
        <v>3585</v>
      </c>
      <c r="H10" s="3"/>
      <c r="I10" s="3"/>
      <c r="J10" s="3"/>
      <c r="K10" s="16" t="s">
        <v>5459</v>
      </c>
      <c r="L10" s="18"/>
    </row>
    <row r="11" spans="1:21" ht="15.75" customHeight="1" x14ac:dyDescent="0.35">
      <c r="A11" s="15"/>
      <c r="B11" s="3" t="s">
        <v>3435</v>
      </c>
      <c r="C11" s="3" t="s">
        <v>861</v>
      </c>
      <c r="D11" s="3" t="s">
        <v>3437</v>
      </c>
      <c r="E11" s="3" t="s">
        <v>3438</v>
      </c>
      <c r="F11" s="3" t="s">
        <v>5474</v>
      </c>
      <c r="G11" s="3" t="s">
        <v>3585</v>
      </c>
      <c r="H11" s="3"/>
      <c r="I11" s="3"/>
      <c r="J11" s="3"/>
      <c r="K11" s="16" t="s">
        <v>5459</v>
      </c>
      <c r="L11" s="18"/>
    </row>
    <row r="12" spans="1:21" ht="15.75" customHeight="1" x14ac:dyDescent="0.35">
      <c r="A12" s="15"/>
      <c r="B12" s="3" t="s">
        <v>571</v>
      </c>
      <c r="C12" s="3" t="s">
        <v>861</v>
      </c>
      <c r="D12" s="3" t="s">
        <v>2260</v>
      </c>
      <c r="E12" s="3" t="s">
        <v>1421</v>
      </c>
      <c r="F12" s="3" t="s">
        <v>5475</v>
      </c>
      <c r="G12" s="3" t="s">
        <v>4353</v>
      </c>
      <c r="H12" s="3"/>
      <c r="I12" s="3"/>
      <c r="J12" s="3"/>
      <c r="K12" s="16" t="s">
        <v>5459</v>
      </c>
      <c r="L12" s="18"/>
    </row>
    <row r="13" spans="1:21" ht="15.75" customHeight="1" x14ac:dyDescent="0.35">
      <c r="A13" s="15"/>
      <c r="B13" s="3" t="s">
        <v>5476</v>
      </c>
      <c r="C13" s="3" t="s">
        <v>860</v>
      </c>
      <c r="D13" s="3" t="s">
        <v>5477</v>
      </c>
      <c r="E13" s="3" t="s">
        <v>4375</v>
      </c>
      <c r="F13" s="3" t="s">
        <v>4135</v>
      </c>
      <c r="G13" s="3" t="s">
        <v>3585</v>
      </c>
      <c r="H13" s="3"/>
      <c r="I13" s="3"/>
      <c r="J13" s="3"/>
      <c r="K13" s="16" t="s">
        <v>5459</v>
      </c>
      <c r="L13" s="18"/>
    </row>
    <row r="14" spans="1:21" ht="15.75" customHeight="1" x14ac:dyDescent="0.35">
      <c r="A14" s="15"/>
      <c r="B14" s="3" t="s">
        <v>574</v>
      </c>
      <c r="C14" s="3" t="s">
        <v>861</v>
      </c>
      <c r="D14" s="3" t="s">
        <v>2263</v>
      </c>
      <c r="E14" s="3" t="s">
        <v>1424</v>
      </c>
      <c r="F14" s="3" t="s">
        <v>5478</v>
      </c>
      <c r="G14" s="3" t="s">
        <v>5479</v>
      </c>
      <c r="H14" s="3"/>
      <c r="I14" s="3"/>
      <c r="J14" s="3"/>
      <c r="K14" s="16" t="s">
        <v>5459</v>
      </c>
      <c r="L14" s="18"/>
    </row>
    <row r="15" spans="1:21" ht="15.75" customHeight="1" x14ac:dyDescent="0.35">
      <c r="A15" s="15"/>
      <c r="B15" s="3" t="s">
        <v>529</v>
      </c>
      <c r="C15" s="3" t="s">
        <v>861</v>
      </c>
      <c r="D15" s="3" t="s">
        <v>2218</v>
      </c>
      <c r="E15" s="3" t="s">
        <v>1380</v>
      </c>
      <c r="F15" s="3" t="s">
        <v>3783</v>
      </c>
      <c r="G15" s="3" t="s">
        <v>5480</v>
      </c>
      <c r="H15" s="3"/>
      <c r="I15" s="3"/>
      <c r="J15" s="3"/>
      <c r="K15" s="16" t="s">
        <v>5459</v>
      </c>
      <c r="L15" s="18"/>
    </row>
    <row r="16" spans="1:21" ht="15.75" customHeight="1" x14ac:dyDescent="0.35">
      <c r="A16" s="15"/>
      <c r="B16" s="3" t="s">
        <v>5481</v>
      </c>
      <c r="C16" s="3" t="s">
        <v>860</v>
      </c>
      <c r="D16" s="3" t="s">
        <v>5482</v>
      </c>
      <c r="E16" s="3" t="s">
        <v>5483</v>
      </c>
      <c r="F16" s="3" t="s">
        <v>5484</v>
      </c>
      <c r="G16" s="3" t="s">
        <v>5467</v>
      </c>
      <c r="H16" s="3"/>
      <c r="I16" s="3"/>
      <c r="J16" s="3"/>
      <c r="K16" s="16" t="s">
        <v>5459</v>
      </c>
      <c r="L16" s="18"/>
    </row>
    <row r="17" spans="1:12" ht="15.75" customHeight="1" x14ac:dyDescent="0.35">
      <c r="A17" s="15"/>
      <c r="B17" s="3" t="s">
        <v>5485</v>
      </c>
      <c r="C17" s="3" t="s">
        <v>860</v>
      </c>
      <c r="D17" s="3" t="s">
        <v>5486</v>
      </c>
      <c r="E17" s="3" t="s">
        <v>5487</v>
      </c>
      <c r="F17" s="3" t="s">
        <v>3828</v>
      </c>
      <c r="G17" s="3" t="s">
        <v>5488</v>
      </c>
      <c r="H17" s="3"/>
      <c r="I17" s="3"/>
      <c r="J17" s="3"/>
      <c r="K17" s="16" t="s">
        <v>5489</v>
      </c>
      <c r="L17" s="18"/>
    </row>
    <row r="18" spans="1:12" ht="15.75" customHeight="1" x14ac:dyDescent="0.35">
      <c r="A18" s="15"/>
      <c r="B18" s="3" t="s">
        <v>5490</v>
      </c>
      <c r="C18" s="3" t="s">
        <v>861</v>
      </c>
      <c r="D18" s="3" t="s">
        <v>5491</v>
      </c>
      <c r="E18" s="3" t="s">
        <v>4036</v>
      </c>
      <c r="F18" s="3" t="s">
        <v>4336</v>
      </c>
      <c r="G18" s="3" t="s">
        <v>5492</v>
      </c>
      <c r="H18" s="3"/>
      <c r="I18" s="3"/>
      <c r="J18" s="3"/>
      <c r="K18" s="16" t="s">
        <v>5459</v>
      </c>
      <c r="L18" s="18"/>
    </row>
    <row r="19" spans="1:12" ht="15.75" customHeight="1" x14ac:dyDescent="0.35">
      <c r="A19" s="15"/>
      <c r="B19" s="3" t="s">
        <v>417</v>
      </c>
      <c r="C19" s="3" t="s">
        <v>861</v>
      </c>
      <c r="D19" s="3" t="s">
        <v>2106</v>
      </c>
      <c r="E19" s="3" t="s">
        <v>1270</v>
      </c>
      <c r="F19" s="3" t="s">
        <v>5493</v>
      </c>
      <c r="G19" s="3" t="s">
        <v>4353</v>
      </c>
      <c r="H19" s="3"/>
      <c r="I19" s="3"/>
      <c r="J19" s="3"/>
      <c r="K19" s="16" t="s">
        <v>5459</v>
      </c>
      <c r="L19" s="18"/>
    </row>
    <row r="20" spans="1:12" ht="15.75" customHeight="1" x14ac:dyDescent="0.35">
      <c r="A20" s="15"/>
      <c r="B20" s="3" t="s">
        <v>5494</v>
      </c>
      <c r="C20" s="3" t="s">
        <v>861</v>
      </c>
      <c r="D20" s="3" t="s">
        <v>5495</v>
      </c>
      <c r="E20" s="3" t="s">
        <v>5496</v>
      </c>
      <c r="F20" s="3" t="s">
        <v>4271</v>
      </c>
      <c r="G20" s="3" t="s">
        <v>3585</v>
      </c>
      <c r="H20" s="3"/>
      <c r="I20" s="3"/>
      <c r="J20" s="3"/>
      <c r="K20" s="16" t="s">
        <v>5459</v>
      </c>
      <c r="L20" s="18"/>
    </row>
    <row r="21" spans="1:12" ht="15.75" customHeight="1" x14ac:dyDescent="0.35">
      <c r="A21" s="15"/>
      <c r="B21" s="3" t="s">
        <v>196</v>
      </c>
      <c r="C21" s="3" t="s">
        <v>861</v>
      </c>
      <c r="D21" s="3" t="s">
        <v>1885</v>
      </c>
      <c r="E21" s="3" t="s">
        <v>1055</v>
      </c>
      <c r="F21" s="3" t="s">
        <v>5497</v>
      </c>
      <c r="G21" s="3" t="s">
        <v>5480</v>
      </c>
      <c r="H21" s="3"/>
      <c r="I21" s="3"/>
      <c r="J21" s="3"/>
      <c r="K21" s="16" t="s">
        <v>5459</v>
      </c>
      <c r="L21" s="18"/>
    </row>
    <row r="22" spans="1:12" ht="15.75" customHeight="1" x14ac:dyDescent="0.35">
      <c r="A22" s="15"/>
      <c r="B22" s="3" t="s">
        <v>804</v>
      </c>
      <c r="C22" s="3" t="s">
        <v>860</v>
      </c>
      <c r="D22" s="3" t="s">
        <v>2493</v>
      </c>
      <c r="E22" s="3" t="s">
        <v>1640</v>
      </c>
      <c r="F22" s="3" t="s">
        <v>5498</v>
      </c>
      <c r="G22" s="3" t="s">
        <v>4366</v>
      </c>
      <c r="H22" s="3"/>
      <c r="I22" s="3"/>
      <c r="J22" s="3"/>
      <c r="K22" s="16" t="s">
        <v>5459</v>
      </c>
      <c r="L22" s="18"/>
    </row>
    <row r="23" spans="1:12" ht="15.75" customHeight="1" x14ac:dyDescent="0.35">
      <c r="A23" s="15"/>
      <c r="B23" s="3" t="s">
        <v>5499</v>
      </c>
      <c r="C23" s="3" t="s">
        <v>861</v>
      </c>
      <c r="D23" s="3" t="s">
        <v>5500</v>
      </c>
      <c r="E23" s="3" t="s">
        <v>5501</v>
      </c>
      <c r="F23" s="3" t="s">
        <v>4331</v>
      </c>
      <c r="G23" s="3" t="s">
        <v>5480</v>
      </c>
      <c r="H23" s="3"/>
      <c r="I23" s="3"/>
      <c r="J23" s="3"/>
      <c r="K23" s="16" t="s">
        <v>5459</v>
      </c>
      <c r="L23" s="18"/>
    </row>
    <row r="24" spans="1:12" ht="15.75" customHeight="1" x14ac:dyDescent="0.35">
      <c r="A24" s="15"/>
      <c r="B24" s="3" t="s">
        <v>792</v>
      </c>
      <c r="C24" s="3" t="s">
        <v>860</v>
      </c>
      <c r="D24" s="3" t="s">
        <v>2481</v>
      </c>
      <c r="E24" s="3" t="s">
        <v>1628</v>
      </c>
      <c r="F24" s="3" t="s">
        <v>3955</v>
      </c>
      <c r="G24" s="3" t="s">
        <v>5502</v>
      </c>
      <c r="H24" s="3"/>
      <c r="I24" s="3"/>
      <c r="J24" s="3"/>
      <c r="K24" s="16" t="s">
        <v>5503</v>
      </c>
      <c r="L24" s="18"/>
    </row>
    <row r="25" spans="1:12" ht="15.75" customHeight="1" x14ac:dyDescent="0.35">
      <c r="A25" s="15"/>
      <c r="B25" s="3" t="s">
        <v>578</v>
      </c>
      <c r="C25" s="3" t="s">
        <v>860</v>
      </c>
      <c r="D25" s="3" t="s">
        <v>2267</v>
      </c>
      <c r="E25" s="3" t="s">
        <v>1428</v>
      </c>
      <c r="F25" s="3" t="s">
        <v>3830</v>
      </c>
      <c r="G25" s="19">
        <v>44484</v>
      </c>
      <c r="H25" s="3"/>
      <c r="I25" s="3"/>
      <c r="J25" s="3"/>
      <c r="K25" s="16" t="s">
        <v>5459</v>
      </c>
      <c r="L25" s="18"/>
    </row>
    <row r="26" spans="1:12" ht="15.75" customHeight="1" x14ac:dyDescent="0.35">
      <c r="A26" s="15"/>
      <c r="B26" s="3" t="s">
        <v>781</v>
      </c>
      <c r="C26" s="3" t="s">
        <v>860</v>
      </c>
      <c r="D26" s="3" t="s">
        <v>2470</v>
      </c>
      <c r="E26" s="3" t="s">
        <v>1617</v>
      </c>
      <c r="F26" s="3" t="s">
        <v>3951</v>
      </c>
      <c r="G26" s="3" t="s">
        <v>5480</v>
      </c>
      <c r="H26" s="6">
        <v>7147.0399999999991</v>
      </c>
      <c r="I26" s="6">
        <v>2600</v>
      </c>
      <c r="J26" s="6">
        <v>7053.0599999999995</v>
      </c>
      <c r="K26" s="16" t="s">
        <v>5503</v>
      </c>
      <c r="L26" s="18"/>
    </row>
    <row r="27" spans="1:12" ht="15.75" customHeight="1" x14ac:dyDescent="0.35">
      <c r="A27" s="15"/>
      <c r="B27" s="3" t="s">
        <v>825</v>
      </c>
      <c r="C27" s="3" t="s">
        <v>861</v>
      </c>
      <c r="D27" s="3" t="s">
        <v>2514</v>
      </c>
      <c r="E27" s="3" t="s">
        <v>1659</v>
      </c>
      <c r="F27" s="3" t="s">
        <v>3961</v>
      </c>
      <c r="G27" s="3" t="s">
        <v>5504</v>
      </c>
      <c r="H27" s="6">
        <v>6079.0879999999997</v>
      </c>
      <c r="I27" s="6">
        <v>5919.45</v>
      </c>
      <c r="J27" s="6">
        <v>17997.53</v>
      </c>
      <c r="K27" s="16" t="s">
        <v>5503</v>
      </c>
      <c r="L27" s="18"/>
    </row>
    <row r="28" spans="1:12" ht="15.75" customHeight="1" x14ac:dyDescent="0.35">
      <c r="A28" s="15"/>
      <c r="B28" s="3" t="s">
        <v>821</v>
      </c>
      <c r="C28" s="3" t="s">
        <v>860</v>
      </c>
      <c r="D28" s="3" t="s">
        <v>2510</v>
      </c>
      <c r="E28" s="3" t="s">
        <v>1552</v>
      </c>
      <c r="F28" s="3" t="s">
        <v>3960</v>
      </c>
      <c r="G28" s="3" t="s">
        <v>5504</v>
      </c>
      <c r="H28" s="6">
        <v>5776</v>
      </c>
      <c r="I28" s="6">
        <v>5720</v>
      </c>
      <c r="J28" s="6">
        <v>17100</v>
      </c>
      <c r="K28" s="16" t="s">
        <v>5503</v>
      </c>
      <c r="L28" s="18"/>
    </row>
    <row r="29" spans="1:12" ht="15.75" customHeight="1" x14ac:dyDescent="0.35">
      <c r="A29" s="15"/>
      <c r="B29" s="3" t="s">
        <v>5505</v>
      </c>
      <c r="C29" s="3" t="s">
        <v>860</v>
      </c>
      <c r="D29" s="3" t="s">
        <v>5506</v>
      </c>
      <c r="E29" s="3" t="s">
        <v>5507</v>
      </c>
      <c r="F29" s="3" t="s">
        <v>5508</v>
      </c>
      <c r="G29" s="3" t="s">
        <v>5509</v>
      </c>
      <c r="H29" s="6">
        <v>5158.8799999999992</v>
      </c>
      <c r="I29" s="6">
        <v>0</v>
      </c>
      <c r="J29" s="6">
        <v>15272.88</v>
      </c>
      <c r="K29" s="16" t="s">
        <v>5503</v>
      </c>
      <c r="L29" s="18"/>
    </row>
    <row r="30" spans="1:12" ht="15.75" customHeight="1" x14ac:dyDescent="0.35">
      <c r="A30" s="15"/>
      <c r="B30" s="3" t="s">
        <v>5510</v>
      </c>
      <c r="C30" s="3" t="s">
        <v>860</v>
      </c>
      <c r="D30" s="3" t="s">
        <v>5511</v>
      </c>
      <c r="E30" s="3" t="s">
        <v>4629</v>
      </c>
      <c r="F30" s="3" t="s">
        <v>4173</v>
      </c>
      <c r="G30" s="3" t="s">
        <v>5509</v>
      </c>
      <c r="H30" s="6">
        <v>5125.4399999999996</v>
      </c>
      <c r="I30" s="6">
        <v>0</v>
      </c>
      <c r="J30" s="6">
        <v>15174.25</v>
      </c>
      <c r="K30" s="16" t="s">
        <v>5503</v>
      </c>
      <c r="L30" s="18"/>
    </row>
    <row r="31" spans="1:12" ht="15.75" customHeight="1" x14ac:dyDescent="0.35">
      <c r="A31" s="15"/>
      <c r="B31" s="3" t="s">
        <v>5512</v>
      </c>
      <c r="C31" s="3" t="s">
        <v>861</v>
      </c>
      <c r="D31" s="3" t="s">
        <v>5513</v>
      </c>
      <c r="E31" s="3" t="s">
        <v>5514</v>
      </c>
      <c r="F31" s="3" t="s">
        <v>5515</v>
      </c>
      <c r="G31" s="3" t="s">
        <v>5488</v>
      </c>
      <c r="H31" s="3"/>
      <c r="I31" s="6"/>
      <c r="J31" s="6"/>
      <c r="K31" s="16" t="s">
        <v>5455</v>
      </c>
      <c r="L31" s="18"/>
    </row>
    <row r="32" spans="1:12" ht="15.75" customHeight="1" x14ac:dyDescent="0.35">
      <c r="A32" s="15"/>
      <c r="B32" s="3" t="s">
        <v>500</v>
      </c>
      <c r="C32" s="3" t="s">
        <v>861</v>
      </c>
      <c r="D32" s="3" t="s">
        <v>2189</v>
      </c>
      <c r="E32" s="3" t="s">
        <v>1352</v>
      </c>
      <c r="F32" s="3" t="s">
        <v>3764</v>
      </c>
      <c r="G32" s="3" t="s">
        <v>5516</v>
      </c>
      <c r="H32" s="3"/>
      <c r="I32" s="6"/>
      <c r="J32" s="6"/>
      <c r="K32" s="16" t="s">
        <v>5459</v>
      </c>
      <c r="L32" s="18"/>
    </row>
    <row r="33" spans="1:12" ht="15.75" customHeight="1" x14ac:dyDescent="0.35">
      <c r="A33" s="15"/>
      <c r="B33" s="3" t="s">
        <v>813</v>
      </c>
      <c r="C33" s="3" t="s">
        <v>860</v>
      </c>
      <c r="D33" s="3" t="s">
        <v>2502</v>
      </c>
      <c r="E33" s="3" t="s">
        <v>1649</v>
      </c>
      <c r="F33" s="3" t="s">
        <v>3961</v>
      </c>
      <c r="G33" s="3" t="s">
        <v>5517</v>
      </c>
      <c r="H33" s="3"/>
      <c r="I33" s="6"/>
      <c r="J33" s="6"/>
      <c r="K33" s="16" t="s">
        <v>5459</v>
      </c>
      <c r="L33" s="18"/>
    </row>
    <row r="34" spans="1:12" ht="15.75" customHeight="1" x14ac:dyDescent="0.35">
      <c r="A34" s="15"/>
      <c r="B34" s="3" t="s">
        <v>5518</v>
      </c>
      <c r="C34" s="3" t="s">
        <v>861</v>
      </c>
      <c r="D34" s="3" t="s">
        <v>5519</v>
      </c>
      <c r="E34" s="3" t="s">
        <v>5520</v>
      </c>
      <c r="F34" s="3" t="s">
        <v>5516</v>
      </c>
      <c r="G34" s="3" t="s">
        <v>3880</v>
      </c>
      <c r="H34" s="3"/>
      <c r="I34" s="6"/>
      <c r="J34" s="6"/>
      <c r="K34" s="16" t="s">
        <v>5459</v>
      </c>
      <c r="L34" s="18"/>
    </row>
    <row r="35" spans="1:12" ht="15.75" customHeight="1" x14ac:dyDescent="0.35">
      <c r="A35" s="15"/>
      <c r="B35" s="3" t="s">
        <v>5521</v>
      </c>
      <c r="C35" s="3" t="s">
        <v>861</v>
      </c>
      <c r="D35" s="3" t="s">
        <v>5522</v>
      </c>
      <c r="E35" s="3" t="s">
        <v>5523</v>
      </c>
      <c r="F35" s="3" t="s">
        <v>4057</v>
      </c>
      <c r="G35" s="3" t="s">
        <v>5516</v>
      </c>
      <c r="H35" s="3"/>
      <c r="I35" s="6"/>
      <c r="J35" s="6"/>
      <c r="K35" s="16" t="s">
        <v>5459</v>
      </c>
      <c r="L35" s="18"/>
    </row>
    <row r="36" spans="1:12" ht="15.75" customHeight="1" x14ac:dyDescent="0.35">
      <c r="A36" s="15"/>
      <c r="B36" s="3" t="s">
        <v>5524</v>
      </c>
      <c r="C36" s="3" t="s">
        <v>860</v>
      </c>
      <c r="D36" s="3" t="s">
        <v>5525</v>
      </c>
      <c r="E36" s="3" t="s">
        <v>5526</v>
      </c>
      <c r="F36" s="3" t="s">
        <v>4201</v>
      </c>
      <c r="G36" s="3" t="s">
        <v>5527</v>
      </c>
      <c r="H36" s="3"/>
      <c r="I36" s="6"/>
      <c r="J36" s="6"/>
      <c r="K36" s="16" t="s">
        <v>5459</v>
      </c>
      <c r="L36" s="18"/>
    </row>
    <row r="37" spans="1:12" ht="15.75" customHeight="1" x14ac:dyDescent="0.35">
      <c r="A37" s="15"/>
      <c r="B37" s="3" t="s">
        <v>5528</v>
      </c>
      <c r="C37" s="3" t="s">
        <v>861</v>
      </c>
      <c r="D37" s="3" t="s">
        <v>5529</v>
      </c>
      <c r="E37" s="3" t="s">
        <v>5530</v>
      </c>
      <c r="F37" s="3" t="s">
        <v>4326</v>
      </c>
      <c r="G37" s="3" t="s">
        <v>5531</v>
      </c>
      <c r="H37" s="3"/>
      <c r="I37" s="6"/>
      <c r="J37" s="6"/>
      <c r="K37" s="16" t="s">
        <v>5459</v>
      </c>
      <c r="L37" s="18"/>
    </row>
    <row r="38" spans="1:12" ht="15.75" customHeight="1" x14ac:dyDescent="0.35">
      <c r="A38" s="15"/>
      <c r="B38" s="3" t="s">
        <v>5532</v>
      </c>
      <c r="C38" s="3" t="s">
        <v>860</v>
      </c>
      <c r="D38" s="3" t="s">
        <v>5533</v>
      </c>
      <c r="E38" s="3" t="s">
        <v>5534</v>
      </c>
      <c r="F38" s="3" t="s">
        <v>5535</v>
      </c>
      <c r="G38" s="3" t="s">
        <v>5527</v>
      </c>
      <c r="H38" s="3"/>
      <c r="I38" s="6"/>
      <c r="J38" s="6"/>
      <c r="K38" s="16" t="s">
        <v>5459</v>
      </c>
      <c r="L38" s="18"/>
    </row>
    <row r="39" spans="1:12" ht="15.75" customHeight="1" x14ac:dyDescent="0.35">
      <c r="A39" s="15"/>
      <c r="B39" s="3" t="s">
        <v>774</v>
      </c>
      <c r="C39" s="3" t="s">
        <v>860</v>
      </c>
      <c r="D39" s="3" t="s">
        <v>2463</v>
      </c>
      <c r="E39" s="3" t="s">
        <v>1610</v>
      </c>
      <c r="F39" s="3" t="s">
        <v>5536</v>
      </c>
      <c r="G39" s="3" t="s">
        <v>5537</v>
      </c>
      <c r="H39" s="3"/>
      <c r="I39" s="6"/>
      <c r="J39" s="6"/>
      <c r="K39" s="16" t="s">
        <v>5459</v>
      </c>
      <c r="L39" s="18"/>
    </row>
    <row r="40" spans="1:12" ht="15.75" customHeight="1" x14ac:dyDescent="0.35">
      <c r="A40" s="15"/>
      <c r="B40" s="3" t="s">
        <v>5538</v>
      </c>
      <c r="C40" s="3" t="s">
        <v>861</v>
      </c>
      <c r="D40" s="3" t="s">
        <v>5539</v>
      </c>
      <c r="E40" s="3" t="s">
        <v>5540</v>
      </c>
      <c r="F40" s="3" t="s">
        <v>4116</v>
      </c>
      <c r="G40" s="3" t="s">
        <v>4376</v>
      </c>
      <c r="H40" s="3"/>
      <c r="I40" s="6"/>
      <c r="J40" s="6"/>
      <c r="K40" s="16" t="s">
        <v>5459</v>
      </c>
      <c r="L40" s="18"/>
    </row>
    <row r="41" spans="1:12" ht="15.75" customHeight="1" x14ac:dyDescent="0.35">
      <c r="A41" s="15"/>
      <c r="B41" s="3" t="s">
        <v>54</v>
      </c>
      <c r="C41" s="3" t="s">
        <v>860</v>
      </c>
      <c r="D41" s="3" t="s">
        <v>1743</v>
      </c>
      <c r="E41" s="3" t="s">
        <v>916</v>
      </c>
      <c r="F41" s="3" t="s">
        <v>5541</v>
      </c>
      <c r="G41" s="3" t="s">
        <v>5542</v>
      </c>
      <c r="H41" s="6">
        <v>8510.48</v>
      </c>
      <c r="I41" s="6">
        <v>114297.69</v>
      </c>
      <c r="J41" s="6">
        <v>25195.360000000001</v>
      </c>
      <c r="K41" s="16" t="s">
        <v>5503</v>
      </c>
      <c r="L41" s="18"/>
    </row>
    <row r="42" spans="1:12" ht="15.75" customHeight="1" x14ac:dyDescent="0.35">
      <c r="A42" s="15"/>
      <c r="B42" s="3" t="s">
        <v>128</v>
      </c>
      <c r="C42" s="3" t="s">
        <v>861</v>
      </c>
      <c r="D42" s="3" t="s">
        <v>1817</v>
      </c>
      <c r="E42" s="3" t="s">
        <v>988</v>
      </c>
      <c r="F42" s="3" t="s">
        <v>5543</v>
      </c>
      <c r="G42" s="3" t="s">
        <v>5542</v>
      </c>
      <c r="H42" s="6">
        <v>17312.191999999999</v>
      </c>
      <c r="I42" s="6">
        <v>147904.5</v>
      </c>
      <c r="J42" s="6">
        <v>51253.43</v>
      </c>
      <c r="K42" s="16" t="s">
        <v>5503</v>
      </c>
      <c r="L42" s="18"/>
    </row>
    <row r="43" spans="1:12" ht="15.75" customHeight="1" x14ac:dyDescent="0.35">
      <c r="A43" s="15"/>
      <c r="B43" s="3" t="s">
        <v>136</v>
      </c>
      <c r="C43" s="3" t="s">
        <v>860</v>
      </c>
      <c r="D43" s="3" t="s">
        <v>1825</v>
      </c>
      <c r="E43" s="3" t="s">
        <v>996</v>
      </c>
      <c r="F43" s="3" t="s">
        <v>5544</v>
      </c>
      <c r="G43" s="3" t="s">
        <v>5542</v>
      </c>
      <c r="H43" s="6">
        <v>7472.6239999999998</v>
      </c>
      <c r="I43" s="6">
        <v>69480.5</v>
      </c>
      <c r="J43" s="6">
        <v>22123.149999999998</v>
      </c>
      <c r="K43" s="16" t="s">
        <v>5503</v>
      </c>
      <c r="L43" s="18"/>
    </row>
    <row r="44" spans="1:12" ht="15.75" customHeight="1" x14ac:dyDescent="0.35">
      <c r="A44" s="15"/>
      <c r="B44" s="3" t="s">
        <v>155</v>
      </c>
      <c r="C44" s="3" t="s">
        <v>861</v>
      </c>
      <c r="D44" s="3" t="s">
        <v>1844</v>
      </c>
      <c r="E44" s="3" t="s">
        <v>1015</v>
      </c>
      <c r="F44" s="3" t="s">
        <v>5545</v>
      </c>
      <c r="G44" s="3" t="s">
        <v>5542</v>
      </c>
      <c r="H44" s="6">
        <v>18181.632000000001</v>
      </c>
      <c r="I44" s="6">
        <v>138261.28</v>
      </c>
      <c r="J44" s="6">
        <v>53827.040000000008</v>
      </c>
      <c r="K44" s="16" t="s">
        <v>5459</v>
      </c>
      <c r="L44" s="18"/>
    </row>
    <row r="45" spans="1:12" ht="15.75" customHeight="1" x14ac:dyDescent="0.35">
      <c r="A45" s="15"/>
      <c r="B45" s="3" t="s">
        <v>166</v>
      </c>
      <c r="C45" s="3" t="s">
        <v>861</v>
      </c>
      <c r="D45" s="3" t="s">
        <v>1855</v>
      </c>
      <c r="E45" s="3" t="s">
        <v>1026</v>
      </c>
      <c r="F45" s="3" t="s">
        <v>5546</v>
      </c>
      <c r="G45" s="3" t="s">
        <v>5542</v>
      </c>
      <c r="H45" s="6">
        <v>8231.1039999999994</v>
      </c>
      <c r="I45" s="6">
        <v>76101.110000000015</v>
      </c>
      <c r="J45" s="6">
        <v>24368.489999999998</v>
      </c>
      <c r="K45" s="16" t="s">
        <v>5503</v>
      </c>
      <c r="L45" s="18"/>
    </row>
    <row r="46" spans="1:12" ht="15.75" customHeight="1" x14ac:dyDescent="0.35">
      <c r="A46" s="15"/>
      <c r="B46" s="3" t="s">
        <v>177</v>
      </c>
      <c r="C46" s="3" t="s">
        <v>860</v>
      </c>
      <c r="D46" s="3" t="s">
        <v>1866</v>
      </c>
      <c r="E46" s="3" t="s">
        <v>1037</v>
      </c>
      <c r="F46" s="3" t="s">
        <v>5547</v>
      </c>
      <c r="G46" s="3" t="s">
        <v>5542</v>
      </c>
      <c r="H46" s="6">
        <v>12310.175999999999</v>
      </c>
      <c r="I46" s="6">
        <v>91705.299999999988</v>
      </c>
      <c r="J46" s="6">
        <v>36444.51</v>
      </c>
      <c r="K46" s="16" t="s">
        <v>5548</v>
      </c>
      <c r="L46" s="18"/>
    </row>
    <row r="47" spans="1:12" ht="15.75" customHeight="1" x14ac:dyDescent="0.35">
      <c r="A47" s="15"/>
      <c r="B47" s="3" t="s">
        <v>210</v>
      </c>
      <c r="C47" s="3" t="s">
        <v>860</v>
      </c>
      <c r="D47" s="3" t="s">
        <v>1899</v>
      </c>
      <c r="E47" s="3" t="s">
        <v>1069</v>
      </c>
      <c r="F47" s="3" t="s">
        <v>5549</v>
      </c>
      <c r="G47" s="3" t="s">
        <v>5542</v>
      </c>
      <c r="H47" s="6">
        <v>18156.703999999998</v>
      </c>
      <c r="I47" s="6">
        <v>107422.28</v>
      </c>
      <c r="J47" s="6">
        <v>53753.59</v>
      </c>
      <c r="K47" s="16" t="s">
        <v>5503</v>
      </c>
      <c r="L47" s="18"/>
    </row>
    <row r="48" spans="1:12" ht="15.75" customHeight="1" x14ac:dyDescent="0.35">
      <c r="A48" s="15"/>
      <c r="B48" s="3" t="s">
        <v>270</v>
      </c>
      <c r="C48" s="3" t="s">
        <v>860</v>
      </c>
      <c r="D48" s="3" t="s">
        <v>1959</v>
      </c>
      <c r="E48" s="3" t="s">
        <v>1128</v>
      </c>
      <c r="F48" s="3" t="s">
        <v>5550</v>
      </c>
      <c r="G48" s="3" t="s">
        <v>5542</v>
      </c>
      <c r="H48" s="6">
        <v>6879.52</v>
      </c>
      <c r="I48" s="6">
        <v>42664.160000000003</v>
      </c>
      <c r="J48" s="6">
        <v>20367.27</v>
      </c>
      <c r="K48" s="16" t="s">
        <v>5503</v>
      </c>
      <c r="L48" s="18"/>
    </row>
    <row r="49" spans="1:12" ht="15.75" customHeight="1" x14ac:dyDescent="0.35">
      <c r="A49" s="15"/>
      <c r="B49" s="3" t="s">
        <v>284</v>
      </c>
      <c r="C49" s="3" t="s">
        <v>860</v>
      </c>
      <c r="D49" s="3" t="s">
        <v>1973</v>
      </c>
      <c r="E49" s="3" t="s">
        <v>1142</v>
      </c>
      <c r="F49" s="3" t="s">
        <v>5551</v>
      </c>
      <c r="G49" s="3" t="s">
        <v>5542</v>
      </c>
      <c r="H49" s="6">
        <v>6785.8879999999999</v>
      </c>
      <c r="I49" s="6">
        <v>42082.78</v>
      </c>
      <c r="J49" s="6">
        <v>20089.72</v>
      </c>
      <c r="K49" s="16" t="s">
        <v>5548</v>
      </c>
      <c r="L49" s="18"/>
    </row>
    <row r="50" spans="1:12" ht="15.75" customHeight="1" x14ac:dyDescent="0.35">
      <c r="A50" s="15"/>
      <c r="B50" s="3" t="s">
        <v>287</v>
      </c>
      <c r="C50" s="3" t="s">
        <v>861</v>
      </c>
      <c r="D50" s="3" t="s">
        <v>1976</v>
      </c>
      <c r="E50" s="3" t="s">
        <v>1145</v>
      </c>
      <c r="F50" s="3" t="s">
        <v>5552</v>
      </c>
      <c r="G50" s="3" t="s">
        <v>5542</v>
      </c>
      <c r="H50" s="6">
        <v>8027.7279999999992</v>
      </c>
      <c r="I50" s="6">
        <v>49783.8</v>
      </c>
      <c r="J50" s="6">
        <v>23766.080000000002</v>
      </c>
      <c r="K50" s="16" t="s">
        <v>5548</v>
      </c>
      <c r="L50" s="18"/>
    </row>
    <row r="51" spans="1:12" ht="15.75" customHeight="1" x14ac:dyDescent="0.35">
      <c r="A51" s="15"/>
      <c r="B51" s="3" t="s">
        <v>314</v>
      </c>
      <c r="C51" s="3" t="s">
        <v>860</v>
      </c>
      <c r="D51" s="3" t="s">
        <v>2003</v>
      </c>
      <c r="E51" s="3" t="s">
        <v>1172</v>
      </c>
      <c r="F51" s="3" t="s">
        <v>3636</v>
      </c>
      <c r="G51" s="3" t="s">
        <v>5542</v>
      </c>
      <c r="H51" s="6">
        <v>18157.919999999998</v>
      </c>
      <c r="I51" s="6">
        <v>92080.73</v>
      </c>
      <c r="J51" s="6">
        <v>53756.95</v>
      </c>
      <c r="K51" s="16" t="s">
        <v>5503</v>
      </c>
      <c r="L51" s="18"/>
    </row>
    <row r="52" spans="1:12" ht="15.75" customHeight="1" x14ac:dyDescent="0.35">
      <c r="A52" s="15"/>
      <c r="B52" s="3" t="s">
        <v>326</v>
      </c>
      <c r="C52" s="3" t="s">
        <v>860</v>
      </c>
      <c r="D52" s="3" t="s">
        <v>2015</v>
      </c>
      <c r="E52" s="3" t="s">
        <v>1184</v>
      </c>
      <c r="F52" s="3" t="s">
        <v>3645</v>
      </c>
      <c r="G52" s="3" t="s">
        <v>5542</v>
      </c>
      <c r="H52" s="6">
        <v>6879.52</v>
      </c>
      <c r="I52" s="6">
        <v>35553.47</v>
      </c>
      <c r="J52" s="6">
        <v>20367.28</v>
      </c>
      <c r="K52" s="16" t="s">
        <v>5503</v>
      </c>
      <c r="L52" s="18"/>
    </row>
    <row r="53" spans="1:12" ht="15.75" customHeight="1" x14ac:dyDescent="0.35">
      <c r="A53" s="15"/>
      <c r="B53" s="3" t="s">
        <v>360</v>
      </c>
      <c r="C53" s="3" t="s">
        <v>861</v>
      </c>
      <c r="D53" s="3" t="s">
        <v>2049</v>
      </c>
      <c r="E53" s="3" t="s">
        <v>1216</v>
      </c>
      <c r="F53" s="3" t="s">
        <v>5553</v>
      </c>
      <c r="G53" s="3" t="s">
        <v>5542</v>
      </c>
      <c r="H53" s="6">
        <v>14948.592000000001</v>
      </c>
      <c r="I53" s="6">
        <v>66176.709999999992</v>
      </c>
      <c r="J53" s="6">
        <v>44255.44</v>
      </c>
      <c r="K53" s="16" t="s">
        <v>5548</v>
      </c>
      <c r="L53" s="18"/>
    </row>
    <row r="54" spans="1:12" ht="15.75" customHeight="1" x14ac:dyDescent="0.35">
      <c r="A54" s="15"/>
      <c r="B54" s="3" t="s">
        <v>455</v>
      </c>
      <c r="C54" s="3" t="s">
        <v>861</v>
      </c>
      <c r="D54" s="3" t="s">
        <v>2144</v>
      </c>
      <c r="E54" s="3" t="s">
        <v>1308</v>
      </c>
      <c r="F54" s="3" t="s">
        <v>3722</v>
      </c>
      <c r="G54" s="3" t="s">
        <v>5542</v>
      </c>
      <c r="H54" s="6">
        <v>16465.248</v>
      </c>
      <c r="I54" s="6">
        <v>56932.66</v>
      </c>
      <c r="J54" s="6">
        <v>48745.64</v>
      </c>
      <c r="K54" s="16" t="s">
        <v>5503</v>
      </c>
      <c r="L54" s="18"/>
    </row>
    <row r="55" spans="1:12" ht="15.75" customHeight="1" x14ac:dyDescent="0.35">
      <c r="A55" s="15"/>
      <c r="B55" s="3" t="s">
        <v>487</v>
      </c>
      <c r="C55" s="3" t="s">
        <v>860</v>
      </c>
      <c r="D55" s="3" t="s">
        <v>2176</v>
      </c>
      <c r="E55" s="3" t="s">
        <v>1340</v>
      </c>
      <c r="F55" s="3" t="s">
        <v>5554</v>
      </c>
      <c r="G55" s="3" t="s">
        <v>5542</v>
      </c>
      <c r="H55" s="6">
        <v>12097.072</v>
      </c>
      <c r="I55" s="6">
        <v>34078.07</v>
      </c>
      <c r="J55" s="6">
        <v>35813.5</v>
      </c>
      <c r="K55" s="16" t="s">
        <v>5503</v>
      </c>
      <c r="L55" s="18"/>
    </row>
    <row r="56" spans="1:12" ht="15.75" customHeight="1" x14ac:dyDescent="0.35">
      <c r="A56" s="15"/>
      <c r="B56" s="3" t="s">
        <v>528</v>
      </c>
      <c r="C56" s="3" t="s">
        <v>860</v>
      </c>
      <c r="D56" s="3" t="s">
        <v>2217</v>
      </c>
      <c r="E56" s="3" t="s">
        <v>1379</v>
      </c>
      <c r="F56" s="3" t="s">
        <v>3783</v>
      </c>
      <c r="G56" s="3" t="s">
        <v>5542</v>
      </c>
      <c r="H56" s="6">
        <v>6278.2079999999996</v>
      </c>
      <c r="I56" s="6">
        <v>19476.259999999998</v>
      </c>
      <c r="J56" s="6">
        <v>18586.559999999998</v>
      </c>
      <c r="K56" s="16" t="s">
        <v>5503</v>
      </c>
      <c r="L56" s="18"/>
    </row>
    <row r="57" spans="1:12" ht="15.75" customHeight="1" x14ac:dyDescent="0.35">
      <c r="A57" s="15"/>
      <c r="B57" s="3" t="s">
        <v>547</v>
      </c>
      <c r="C57" s="3" t="s">
        <v>861</v>
      </c>
      <c r="D57" s="3" t="s">
        <v>2236</v>
      </c>
      <c r="E57" s="3" t="s">
        <v>1397</v>
      </c>
      <c r="F57" s="3" t="s">
        <v>5555</v>
      </c>
      <c r="G57" s="3" t="s">
        <v>5542</v>
      </c>
      <c r="H57" s="6">
        <v>17957.583999999999</v>
      </c>
      <c r="I57" s="6">
        <v>45644.82</v>
      </c>
      <c r="J57" s="6">
        <v>53163.63</v>
      </c>
      <c r="K57" s="16" t="s">
        <v>5503</v>
      </c>
      <c r="L57" s="18"/>
    </row>
    <row r="58" spans="1:12" ht="15.75" customHeight="1" x14ac:dyDescent="0.35">
      <c r="A58" s="15"/>
      <c r="B58" s="3" t="s">
        <v>568</v>
      </c>
      <c r="C58" s="3" t="s">
        <v>861</v>
      </c>
      <c r="D58" s="3" t="s">
        <v>2257</v>
      </c>
      <c r="E58" s="3" t="s">
        <v>1418</v>
      </c>
      <c r="F58" s="3" t="s">
        <v>5556</v>
      </c>
      <c r="G58" s="3" t="s">
        <v>5542</v>
      </c>
      <c r="H58" s="6">
        <v>17243.792000000001</v>
      </c>
      <c r="I58" s="6">
        <v>29490.879999999997</v>
      </c>
      <c r="J58" s="6">
        <v>51050.86</v>
      </c>
      <c r="K58" s="16" t="s">
        <v>5548</v>
      </c>
      <c r="L58" s="18"/>
    </row>
    <row r="59" spans="1:12" ht="15.75" customHeight="1" x14ac:dyDescent="0.35">
      <c r="A59" s="15"/>
      <c r="B59" s="3" t="s">
        <v>5557</v>
      </c>
      <c r="C59" s="3" t="s">
        <v>861</v>
      </c>
      <c r="D59" s="3" t="s">
        <v>5558</v>
      </c>
      <c r="E59" s="3" t="s">
        <v>5559</v>
      </c>
      <c r="F59" s="3" t="s">
        <v>3947</v>
      </c>
      <c r="G59" s="3" t="s">
        <v>5542</v>
      </c>
      <c r="H59" s="6">
        <v>17308.240000000002</v>
      </c>
      <c r="I59" s="6">
        <v>0</v>
      </c>
      <c r="J59" s="6">
        <v>51241.350000000006</v>
      </c>
      <c r="K59" s="16" t="s">
        <v>5548</v>
      </c>
      <c r="L59" s="18"/>
    </row>
    <row r="60" spans="1:12" ht="15.75" customHeight="1" x14ac:dyDescent="0.35">
      <c r="A60" s="15"/>
      <c r="B60" s="3" t="s">
        <v>618</v>
      </c>
      <c r="C60" s="3" t="s">
        <v>861</v>
      </c>
      <c r="D60" s="3" t="s">
        <v>2307</v>
      </c>
      <c r="E60" s="3" t="s">
        <v>1467</v>
      </c>
      <c r="F60" s="3" t="s">
        <v>5560</v>
      </c>
      <c r="G60" s="3" t="s">
        <v>5542</v>
      </c>
      <c r="H60" s="6">
        <v>7689.6799999999994</v>
      </c>
      <c r="I60" s="6">
        <v>15910.800000000001</v>
      </c>
      <c r="J60" s="6">
        <v>22765.16</v>
      </c>
      <c r="K60" s="16" t="s">
        <v>5503</v>
      </c>
      <c r="L60" s="18"/>
    </row>
    <row r="61" spans="1:12" ht="15.75" customHeight="1" x14ac:dyDescent="0.35">
      <c r="A61" s="15"/>
      <c r="B61" s="3" t="s">
        <v>60</v>
      </c>
      <c r="C61" s="3" t="s">
        <v>860</v>
      </c>
      <c r="D61" s="3" t="s">
        <v>1749</v>
      </c>
      <c r="E61" s="3" t="s">
        <v>922</v>
      </c>
      <c r="F61" s="3" t="s">
        <v>5561</v>
      </c>
      <c r="G61" s="3" t="s">
        <v>5562</v>
      </c>
      <c r="H61" s="6">
        <v>8967.6959999999999</v>
      </c>
      <c r="I61" s="6">
        <v>120440.23999999999</v>
      </c>
      <c r="J61" s="6">
        <v>26549.4</v>
      </c>
      <c r="K61" s="16" t="s">
        <v>5503</v>
      </c>
      <c r="L61" s="18"/>
    </row>
    <row r="62" spans="1:12" ht="15.75" customHeight="1" x14ac:dyDescent="0.35">
      <c r="A62" s="15"/>
      <c r="B62" s="3" t="s">
        <v>125</v>
      </c>
      <c r="C62" s="3" t="s">
        <v>861</v>
      </c>
      <c r="D62" s="3" t="s">
        <v>1814</v>
      </c>
      <c r="E62" s="3" t="s">
        <v>985</v>
      </c>
      <c r="F62" s="3" t="s">
        <v>5563</v>
      </c>
      <c r="G62" s="3" t="s">
        <v>5562</v>
      </c>
      <c r="H62" s="6">
        <v>5194.4480000000003</v>
      </c>
      <c r="I62" s="6">
        <v>53664.289999999994</v>
      </c>
      <c r="J62" s="6">
        <v>15378.42</v>
      </c>
      <c r="K62" s="16" t="s">
        <v>5503</v>
      </c>
      <c r="L62" s="18"/>
    </row>
    <row r="63" spans="1:12" ht="15.75" customHeight="1" x14ac:dyDescent="0.35">
      <c r="A63" s="15"/>
      <c r="B63" s="3" t="s">
        <v>296</v>
      </c>
      <c r="C63" s="3" t="s">
        <v>860</v>
      </c>
      <c r="D63" s="3" t="s">
        <v>1985</v>
      </c>
      <c r="E63" s="3" t="s">
        <v>1154</v>
      </c>
      <c r="F63" s="3" t="s">
        <v>5564</v>
      </c>
      <c r="G63" s="3" t="s">
        <v>5562</v>
      </c>
      <c r="H63" s="6">
        <v>10119.552</v>
      </c>
      <c r="I63" s="6">
        <v>60349.97</v>
      </c>
      <c r="J63" s="6">
        <v>29958.880000000001</v>
      </c>
      <c r="K63" s="16" t="s">
        <v>5503</v>
      </c>
      <c r="L63" s="18"/>
    </row>
    <row r="64" spans="1:12" ht="15.75" customHeight="1" x14ac:dyDescent="0.35">
      <c r="A64" s="15"/>
      <c r="B64" s="3" t="s">
        <v>379</v>
      </c>
      <c r="C64" s="3" t="s">
        <v>861</v>
      </c>
      <c r="D64" s="3" t="s">
        <v>2068</v>
      </c>
      <c r="E64" s="3" t="s">
        <v>1234</v>
      </c>
      <c r="F64" s="3" t="s">
        <v>5565</v>
      </c>
      <c r="G64" s="3" t="s">
        <v>5562</v>
      </c>
      <c r="H64" s="6">
        <v>10438.448</v>
      </c>
      <c r="I64" s="6">
        <v>51341.34</v>
      </c>
      <c r="J64" s="6">
        <v>30903.61</v>
      </c>
      <c r="K64" s="16" t="s">
        <v>5503</v>
      </c>
      <c r="L64" s="18"/>
    </row>
    <row r="65" spans="1:12" ht="15.75" customHeight="1" x14ac:dyDescent="0.35">
      <c r="A65" s="15"/>
      <c r="B65" s="3" t="s">
        <v>5566</v>
      </c>
      <c r="C65" s="3" t="s">
        <v>861</v>
      </c>
      <c r="D65" s="3" t="s">
        <v>2542</v>
      </c>
      <c r="E65" s="3" t="s">
        <v>1683</v>
      </c>
      <c r="F65" s="3" t="s">
        <v>5567</v>
      </c>
      <c r="G65" s="3" t="s">
        <v>5562</v>
      </c>
      <c r="H65" s="3"/>
      <c r="I65" s="6"/>
      <c r="J65" s="6"/>
      <c r="K65" s="16" t="s">
        <v>5503</v>
      </c>
      <c r="L65" s="18"/>
    </row>
    <row r="66" spans="1:12" ht="15.75" customHeight="1" x14ac:dyDescent="0.35">
      <c r="A66" s="15"/>
      <c r="B66" s="3" t="s">
        <v>5568</v>
      </c>
      <c r="C66" s="3" t="s">
        <v>861</v>
      </c>
      <c r="D66" s="3" t="s">
        <v>5569</v>
      </c>
      <c r="E66" s="3" t="s">
        <v>5570</v>
      </c>
      <c r="F66" s="3" t="s">
        <v>3832</v>
      </c>
      <c r="G66" s="3" t="s">
        <v>4001</v>
      </c>
      <c r="H66" s="3"/>
      <c r="I66" s="6"/>
      <c r="J66" s="6"/>
      <c r="K66" s="16" t="s">
        <v>5459</v>
      </c>
      <c r="L66" s="18"/>
    </row>
    <row r="67" spans="1:12" ht="15.75" customHeight="1" x14ac:dyDescent="0.35">
      <c r="A67" s="15"/>
      <c r="B67" s="3" t="s">
        <v>5571</v>
      </c>
      <c r="C67" s="3" t="s">
        <v>861</v>
      </c>
      <c r="D67" s="3" t="s">
        <v>5572</v>
      </c>
      <c r="E67" s="3" t="s">
        <v>1606</v>
      </c>
      <c r="F67" s="3" t="s">
        <v>3832</v>
      </c>
      <c r="G67" s="3" t="s">
        <v>5573</v>
      </c>
      <c r="H67" s="3"/>
      <c r="I67" s="6"/>
      <c r="J67" s="6"/>
      <c r="K67" s="16" t="s">
        <v>5455</v>
      </c>
      <c r="L67" s="18"/>
    </row>
    <row r="68" spans="1:12" s="50" customFormat="1" ht="15.75" customHeight="1" x14ac:dyDescent="0.35">
      <c r="A68" s="46"/>
      <c r="B68" s="47" t="s">
        <v>776</v>
      </c>
      <c r="C68" s="47" t="s">
        <v>860</v>
      </c>
      <c r="D68" s="47" t="s">
        <v>2465</v>
      </c>
      <c r="E68" s="47" t="s">
        <v>1612</v>
      </c>
      <c r="F68" s="47" t="s">
        <v>3824</v>
      </c>
      <c r="G68" s="47" t="s">
        <v>5574</v>
      </c>
      <c r="H68" s="47"/>
      <c r="I68" s="48"/>
      <c r="J68" s="48"/>
      <c r="K68" s="16" t="s">
        <v>5459</v>
      </c>
      <c r="L68" s="49"/>
    </row>
    <row r="69" spans="1:12" s="50" customFormat="1" ht="15.75" customHeight="1" x14ac:dyDescent="0.35">
      <c r="A69" s="46"/>
      <c r="B69" s="47" t="s">
        <v>648</v>
      </c>
      <c r="C69" s="47" t="s">
        <v>861</v>
      </c>
      <c r="D69" s="47" t="s">
        <v>2337</v>
      </c>
      <c r="E69" s="47" t="s">
        <v>1460</v>
      </c>
      <c r="F69" s="47" t="s">
        <v>3860</v>
      </c>
      <c r="G69" s="47" t="s">
        <v>5575</v>
      </c>
      <c r="H69" s="47"/>
      <c r="I69" s="48"/>
      <c r="J69" s="48"/>
      <c r="K69" s="16" t="s">
        <v>5459</v>
      </c>
      <c r="L69" s="49"/>
    </row>
    <row r="70" spans="1:12" s="50" customFormat="1" ht="15.75" customHeight="1" x14ac:dyDescent="0.35">
      <c r="A70" s="46"/>
      <c r="B70" s="47" t="s">
        <v>5576</v>
      </c>
      <c r="C70" s="47" t="s">
        <v>861</v>
      </c>
      <c r="D70" s="47" t="s">
        <v>5577</v>
      </c>
      <c r="E70" s="47" t="s">
        <v>900</v>
      </c>
      <c r="F70" s="47" t="s">
        <v>5578</v>
      </c>
      <c r="G70" s="47" t="s">
        <v>5579</v>
      </c>
      <c r="H70" s="47"/>
      <c r="I70" s="48"/>
      <c r="J70" s="48"/>
      <c r="K70" s="16" t="s">
        <v>5455</v>
      </c>
      <c r="L70" s="49"/>
    </row>
    <row r="71" spans="1:12" s="50" customFormat="1" ht="15.75" customHeight="1" x14ac:dyDescent="0.35">
      <c r="A71" s="46"/>
      <c r="B71" s="47" t="s">
        <v>824</v>
      </c>
      <c r="C71" s="47" t="s">
        <v>861</v>
      </c>
      <c r="D71" s="47" t="s">
        <v>2513</v>
      </c>
      <c r="E71" s="47" t="s">
        <v>1658</v>
      </c>
      <c r="F71" s="47" t="s">
        <v>3961</v>
      </c>
      <c r="G71" s="47" t="s">
        <v>5527</v>
      </c>
      <c r="H71" s="47"/>
      <c r="I71" s="48"/>
      <c r="J71" s="48"/>
      <c r="K71" s="16" t="s">
        <v>5459</v>
      </c>
      <c r="L71" s="49"/>
    </row>
    <row r="72" spans="1:12" s="50" customFormat="1" ht="15.75" customHeight="1" x14ac:dyDescent="0.35">
      <c r="A72" s="46"/>
      <c r="B72" s="47" t="s">
        <v>803</v>
      </c>
      <c r="C72" s="47" t="s">
        <v>861</v>
      </c>
      <c r="D72" s="47" t="s">
        <v>2492</v>
      </c>
      <c r="E72" s="47" t="s">
        <v>1639</v>
      </c>
      <c r="F72" s="47" t="s">
        <v>5580</v>
      </c>
      <c r="G72" s="47" t="s">
        <v>5581</v>
      </c>
      <c r="H72" s="47"/>
      <c r="I72" s="48"/>
      <c r="J72" s="48"/>
      <c r="K72" s="16" t="s">
        <v>5459</v>
      </c>
      <c r="L72" s="49"/>
    </row>
    <row r="73" spans="1:12" s="50" customFormat="1" ht="15.75" customHeight="1" x14ac:dyDescent="0.35">
      <c r="A73" s="46"/>
      <c r="B73" s="47" t="s">
        <v>5582</v>
      </c>
      <c r="C73" s="47" t="s">
        <v>861</v>
      </c>
      <c r="D73" s="47" t="s">
        <v>5583</v>
      </c>
      <c r="E73" s="47" t="s">
        <v>5584</v>
      </c>
      <c r="F73" s="47" t="s">
        <v>4145</v>
      </c>
      <c r="G73" s="47" t="s">
        <v>5585</v>
      </c>
      <c r="H73" s="47"/>
      <c r="I73" s="48"/>
      <c r="J73" s="48"/>
      <c r="K73" s="16" t="s">
        <v>5459</v>
      </c>
      <c r="L73" s="47" t="s">
        <v>5586</v>
      </c>
    </row>
    <row r="74" spans="1:12" s="50" customFormat="1" ht="15.75" customHeight="1" x14ac:dyDescent="0.35">
      <c r="A74" s="46"/>
      <c r="B74" s="47" t="s">
        <v>443</v>
      </c>
      <c r="C74" s="47" t="s">
        <v>860</v>
      </c>
      <c r="D74" s="47" t="s">
        <v>2132</v>
      </c>
      <c r="E74" s="47" t="s">
        <v>1296</v>
      </c>
      <c r="F74" s="47" t="s">
        <v>5587</v>
      </c>
      <c r="G74" s="47" t="s">
        <v>5588</v>
      </c>
      <c r="H74" s="47"/>
      <c r="I74" s="48"/>
      <c r="J74" s="48"/>
      <c r="K74" s="16" t="s">
        <v>5459</v>
      </c>
      <c r="L74" s="47" t="s">
        <v>5586</v>
      </c>
    </row>
    <row r="75" spans="1:12" ht="15.75" customHeight="1" x14ac:dyDescent="0.35">
      <c r="A75" s="15"/>
      <c r="B75" s="3" t="s">
        <v>5589</v>
      </c>
      <c r="C75" s="3" t="s">
        <v>860</v>
      </c>
      <c r="D75" s="3" t="s">
        <v>5590</v>
      </c>
      <c r="E75" s="3" t="s">
        <v>5591</v>
      </c>
      <c r="F75" s="3" t="s">
        <v>5592</v>
      </c>
      <c r="G75" s="3" t="s">
        <v>4280</v>
      </c>
      <c r="H75" s="3"/>
      <c r="I75" s="6"/>
      <c r="J75" s="6"/>
      <c r="K75" s="16" t="s">
        <v>5459</v>
      </c>
      <c r="L75" s="3" t="s">
        <v>5586</v>
      </c>
    </row>
    <row r="76" spans="1:12" ht="15.75" customHeight="1" x14ac:dyDescent="0.35">
      <c r="A76" s="15"/>
      <c r="B76" s="3" t="s">
        <v>470</v>
      </c>
      <c r="C76" s="3" t="s">
        <v>861</v>
      </c>
      <c r="D76" s="3" t="s">
        <v>2159</v>
      </c>
      <c r="E76" s="3" t="s">
        <v>1323</v>
      </c>
      <c r="F76" s="3" t="s">
        <v>5593</v>
      </c>
      <c r="G76" s="3" t="s">
        <v>5594</v>
      </c>
      <c r="H76" s="3"/>
      <c r="I76" s="6"/>
      <c r="J76" s="6"/>
      <c r="K76" s="16" t="s">
        <v>5459</v>
      </c>
      <c r="L76" s="18"/>
    </row>
    <row r="77" spans="1:12" ht="15.75" customHeight="1" x14ac:dyDescent="0.35">
      <c r="A77" s="15"/>
      <c r="B77" s="3" t="s">
        <v>118</v>
      </c>
      <c r="C77" s="3" t="s">
        <v>861</v>
      </c>
      <c r="D77" s="3" t="s">
        <v>1807</v>
      </c>
      <c r="E77" s="3" t="s">
        <v>978</v>
      </c>
      <c r="F77" s="3" t="s">
        <v>5595</v>
      </c>
      <c r="G77" s="3" t="s">
        <v>5596</v>
      </c>
      <c r="H77" s="3"/>
      <c r="I77" s="6"/>
      <c r="J77" s="6"/>
      <c r="K77" s="16" t="s">
        <v>5459</v>
      </c>
      <c r="L77" s="18"/>
    </row>
    <row r="78" spans="1:12" ht="15.75" customHeight="1" x14ac:dyDescent="0.35">
      <c r="A78" s="15"/>
      <c r="B78" s="3" t="s">
        <v>324</v>
      </c>
      <c r="C78" s="3" t="s">
        <v>860</v>
      </c>
      <c r="D78" s="3" t="s">
        <v>2013</v>
      </c>
      <c r="E78" s="3" t="s">
        <v>1182</v>
      </c>
      <c r="F78" s="3" t="s">
        <v>5597</v>
      </c>
      <c r="G78" s="3" t="s">
        <v>4441</v>
      </c>
      <c r="H78" s="3"/>
      <c r="I78" s="6"/>
      <c r="J78" s="6"/>
      <c r="K78" s="16" t="s">
        <v>5459</v>
      </c>
      <c r="L78" s="18"/>
    </row>
    <row r="79" spans="1:12" ht="15.75" customHeight="1" x14ac:dyDescent="0.35">
      <c r="A79" s="15"/>
      <c r="B79" s="3" t="s">
        <v>5598</v>
      </c>
      <c r="C79" s="3" t="s">
        <v>860</v>
      </c>
      <c r="D79" s="3" t="s">
        <v>5599</v>
      </c>
      <c r="E79" s="3" t="s">
        <v>5600</v>
      </c>
      <c r="F79" s="3" t="s">
        <v>4001</v>
      </c>
      <c r="G79" s="3" t="s">
        <v>5601</v>
      </c>
      <c r="H79" s="3"/>
      <c r="I79" s="6"/>
      <c r="J79" s="6"/>
      <c r="K79" s="16" t="s">
        <v>5455</v>
      </c>
      <c r="L79" s="18"/>
    </row>
    <row r="80" spans="1:12" ht="15.75" customHeight="1" x14ac:dyDescent="0.35">
      <c r="A80" s="15"/>
      <c r="B80" s="3" t="s">
        <v>4284</v>
      </c>
      <c r="C80" s="3" t="s">
        <v>861</v>
      </c>
      <c r="D80" s="3" t="s">
        <v>4286</v>
      </c>
      <c r="E80" s="3" t="s">
        <v>4287</v>
      </c>
      <c r="F80" s="3" t="s">
        <v>4353</v>
      </c>
      <c r="G80" s="3" t="s">
        <v>5602</v>
      </c>
      <c r="H80" s="3"/>
      <c r="I80" s="6"/>
      <c r="J80" s="6"/>
      <c r="K80" s="16" t="s">
        <v>5459</v>
      </c>
      <c r="L80" s="18"/>
    </row>
    <row r="81" spans="1:12" ht="15.75" customHeight="1" x14ac:dyDescent="0.35">
      <c r="A81" s="15"/>
      <c r="B81" s="3" t="s">
        <v>5603</v>
      </c>
      <c r="C81" s="3" t="s">
        <v>861</v>
      </c>
      <c r="D81" s="3" t="s">
        <v>5604</v>
      </c>
      <c r="E81" s="3" t="s">
        <v>5605</v>
      </c>
      <c r="F81" s="3" t="s">
        <v>5588</v>
      </c>
      <c r="G81" s="3" t="s">
        <v>3880</v>
      </c>
      <c r="H81" s="3"/>
      <c r="I81" s="6"/>
      <c r="J81" s="6"/>
      <c r="K81" s="16" t="s">
        <v>5459</v>
      </c>
      <c r="L81" s="18"/>
    </row>
    <row r="82" spans="1:12" ht="15.75" customHeight="1" x14ac:dyDescent="0.35">
      <c r="A82" s="15"/>
      <c r="B82" s="3" t="s">
        <v>5606</v>
      </c>
      <c r="C82" s="3" t="s">
        <v>860</v>
      </c>
      <c r="D82" s="3" t="s">
        <v>5607</v>
      </c>
      <c r="E82" s="3" t="s">
        <v>5608</v>
      </c>
      <c r="F82" s="3" t="s">
        <v>4240</v>
      </c>
      <c r="G82" s="3" t="s">
        <v>4445</v>
      </c>
      <c r="H82" s="3"/>
      <c r="I82" s="6"/>
      <c r="J82" s="6"/>
      <c r="K82" s="16" t="s">
        <v>5459</v>
      </c>
      <c r="L82" s="18"/>
    </row>
    <row r="83" spans="1:12" ht="15.75" customHeight="1" x14ac:dyDescent="0.35">
      <c r="A83" s="15"/>
      <c r="B83" s="3" t="s">
        <v>5609</v>
      </c>
      <c r="C83" s="3" t="s">
        <v>861</v>
      </c>
      <c r="D83" s="3" t="s">
        <v>5610</v>
      </c>
      <c r="E83" s="3" t="s">
        <v>4975</v>
      </c>
      <c r="F83" s="3" t="s">
        <v>3585</v>
      </c>
      <c r="G83" s="3" t="s">
        <v>5611</v>
      </c>
      <c r="H83" s="3"/>
      <c r="I83" s="6"/>
      <c r="J83" s="6"/>
      <c r="K83" s="16" t="s">
        <v>5459</v>
      </c>
      <c r="L83" s="18"/>
    </row>
    <row r="84" spans="1:12" ht="15.75" customHeight="1" x14ac:dyDescent="0.35">
      <c r="A84" s="15"/>
      <c r="B84" s="3" t="s">
        <v>5612</v>
      </c>
      <c r="C84" s="3" t="s">
        <v>860</v>
      </c>
      <c r="D84" s="3" t="s">
        <v>5613</v>
      </c>
      <c r="E84" s="3" t="s">
        <v>4051</v>
      </c>
      <c r="F84" s="3" t="s">
        <v>4336</v>
      </c>
      <c r="G84" s="3" t="s">
        <v>4445</v>
      </c>
      <c r="H84" s="3"/>
      <c r="I84" s="6"/>
      <c r="J84" s="6"/>
      <c r="K84" s="16" t="s">
        <v>5459</v>
      </c>
      <c r="L84" s="18"/>
    </row>
    <row r="85" spans="1:12" ht="15.75" customHeight="1" x14ac:dyDescent="0.35">
      <c r="A85" s="15"/>
      <c r="B85" s="3" t="s">
        <v>5614</v>
      </c>
      <c r="C85" s="3" t="s">
        <v>861</v>
      </c>
      <c r="D85" s="3" t="s">
        <v>5615</v>
      </c>
      <c r="E85" s="3" t="s">
        <v>5616</v>
      </c>
      <c r="F85" s="3" t="s">
        <v>3763</v>
      </c>
      <c r="G85" s="3" t="s">
        <v>5617</v>
      </c>
      <c r="H85" s="3"/>
      <c r="I85" s="6"/>
      <c r="J85" s="6"/>
      <c r="K85" s="16" t="s">
        <v>5459</v>
      </c>
      <c r="L85" s="18"/>
    </row>
    <row r="86" spans="1:12" ht="15.75" customHeight="1" x14ac:dyDescent="0.35">
      <c r="A86" s="15"/>
      <c r="B86" s="3" t="s">
        <v>5618</v>
      </c>
      <c r="C86" s="3" t="s">
        <v>860</v>
      </c>
      <c r="D86" s="3" t="s">
        <v>5619</v>
      </c>
      <c r="E86" s="3" t="s">
        <v>5620</v>
      </c>
      <c r="F86" s="3" t="s">
        <v>5621</v>
      </c>
      <c r="G86" s="3" t="s">
        <v>5617</v>
      </c>
      <c r="H86" s="3"/>
      <c r="I86" s="6"/>
      <c r="J86" s="6"/>
      <c r="K86" s="16" t="s">
        <v>5459</v>
      </c>
      <c r="L86" s="18"/>
    </row>
    <row r="87" spans="1:12" ht="15.75" customHeight="1" x14ac:dyDescent="0.35">
      <c r="A87" s="15"/>
      <c r="B87" s="3" t="s">
        <v>5622</v>
      </c>
      <c r="C87" s="3" t="s">
        <v>861</v>
      </c>
      <c r="D87" s="3" t="s">
        <v>5623</v>
      </c>
      <c r="E87" s="3" t="s">
        <v>5624</v>
      </c>
      <c r="F87" s="3" t="s">
        <v>5479</v>
      </c>
      <c r="G87" s="3" t="s">
        <v>5617</v>
      </c>
      <c r="H87" s="3"/>
      <c r="I87" s="6"/>
      <c r="J87" s="6"/>
      <c r="K87" s="16" t="s">
        <v>5459</v>
      </c>
      <c r="L87" s="18"/>
    </row>
    <row r="88" spans="1:12" ht="15.75" customHeight="1" x14ac:dyDescent="0.35">
      <c r="A88" s="15"/>
      <c r="B88" s="3" t="s">
        <v>5625</v>
      </c>
      <c r="C88" s="3" t="s">
        <v>861</v>
      </c>
      <c r="D88" s="3" t="s">
        <v>5626</v>
      </c>
      <c r="E88" s="3" t="s">
        <v>5627</v>
      </c>
      <c r="F88" s="3" t="s">
        <v>4331</v>
      </c>
      <c r="G88" s="3" t="s">
        <v>5628</v>
      </c>
      <c r="H88" s="3"/>
      <c r="I88" s="6"/>
      <c r="J88" s="6"/>
      <c r="K88" s="16" t="s">
        <v>5459</v>
      </c>
      <c r="L88" s="18"/>
    </row>
    <row r="89" spans="1:12" ht="15.75" customHeight="1" x14ac:dyDescent="0.35">
      <c r="A89" s="15"/>
      <c r="B89" s="3" t="s">
        <v>5629</v>
      </c>
      <c r="C89" s="3" t="s">
        <v>861</v>
      </c>
      <c r="D89" s="3" t="s">
        <v>5630</v>
      </c>
      <c r="E89" s="3" t="s">
        <v>5631</v>
      </c>
      <c r="F89" s="3" t="s">
        <v>3892</v>
      </c>
      <c r="G89" s="3" t="s">
        <v>5531</v>
      </c>
      <c r="H89" s="3"/>
      <c r="I89" s="6"/>
      <c r="J89" s="6"/>
      <c r="K89" s="16" t="s">
        <v>5459</v>
      </c>
      <c r="L89" s="18"/>
    </row>
    <row r="90" spans="1:12" ht="0" hidden="1" customHeight="1" x14ac:dyDescent="0.35">
      <c r="I90" s="51"/>
      <c r="J90" s="51"/>
      <c r="K90" s="16" t="e">
        <v>#N/A</v>
      </c>
    </row>
    <row r="91" spans="1:12" ht="15.75" customHeight="1" x14ac:dyDescent="0.35">
      <c r="A91" s="15"/>
      <c r="B91" s="3" t="s">
        <v>797</v>
      </c>
      <c r="C91" s="3" t="s">
        <v>861</v>
      </c>
      <c r="D91" s="3" t="s">
        <v>2486</v>
      </c>
      <c r="E91" s="3" t="s">
        <v>1633</v>
      </c>
      <c r="F91" s="3" t="s">
        <v>5632</v>
      </c>
      <c r="G91" s="3" t="s">
        <v>4462</v>
      </c>
      <c r="H91" s="6">
        <v>17559.04</v>
      </c>
      <c r="I91" s="6">
        <v>14952.760000000002</v>
      </c>
      <c r="J91" s="6">
        <v>39276.65</v>
      </c>
      <c r="K91" s="16" t="s">
        <v>5503</v>
      </c>
      <c r="L91" s="18"/>
    </row>
    <row r="92" spans="1:12" ht="15.75" customHeight="1" x14ac:dyDescent="0.35">
      <c r="A92" s="15"/>
      <c r="B92" s="3" t="s">
        <v>24</v>
      </c>
      <c r="C92" s="3" t="s">
        <v>860</v>
      </c>
      <c r="D92" s="3" t="s">
        <v>1713</v>
      </c>
      <c r="E92" s="3" t="s">
        <v>886</v>
      </c>
      <c r="F92" s="3" t="s">
        <v>5428</v>
      </c>
      <c r="G92" s="3" t="s">
        <v>5633</v>
      </c>
      <c r="H92" s="3"/>
      <c r="I92" s="6"/>
      <c r="J92" s="6"/>
      <c r="K92" s="16" t="s">
        <v>5459</v>
      </c>
      <c r="L92" s="16" t="s">
        <v>5634</v>
      </c>
    </row>
    <row r="93" spans="1:12" ht="15.75" customHeight="1" x14ac:dyDescent="0.35">
      <c r="A93" s="15"/>
      <c r="B93" s="3" t="s">
        <v>40</v>
      </c>
      <c r="C93" s="3" t="s">
        <v>861</v>
      </c>
      <c r="D93" s="3" t="s">
        <v>1729</v>
      </c>
      <c r="E93" s="3" t="s">
        <v>902</v>
      </c>
      <c r="F93" s="3" t="s">
        <v>5437</v>
      </c>
      <c r="G93" s="3" t="s">
        <v>5633</v>
      </c>
      <c r="H93" s="3"/>
      <c r="I93" s="6"/>
      <c r="J93" s="6"/>
      <c r="K93" s="16" t="s">
        <v>5459</v>
      </c>
      <c r="L93" s="16" t="s">
        <v>5634</v>
      </c>
    </row>
    <row r="94" spans="1:12" ht="15.75" customHeight="1" x14ac:dyDescent="0.35">
      <c r="A94" s="15"/>
      <c r="B94" s="3" t="s">
        <v>51</v>
      </c>
      <c r="C94" s="3" t="s">
        <v>861</v>
      </c>
      <c r="D94" s="3" t="s">
        <v>1740</v>
      </c>
      <c r="E94" s="3" t="s">
        <v>913</v>
      </c>
      <c r="F94" s="3" t="s">
        <v>5427</v>
      </c>
      <c r="G94" s="3" t="s">
        <v>5633</v>
      </c>
      <c r="H94" s="3"/>
      <c r="I94" s="6"/>
      <c r="J94" s="6"/>
      <c r="K94" s="16" t="s">
        <v>5459</v>
      </c>
      <c r="L94" s="16" t="s">
        <v>5634</v>
      </c>
    </row>
    <row r="95" spans="1:12" ht="15.75" customHeight="1" x14ac:dyDescent="0.35">
      <c r="A95" s="15"/>
      <c r="B95" s="3" t="s">
        <v>52</v>
      </c>
      <c r="C95" s="3" t="s">
        <v>861</v>
      </c>
      <c r="D95" s="3" t="s">
        <v>1741</v>
      </c>
      <c r="E95" s="3" t="s">
        <v>914</v>
      </c>
      <c r="F95" s="3" t="s">
        <v>3451</v>
      </c>
      <c r="G95" s="3" t="s">
        <v>5633</v>
      </c>
      <c r="H95" s="3"/>
      <c r="I95" s="6"/>
      <c r="J95" s="6"/>
      <c r="K95" s="16" t="s">
        <v>5459</v>
      </c>
      <c r="L95" s="16"/>
    </row>
    <row r="96" spans="1:12" ht="15.75" customHeight="1" x14ac:dyDescent="0.35">
      <c r="A96" s="15"/>
      <c r="B96" s="3" t="s">
        <v>189</v>
      </c>
      <c r="C96" s="3" t="s">
        <v>861</v>
      </c>
      <c r="D96" s="3" t="s">
        <v>1878</v>
      </c>
      <c r="E96" s="3" t="s">
        <v>1048</v>
      </c>
      <c r="F96" s="3" t="s">
        <v>5442</v>
      </c>
      <c r="G96" s="3" t="s">
        <v>5633</v>
      </c>
      <c r="H96" s="3"/>
      <c r="I96" s="6"/>
      <c r="J96" s="6"/>
      <c r="K96" s="16" t="s">
        <v>5459</v>
      </c>
      <c r="L96" s="16" t="s">
        <v>5634</v>
      </c>
    </row>
    <row r="97" spans="1:12" ht="15.75" customHeight="1" x14ac:dyDescent="0.35">
      <c r="A97" s="15"/>
      <c r="B97" s="3" t="s">
        <v>263</v>
      </c>
      <c r="C97" s="3" t="s">
        <v>861</v>
      </c>
      <c r="D97" s="3" t="s">
        <v>1952</v>
      </c>
      <c r="E97" s="3" t="s">
        <v>1121</v>
      </c>
      <c r="F97" s="3" t="s">
        <v>5430</v>
      </c>
      <c r="G97" s="3" t="s">
        <v>5633</v>
      </c>
      <c r="H97" s="3"/>
      <c r="I97" s="6"/>
      <c r="J97" s="6"/>
      <c r="K97" s="16" t="s">
        <v>5459</v>
      </c>
      <c r="L97" s="16" t="s">
        <v>5634</v>
      </c>
    </row>
    <row r="98" spans="1:12" ht="15.75" customHeight="1" x14ac:dyDescent="0.35">
      <c r="A98" s="15"/>
      <c r="B98" s="3" t="s">
        <v>295</v>
      </c>
      <c r="C98" s="3" t="s">
        <v>861</v>
      </c>
      <c r="D98" s="3" t="s">
        <v>1984</v>
      </c>
      <c r="E98" s="3" t="s">
        <v>1153</v>
      </c>
      <c r="F98" s="3" t="s">
        <v>5431</v>
      </c>
      <c r="G98" s="3" t="s">
        <v>5633</v>
      </c>
      <c r="H98" s="3"/>
      <c r="I98" s="6"/>
      <c r="J98" s="6"/>
      <c r="K98" s="16" t="s">
        <v>5459</v>
      </c>
      <c r="L98" s="16" t="s">
        <v>5634</v>
      </c>
    </row>
    <row r="99" spans="1:12" ht="15.75" customHeight="1" x14ac:dyDescent="0.35">
      <c r="A99" s="15"/>
      <c r="B99" s="3" t="s">
        <v>508</v>
      </c>
      <c r="C99" s="3" t="s">
        <v>860</v>
      </c>
      <c r="D99" s="3" t="s">
        <v>2197</v>
      </c>
      <c r="E99" s="3" t="s">
        <v>1360</v>
      </c>
      <c r="F99" s="3" t="s">
        <v>5635</v>
      </c>
      <c r="G99" s="3" t="s">
        <v>5633</v>
      </c>
      <c r="H99" s="3"/>
      <c r="I99" s="6"/>
      <c r="J99" s="6"/>
      <c r="K99" s="16" t="s">
        <v>5459</v>
      </c>
      <c r="L99" s="16"/>
    </row>
    <row r="100" spans="1:12" ht="15.75" customHeight="1" x14ac:dyDescent="0.35">
      <c r="A100" s="15"/>
      <c r="B100" s="3" t="s">
        <v>627</v>
      </c>
      <c r="C100" s="3" t="s">
        <v>861</v>
      </c>
      <c r="D100" s="3" t="s">
        <v>2316</v>
      </c>
      <c r="E100" s="3" t="s">
        <v>1476</v>
      </c>
      <c r="F100" s="3" t="s">
        <v>3851</v>
      </c>
      <c r="G100" s="3" t="s">
        <v>5633</v>
      </c>
      <c r="H100" s="3"/>
      <c r="I100" s="6"/>
      <c r="J100" s="6"/>
      <c r="K100" s="16" t="s">
        <v>5459</v>
      </c>
      <c r="L100" s="16" t="s">
        <v>5634</v>
      </c>
    </row>
    <row r="101" spans="1:12" ht="15.75" customHeight="1" x14ac:dyDescent="0.35">
      <c r="A101" s="15"/>
      <c r="B101" s="3" t="s">
        <v>732</v>
      </c>
      <c r="C101" s="3" t="s">
        <v>861</v>
      </c>
      <c r="D101" s="3" t="s">
        <v>2421</v>
      </c>
      <c r="E101" s="3" t="s">
        <v>1570</v>
      </c>
      <c r="F101" s="3" t="s">
        <v>5636</v>
      </c>
      <c r="G101" s="3" t="s">
        <v>5633</v>
      </c>
      <c r="H101" s="3"/>
      <c r="I101" s="6"/>
      <c r="J101" s="6"/>
      <c r="K101" s="16" t="s">
        <v>5459</v>
      </c>
      <c r="L101" s="16" t="s">
        <v>5634</v>
      </c>
    </row>
    <row r="102" spans="1:12" ht="15.75" customHeight="1" x14ac:dyDescent="0.35">
      <c r="A102" s="15"/>
      <c r="B102" s="3" t="s">
        <v>833</v>
      </c>
      <c r="C102" s="3" t="s">
        <v>860</v>
      </c>
      <c r="D102" s="3" t="s">
        <v>2522</v>
      </c>
      <c r="E102" s="3" t="s">
        <v>1666</v>
      </c>
      <c r="F102" s="3" t="s">
        <v>5443</v>
      </c>
      <c r="G102" s="3" t="s">
        <v>5633</v>
      </c>
      <c r="H102" s="3"/>
      <c r="I102" s="6"/>
      <c r="J102" s="6"/>
      <c r="K102" s="16" t="s">
        <v>5459</v>
      </c>
      <c r="L102" s="16" t="s">
        <v>5634</v>
      </c>
    </row>
    <row r="103" spans="1:12" ht="15.75" customHeight="1" x14ac:dyDescent="0.35">
      <c r="A103" s="15"/>
      <c r="B103" s="52" t="s">
        <v>565</v>
      </c>
      <c r="C103" s="52" t="s">
        <v>861</v>
      </c>
      <c r="D103" s="53" t="s">
        <v>2254</v>
      </c>
      <c r="E103" s="52" t="s">
        <v>1415</v>
      </c>
      <c r="F103" s="52" t="s">
        <v>5637</v>
      </c>
      <c r="G103" s="54">
        <v>44576</v>
      </c>
      <c r="H103" s="52"/>
      <c r="I103" s="55"/>
      <c r="J103" s="55"/>
      <c r="K103" s="16" t="s">
        <v>5459</v>
      </c>
      <c r="L103" s="18"/>
    </row>
    <row r="104" spans="1:12" ht="15.75" customHeight="1" x14ac:dyDescent="0.35">
      <c r="A104" s="15"/>
      <c r="B104" s="3" t="s">
        <v>5638</v>
      </c>
      <c r="C104" s="3" t="s">
        <v>861</v>
      </c>
      <c r="D104" s="3" t="s">
        <v>5639</v>
      </c>
      <c r="E104" s="3" t="s">
        <v>5640</v>
      </c>
      <c r="F104" s="3" t="s">
        <v>4037</v>
      </c>
      <c r="G104" s="3" t="s">
        <v>5641</v>
      </c>
      <c r="H104" s="3"/>
      <c r="I104" s="6"/>
      <c r="J104" s="6"/>
      <c r="K104" s="16" t="s">
        <v>5459</v>
      </c>
      <c r="L104" s="3" t="s">
        <v>5642</v>
      </c>
    </row>
    <row r="105" spans="1:12" ht="15.75" customHeight="1" x14ac:dyDescent="0.35">
      <c r="A105" s="15"/>
      <c r="B105" s="3" t="s">
        <v>5643</v>
      </c>
      <c r="C105" s="3" t="s">
        <v>860</v>
      </c>
      <c r="D105" s="3" t="s">
        <v>5644</v>
      </c>
      <c r="E105" s="3" t="s">
        <v>5645</v>
      </c>
      <c r="F105" s="3" t="s">
        <v>4001</v>
      </c>
      <c r="G105" s="3" t="s">
        <v>5601</v>
      </c>
      <c r="H105" s="3"/>
      <c r="I105" s="6"/>
      <c r="J105" s="6"/>
      <c r="K105" s="16" t="s">
        <v>5455</v>
      </c>
      <c r="L105" s="18"/>
    </row>
    <row r="106" spans="1:12" ht="15.75" customHeight="1" x14ac:dyDescent="0.35">
      <c r="A106" s="15"/>
      <c r="B106" s="3" t="s">
        <v>231</v>
      </c>
      <c r="C106" s="3" t="s">
        <v>861</v>
      </c>
      <c r="D106" s="3" t="s">
        <v>1920</v>
      </c>
      <c r="E106" s="3" t="s">
        <v>1089</v>
      </c>
      <c r="F106" s="3" t="s">
        <v>5646</v>
      </c>
      <c r="G106" s="3" t="s">
        <v>5647</v>
      </c>
      <c r="H106" s="6"/>
      <c r="I106" s="6">
        <v>36635.79</v>
      </c>
      <c r="J106" s="6"/>
      <c r="K106" s="16" t="s">
        <v>5648</v>
      </c>
      <c r="L106" s="18"/>
    </row>
    <row r="107" spans="1:12" ht="15.75" customHeight="1" x14ac:dyDescent="0.35">
      <c r="A107" s="15"/>
      <c r="B107" s="3" t="s">
        <v>5649</v>
      </c>
      <c r="C107" s="3" t="s">
        <v>861</v>
      </c>
      <c r="D107" s="3" t="s">
        <v>5650</v>
      </c>
      <c r="E107" s="3" t="s">
        <v>5651</v>
      </c>
      <c r="F107" s="3" t="s">
        <v>5652</v>
      </c>
      <c r="G107" s="3" t="s">
        <v>5653</v>
      </c>
      <c r="H107" s="3"/>
      <c r="I107" s="6"/>
      <c r="J107" s="6"/>
      <c r="K107" s="16" t="s">
        <v>5459</v>
      </c>
      <c r="L107" s="18"/>
    </row>
    <row r="108" spans="1:12" ht="15.75" customHeight="1" x14ac:dyDescent="0.35">
      <c r="A108" s="15"/>
      <c r="B108" s="3" t="s">
        <v>273</v>
      </c>
      <c r="C108" s="3" t="s">
        <v>860</v>
      </c>
      <c r="D108" s="3" t="s">
        <v>1962</v>
      </c>
      <c r="E108" s="3" t="s">
        <v>1131</v>
      </c>
      <c r="F108" s="3" t="s">
        <v>3616</v>
      </c>
      <c r="G108" s="3" t="s">
        <v>5654</v>
      </c>
      <c r="H108" s="3"/>
      <c r="I108" s="6"/>
      <c r="J108" s="6"/>
      <c r="K108" s="16" t="s">
        <v>5459</v>
      </c>
      <c r="L108" s="18"/>
    </row>
    <row r="109" spans="1:12" ht="15.75" customHeight="1" x14ac:dyDescent="0.35">
      <c r="A109" s="15"/>
      <c r="B109" s="3" t="s">
        <v>454</v>
      </c>
      <c r="C109" s="3" t="s">
        <v>861</v>
      </c>
      <c r="D109" s="3" t="s">
        <v>2143</v>
      </c>
      <c r="E109" s="3" t="s">
        <v>1307</v>
      </c>
      <c r="F109" s="3" t="s">
        <v>5655</v>
      </c>
      <c r="G109" s="3" t="s">
        <v>5654</v>
      </c>
      <c r="H109" s="3"/>
      <c r="I109" s="6"/>
      <c r="J109" s="6"/>
      <c r="K109" s="16" t="s">
        <v>5459</v>
      </c>
      <c r="L109" s="18"/>
    </row>
    <row r="110" spans="1:12" ht="15.75" customHeight="1" x14ac:dyDescent="0.35">
      <c r="A110" s="15"/>
      <c r="B110" s="3" t="s">
        <v>5656</v>
      </c>
      <c r="C110" s="3" t="s">
        <v>860</v>
      </c>
      <c r="D110" s="3" t="s">
        <v>5657</v>
      </c>
      <c r="E110" s="3" t="s">
        <v>5658</v>
      </c>
      <c r="F110" s="3" t="s">
        <v>5488</v>
      </c>
      <c r="G110" s="3" t="s">
        <v>5659</v>
      </c>
      <c r="H110" s="3"/>
      <c r="I110" s="6"/>
      <c r="J110" s="6"/>
      <c r="K110" s="16" t="s">
        <v>5459</v>
      </c>
      <c r="L110" s="18"/>
    </row>
    <row r="111" spans="1:12" ht="15.75" customHeight="1" x14ac:dyDescent="0.35">
      <c r="A111" s="15"/>
      <c r="B111" s="3" t="s">
        <v>5660</v>
      </c>
      <c r="C111" s="3" t="s">
        <v>860</v>
      </c>
      <c r="D111" s="3" t="s">
        <v>5661</v>
      </c>
      <c r="E111" s="3" t="s">
        <v>5662</v>
      </c>
      <c r="F111" s="3" t="s">
        <v>4416</v>
      </c>
      <c r="G111" s="3" t="s">
        <v>5663</v>
      </c>
      <c r="H111" s="3"/>
      <c r="I111" s="6"/>
      <c r="J111" s="6"/>
      <c r="K111" s="16" t="s">
        <v>5459</v>
      </c>
      <c r="L111" s="18"/>
    </row>
    <row r="112" spans="1:12" ht="15.75" customHeight="1" x14ac:dyDescent="0.35">
      <c r="A112" s="15"/>
      <c r="B112" s="3" t="s">
        <v>5664</v>
      </c>
      <c r="C112" s="3" t="s">
        <v>860</v>
      </c>
      <c r="D112" s="3" t="s">
        <v>5665</v>
      </c>
      <c r="E112" s="3" t="s">
        <v>5666</v>
      </c>
      <c r="F112" s="3" t="s">
        <v>4001</v>
      </c>
      <c r="G112" s="3" t="s">
        <v>5667</v>
      </c>
      <c r="H112" s="3"/>
      <c r="I112" s="6"/>
      <c r="J112" s="6"/>
      <c r="K112" s="16" t="s">
        <v>5459</v>
      </c>
      <c r="L112" s="18"/>
    </row>
    <row r="113" spans="1:21" ht="15.75" customHeight="1" x14ac:dyDescent="0.35">
      <c r="A113" s="15"/>
      <c r="B113" s="3" t="s">
        <v>5668</v>
      </c>
      <c r="C113" s="3" t="s">
        <v>860</v>
      </c>
      <c r="D113" s="3" t="s">
        <v>5669</v>
      </c>
      <c r="E113" s="3" t="s">
        <v>5670</v>
      </c>
      <c r="F113" s="3" t="s">
        <v>5671</v>
      </c>
      <c r="G113" s="3" t="s">
        <v>5663</v>
      </c>
      <c r="H113" s="3"/>
      <c r="I113" s="6"/>
      <c r="J113" s="6"/>
      <c r="K113" s="16" t="s">
        <v>5455</v>
      </c>
      <c r="L113" s="18"/>
    </row>
    <row r="114" spans="1:21" ht="15.75" customHeight="1" x14ac:dyDescent="0.35">
      <c r="A114" s="15"/>
      <c r="B114" s="3" t="s">
        <v>5672</v>
      </c>
      <c r="C114" s="3" t="s">
        <v>860</v>
      </c>
      <c r="D114" s="3" t="s">
        <v>5673</v>
      </c>
      <c r="E114" s="3" t="s">
        <v>5674</v>
      </c>
      <c r="F114" s="3" t="s">
        <v>4416</v>
      </c>
      <c r="G114" s="3" t="s">
        <v>5667</v>
      </c>
      <c r="H114" s="3"/>
      <c r="I114" s="6"/>
      <c r="J114" s="6"/>
      <c r="K114" s="16" t="s">
        <v>5459</v>
      </c>
      <c r="L114" s="18"/>
    </row>
    <row r="115" spans="1:21" ht="15.75" customHeight="1" x14ac:dyDescent="0.35">
      <c r="A115" s="15"/>
      <c r="B115" s="3" t="s">
        <v>720</v>
      </c>
      <c r="C115" s="3" t="s">
        <v>861</v>
      </c>
      <c r="D115" s="3" t="s">
        <v>2409</v>
      </c>
      <c r="E115" s="3" t="s">
        <v>1560</v>
      </c>
      <c r="F115" s="3" t="s">
        <v>5675</v>
      </c>
      <c r="G115" s="3" t="s">
        <v>5663</v>
      </c>
      <c r="H115" s="3"/>
      <c r="I115" s="6"/>
      <c r="J115" s="6"/>
      <c r="K115" s="16" t="s">
        <v>5459</v>
      </c>
      <c r="L115" s="18"/>
    </row>
    <row r="116" spans="1:21" ht="15.75" customHeight="1" x14ac:dyDescent="0.35">
      <c r="A116" s="15"/>
      <c r="B116" s="3" t="s">
        <v>5676</v>
      </c>
      <c r="C116" s="3" t="s">
        <v>860</v>
      </c>
      <c r="D116" s="3" t="s">
        <v>5677</v>
      </c>
      <c r="E116" s="3" t="s">
        <v>5678</v>
      </c>
      <c r="F116" s="3" t="s">
        <v>5679</v>
      </c>
      <c r="G116" s="3" t="s">
        <v>5680</v>
      </c>
      <c r="H116" s="3"/>
      <c r="I116" s="6"/>
      <c r="J116" s="6"/>
      <c r="K116" s="16" t="s">
        <v>5459</v>
      </c>
      <c r="L116" s="18"/>
    </row>
    <row r="117" spans="1:21" ht="15.75" customHeight="1" x14ac:dyDescent="0.35">
      <c r="A117" s="15"/>
      <c r="B117" s="3" t="s">
        <v>5681</v>
      </c>
      <c r="C117" s="3" t="s">
        <v>860</v>
      </c>
      <c r="D117" s="3" t="s">
        <v>5682</v>
      </c>
      <c r="E117" s="3" t="s">
        <v>5683</v>
      </c>
      <c r="F117" s="3" t="s">
        <v>5684</v>
      </c>
      <c r="G117" s="3" t="s">
        <v>5685</v>
      </c>
      <c r="H117" s="3"/>
      <c r="I117" s="6"/>
      <c r="J117" s="6"/>
      <c r="K117" s="16" t="s">
        <v>5459</v>
      </c>
      <c r="L117" s="18"/>
    </row>
    <row r="118" spans="1:21" ht="15.75" customHeight="1" x14ac:dyDescent="0.35">
      <c r="A118" s="15"/>
      <c r="B118" s="3" t="s">
        <v>132</v>
      </c>
      <c r="C118" s="3" t="s">
        <v>860</v>
      </c>
      <c r="D118" s="3" t="s">
        <v>1821</v>
      </c>
      <c r="E118" s="3" t="s">
        <v>992</v>
      </c>
      <c r="F118" s="3" t="s">
        <v>5686</v>
      </c>
      <c r="G118" s="3" t="s">
        <v>5687</v>
      </c>
      <c r="H118" s="6">
        <v>11726.8</v>
      </c>
      <c r="I118" s="6">
        <v>118639.48999999999</v>
      </c>
      <c r="J118" s="6">
        <v>34717.81</v>
      </c>
      <c r="K118" s="16" t="s">
        <v>5503</v>
      </c>
      <c r="L118" s="18"/>
    </row>
    <row r="119" spans="1:21" ht="15.75" customHeight="1" x14ac:dyDescent="0.35">
      <c r="A119" s="15"/>
      <c r="B119" s="3" t="s">
        <v>5688</v>
      </c>
      <c r="C119" s="3" t="s">
        <v>861</v>
      </c>
      <c r="D119" s="3" t="s">
        <v>1920</v>
      </c>
      <c r="E119" s="3" t="s">
        <v>1089</v>
      </c>
      <c r="F119" s="3" t="s">
        <v>5646</v>
      </c>
      <c r="G119" s="3" t="s">
        <v>5647</v>
      </c>
      <c r="H119" s="3"/>
      <c r="I119" s="56"/>
      <c r="J119" s="56"/>
      <c r="K119" s="16" t="s">
        <v>5459</v>
      </c>
      <c r="L119" s="18"/>
      <c r="M119" s="9"/>
      <c r="N119" s="9"/>
      <c r="O119" s="9"/>
      <c r="P119" s="9"/>
      <c r="Q119" s="9"/>
      <c r="R119" s="9"/>
      <c r="S119" s="9"/>
      <c r="T119" s="9"/>
      <c r="U119" s="9"/>
    </row>
    <row r="120" spans="1:21" ht="15.75" customHeight="1" x14ac:dyDescent="0.35">
      <c r="A120" s="15"/>
      <c r="B120" s="3" t="s">
        <v>595</v>
      </c>
      <c r="C120" s="3" t="s">
        <v>860</v>
      </c>
      <c r="D120" s="3" t="s">
        <v>2284</v>
      </c>
      <c r="E120" s="3" t="s">
        <v>1444</v>
      </c>
      <c r="F120" s="3" t="s">
        <v>5689</v>
      </c>
      <c r="G120" s="3" t="s">
        <v>4552</v>
      </c>
      <c r="H120" s="6">
        <v>18917.007999999998</v>
      </c>
      <c r="I120" s="6">
        <v>49782.789999999994</v>
      </c>
      <c r="J120" s="6">
        <v>56004.229999999996</v>
      </c>
      <c r="K120" s="16" t="s">
        <v>5548</v>
      </c>
      <c r="L120" s="18"/>
    </row>
    <row r="121" spans="1:21" ht="15.75" customHeight="1" x14ac:dyDescent="0.35">
      <c r="A121" s="15"/>
      <c r="B121" s="3" t="s">
        <v>709</v>
      </c>
      <c r="C121" s="3" t="s">
        <v>861</v>
      </c>
      <c r="D121" s="3" t="s">
        <v>2398</v>
      </c>
      <c r="E121" s="3" t="s">
        <v>1551</v>
      </c>
      <c r="F121" s="3" t="s">
        <v>3902</v>
      </c>
      <c r="G121" s="3" t="s">
        <v>4552</v>
      </c>
      <c r="H121" s="3"/>
      <c r="I121" s="6"/>
      <c r="J121" s="6"/>
      <c r="K121" s="16" t="s">
        <v>5503</v>
      </c>
      <c r="L121" s="18"/>
    </row>
    <row r="122" spans="1:21" ht="15.75" customHeight="1" x14ac:dyDescent="0.35">
      <c r="A122" s="15"/>
      <c r="B122" s="3" t="s">
        <v>814</v>
      </c>
      <c r="C122" s="3" t="s">
        <v>860</v>
      </c>
      <c r="D122" s="3" t="s">
        <v>2503</v>
      </c>
      <c r="E122" s="3" t="s">
        <v>1310</v>
      </c>
      <c r="F122" s="3" t="s">
        <v>3960</v>
      </c>
      <c r="G122" s="3" t="s">
        <v>4552</v>
      </c>
      <c r="H122" s="3"/>
      <c r="I122" s="6"/>
      <c r="J122" s="6"/>
      <c r="K122" s="16" t="s">
        <v>5503</v>
      </c>
      <c r="L122" s="18"/>
    </row>
    <row r="123" spans="1:21" ht="15.75" customHeight="1" x14ac:dyDescent="0.35">
      <c r="A123" s="15"/>
      <c r="B123" s="3" t="s">
        <v>816</v>
      </c>
      <c r="C123" s="3" t="s">
        <v>861</v>
      </c>
      <c r="D123" s="3" t="s">
        <v>2505</v>
      </c>
      <c r="E123" s="3" t="s">
        <v>1651</v>
      </c>
      <c r="F123" s="3" t="s">
        <v>3960</v>
      </c>
      <c r="G123" s="3" t="s">
        <v>4552</v>
      </c>
      <c r="H123" s="3"/>
      <c r="I123" s="6"/>
      <c r="J123" s="6"/>
      <c r="K123" s="16" t="s">
        <v>5503</v>
      </c>
      <c r="L123" s="18"/>
    </row>
    <row r="124" spans="1:21" ht="15.75" customHeight="1" x14ac:dyDescent="0.35">
      <c r="A124" s="15"/>
      <c r="B124" s="3" t="s">
        <v>5690</v>
      </c>
      <c r="C124" s="3" t="s">
        <v>861</v>
      </c>
      <c r="D124" s="3" t="s">
        <v>5691</v>
      </c>
      <c r="E124" s="3" t="s">
        <v>5692</v>
      </c>
      <c r="F124" s="3" t="s">
        <v>5508</v>
      </c>
      <c r="G124" s="3" t="s">
        <v>4552</v>
      </c>
      <c r="H124" s="3"/>
      <c r="I124" s="6"/>
      <c r="J124" s="6"/>
      <c r="K124" s="16" t="s">
        <v>5503</v>
      </c>
      <c r="L124" s="18"/>
    </row>
    <row r="125" spans="1:21" ht="15.75" customHeight="1" x14ac:dyDescent="0.35">
      <c r="A125" s="15"/>
      <c r="B125" s="3" t="s">
        <v>223</v>
      </c>
      <c r="C125" s="3" t="s">
        <v>861</v>
      </c>
      <c r="D125" s="3" t="s">
        <v>1912</v>
      </c>
      <c r="E125" s="3" t="s">
        <v>1081</v>
      </c>
      <c r="F125" s="3" t="s">
        <v>5693</v>
      </c>
      <c r="G125" s="3" t="s">
        <v>5667</v>
      </c>
      <c r="H125" s="3"/>
      <c r="I125" s="6"/>
      <c r="J125" s="6"/>
      <c r="K125" s="16" t="s">
        <v>5459</v>
      </c>
      <c r="L125" s="18"/>
    </row>
    <row r="126" spans="1:21" ht="15.75" customHeight="1" x14ac:dyDescent="0.35">
      <c r="A126" s="15"/>
      <c r="B126" s="3" t="s">
        <v>5694</v>
      </c>
      <c r="C126" s="3" t="s">
        <v>860</v>
      </c>
      <c r="D126" s="3" t="s">
        <v>5695</v>
      </c>
      <c r="E126" s="3" t="s">
        <v>5696</v>
      </c>
      <c r="F126" s="3" t="s">
        <v>4201</v>
      </c>
      <c r="G126" s="3" t="s">
        <v>5697</v>
      </c>
      <c r="H126" s="3"/>
      <c r="I126" s="6"/>
      <c r="J126" s="6"/>
      <c r="K126" s="16" t="s">
        <v>5459</v>
      </c>
      <c r="L126" s="18"/>
    </row>
    <row r="127" spans="1:21" ht="15.75" customHeight="1" x14ac:dyDescent="0.35">
      <c r="A127" s="15"/>
      <c r="B127" s="3" t="s">
        <v>5698</v>
      </c>
      <c r="C127" s="3" t="s">
        <v>861</v>
      </c>
      <c r="D127" s="3" t="s">
        <v>5699</v>
      </c>
      <c r="E127" s="3" t="s">
        <v>5700</v>
      </c>
      <c r="F127" s="3" t="s">
        <v>5488</v>
      </c>
      <c r="G127" s="3" t="s">
        <v>5659</v>
      </c>
      <c r="H127" s="3"/>
      <c r="I127" s="6"/>
      <c r="J127" s="6"/>
      <c r="K127" s="16" t="s">
        <v>5459</v>
      </c>
      <c r="L127" s="18"/>
    </row>
    <row r="128" spans="1:21" ht="15.75" customHeight="1" x14ac:dyDescent="0.35">
      <c r="A128" s="15"/>
      <c r="B128" s="3" t="s">
        <v>5701</v>
      </c>
      <c r="C128" s="3" t="s">
        <v>860</v>
      </c>
      <c r="D128" s="3" t="s">
        <v>5702</v>
      </c>
      <c r="E128" s="3" t="s">
        <v>5703</v>
      </c>
      <c r="F128" s="3" t="s">
        <v>4395</v>
      </c>
      <c r="G128" s="3" t="s">
        <v>3803</v>
      </c>
      <c r="H128" s="3"/>
      <c r="I128" s="6"/>
      <c r="J128" s="6"/>
      <c r="K128" s="16" t="s">
        <v>5459</v>
      </c>
      <c r="L128" s="18"/>
    </row>
    <row r="129" spans="1:12" ht="15.75" customHeight="1" x14ac:dyDescent="0.35">
      <c r="A129" s="15"/>
      <c r="B129" s="3" t="s">
        <v>16</v>
      </c>
      <c r="C129" s="3" t="s">
        <v>860</v>
      </c>
      <c r="D129" s="3" t="s">
        <v>1705</v>
      </c>
      <c r="E129" s="3" t="s">
        <v>878</v>
      </c>
      <c r="F129" s="3" t="s">
        <v>5704</v>
      </c>
      <c r="G129" s="3" t="s">
        <v>5705</v>
      </c>
      <c r="H129" s="6">
        <v>22688.736000000001</v>
      </c>
      <c r="I129" s="6">
        <v>362438.44</v>
      </c>
      <c r="J129" s="6">
        <v>67170.720000000001</v>
      </c>
      <c r="K129" s="16" t="s">
        <v>5503</v>
      </c>
      <c r="L129" s="18"/>
    </row>
    <row r="130" spans="1:12" ht="15.75" customHeight="1" x14ac:dyDescent="0.35">
      <c r="A130" s="15"/>
      <c r="B130" s="3" t="s">
        <v>48</v>
      </c>
      <c r="C130" s="3" t="s">
        <v>860</v>
      </c>
      <c r="D130" s="3" t="s">
        <v>1737</v>
      </c>
      <c r="E130" s="3" t="s">
        <v>910</v>
      </c>
      <c r="F130" s="3" t="s">
        <v>5706</v>
      </c>
      <c r="G130" s="3" t="s">
        <v>5705</v>
      </c>
      <c r="H130" s="6">
        <v>10273.983999999999</v>
      </c>
      <c r="I130" s="6">
        <v>148528.52000000002</v>
      </c>
      <c r="J130" s="6">
        <v>30416.79</v>
      </c>
      <c r="K130" s="16" t="s">
        <v>5503</v>
      </c>
      <c r="L130" s="18"/>
    </row>
    <row r="131" spans="1:12" ht="15.75" customHeight="1" x14ac:dyDescent="0.35">
      <c r="A131" s="15"/>
      <c r="B131" s="3" t="s">
        <v>65</v>
      </c>
      <c r="C131" s="3" t="s">
        <v>860</v>
      </c>
      <c r="D131" s="3" t="s">
        <v>1754</v>
      </c>
      <c r="E131" s="3" t="s">
        <v>927</v>
      </c>
      <c r="F131" s="3" t="s">
        <v>5707</v>
      </c>
      <c r="G131" s="3" t="s">
        <v>5705</v>
      </c>
      <c r="H131" s="6">
        <v>13901.92</v>
      </c>
      <c r="I131" s="6">
        <v>172832.76</v>
      </c>
      <c r="J131" s="6">
        <v>41156.759999999995</v>
      </c>
      <c r="K131" s="16" t="s">
        <v>5548</v>
      </c>
      <c r="L131" s="18"/>
    </row>
    <row r="132" spans="1:12" ht="15.75" customHeight="1" x14ac:dyDescent="0.35">
      <c r="A132" s="15"/>
      <c r="B132" s="3" t="s">
        <v>117</v>
      </c>
      <c r="C132" s="3" t="s">
        <v>860</v>
      </c>
      <c r="D132" s="3" t="s">
        <v>1806</v>
      </c>
      <c r="E132" s="3" t="s">
        <v>977</v>
      </c>
      <c r="F132" s="3" t="s">
        <v>5708</v>
      </c>
      <c r="G132" s="3" t="s">
        <v>5705</v>
      </c>
      <c r="H132" s="6">
        <v>14413.248</v>
      </c>
      <c r="I132" s="6">
        <v>136313.57</v>
      </c>
      <c r="J132" s="6">
        <v>42671.14</v>
      </c>
      <c r="K132" s="16" t="s">
        <v>5503</v>
      </c>
      <c r="L132" s="18"/>
    </row>
    <row r="133" spans="1:12" ht="15.75" customHeight="1" x14ac:dyDescent="0.35">
      <c r="A133" s="15"/>
      <c r="B133" s="3" t="s">
        <v>309</v>
      </c>
      <c r="C133" s="3" t="s">
        <v>860</v>
      </c>
      <c r="D133" s="3" t="s">
        <v>1998</v>
      </c>
      <c r="E133" s="3" t="s">
        <v>1167</v>
      </c>
      <c r="F133" s="3" t="s">
        <v>5709</v>
      </c>
      <c r="G133" s="3" t="s">
        <v>5705</v>
      </c>
      <c r="H133" s="6">
        <v>12454.271999999999</v>
      </c>
      <c r="I133" s="6">
        <v>74054.84</v>
      </c>
      <c r="J133" s="6">
        <v>36871.18</v>
      </c>
      <c r="K133" s="16" t="s">
        <v>5503</v>
      </c>
      <c r="L133" s="18"/>
    </row>
    <row r="134" spans="1:12" ht="15.75" customHeight="1" x14ac:dyDescent="0.35">
      <c r="A134" s="15"/>
      <c r="B134" s="3" t="s">
        <v>311</v>
      </c>
      <c r="C134" s="3" t="s">
        <v>861</v>
      </c>
      <c r="D134" s="3" t="s">
        <v>2000</v>
      </c>
      <c r="E134" s="3" t="s">
        <v>1169</v>
      </c>
      <c r="F134" s="3" t="s">
        <v>5710</v>
      </c>
      <c r="G134" s="3" t="s">
        <v>5705</v>
      </c>
      <c r="H134" s="6">
        <v>13085.983999999999</v>
      </c>
      <c r="I134" s="6">
        <v>76548.05</v>
      </c>
      <c r="J134" s="6">
        <v>38741.08</v>
      </c>
      <c r="K134" s="16" t="s">
        <v>5503</v>
      </c>
      <c r="L134" s="18"/>
    </row>
    <row r="135" spans="1:12" ht="15.75" customHeight="1" x14ac:dyDescent="0.35">
      <c r="A135" s="15"/>
      <c r="B135" s="3" t="s">
        <v>386</v>
      </c>
      <c r="C135" s="3" t="s">
        <v>860</v>
      </c>
      <c r="D135" s="3" t="s">
        <v>2075</v>
      </c>
      <c r="E135" s="3" t="s">
        <v>1241</v>
      </c>
      <c r="F135" s="3" t="s">
        <v>5711</v>
      </c>
      <c r="G135" s="3" t="s">
        <v>5705</v>
      </c>
      <c r="H135" s="6">
        <v>13085.983999999999</v>
      </c>
      <c r="I135" s="6">
        <v>63790.04</v>
      </c>
      <c r="J135" s="6">
        <v>38741.08</v>
      </c>
      <c r="K135" s="16" t="s">
        <v>5503</v>
      </c>
      <c r="L135" s="18"/>
    </row>
    <row r="136" spans="1:12" ht="15.75" customHeight="1" x14ac:dyDescent="0.35">
      <c r="A136" s="15"/>
      <c r="B136" s="3" t="s">
        <v>478</v>
      </c>
      <c r="C136" s="3" t="s">
        <v>860</v>
      </c>
      <c r="D136" s="3" t="s">
        <v>2167</v>
      </c>
      <c r="E136" s="3" t="s">
        <v>1331</v>
      </c>
      <c r="F136" s="3" t="s">
        <v>5712</v>
      </c>
      <c r="G136" s="3" t="s">
        <v>5705</v>
      </c>
      <c r="H136" s="6">
        <v>9868.7519999999986</v>
      </c>
      <c r="I136" s="6">
        <v>40800.47</v>
      </c>
      <c r="J136" s="6">
        <v>29216.35</v>
      </c>
      <c r="K136" s="16" t="s">
        <v>5503</v>
      </c>
      <c r="L136" s="18"/>
    </row>
    <row r="137" spans="1:12" ht="15.75" customHeight="1" x14ac:dyDescent="0.35">
      <c r="A137" s="15"/>
      <c r="B137" s="3" t="s">
        <v>480</v>
      </c>
      <c r="C137" s="3" t="s">
        <v>861</v>
      </c>
      <c r="D137" s="3" t="s">
        <v>2169</v>
      </c>
      <c r="E137" s="3" t="s">
        <v>1333</v>
      </c>
      <c r="F137" s="3" t="s">
        <v>3742</v>
      </c>
      <c r="G137" s="3" t="s">
        <v>5705</v>
      </c>
      <c r="H137" s="6">
        <v>12112.88</v>
      </c>
      <c r="I137" s="6">
        <v>48471.3</v>
      </c>
      <c r="J137" s="6">
        <v>35860.26</v>
      </c>
      <c r="K137" s="16" t="s">
        <v>5503</v>
      </c>
      <c r="L137" s="18"/>
    </row>
    <row r="138" spans="1:12" ht="15.75" customHeight="1" x14ac:dyDescent="0.35">
      <c r="A138" s="15"/>
      <c r="B138" s="3" t="s">
        <v>538</v>
      </c>
      <c r="C138" s="3" t="s">
        <v>860</v>
      </c>
      <c r="D138" s="3" t="s">
        <v>2227</v>
      </c>
      <c r="E138" s="3" t="s">
        <v>1388</v>
      </c>
      <c r="F138" s="3" t="s">
        <v>5713</v>
      </c>
      <c r="G138" s="3" t="s">
        <v>5705</v>
      </c>
      <c r="H138" s="6">
        <v>10079.119999999999</v>
      </c>
      <c r="I138" s="6">
        <v>31189.66</v>
      </c>
      <c r="J138" s="6">
        <v>29839.829999999998</v>
      </c>
      <c r="K138" s="16" t="s">
        <v>5503</v>
      </c>
      <c r="L138" s="18"/>
    </row>
    <row r="139" spans="1:12" ht="15.75" customHeight="1" x14ac:dyDescent="0.35">
      <c r="A139" s="15"/>
      <c r="B139" s="3" t="s">
        <v>564</v>
      </c>
      <c r="C139" s="3" t="s">
        <v>860</v>
      </c>
      <c r="D139" s="3" t="s">
        <v>2253</v>
      </c>
      <c r="E139" s="3" t="s">
        <v>1414</v>
      </c>
      <c r="F139" s="3" t="s">
        <v>3798</v>
      </c>
      <c r="G139" s="3" t="s">
        <v>5705</v>
      </c>
      <c r="H139" s="6">
        <v>11292.688</v>
      </c>
      <c r="I139" s="6">
        <v>34735.1</v>
      </c>
      <c r="J139" s="6">
        <v>33432.69</v>
      </c>
      <c r="K139" s="16" t="s">
        <v>5503</v>
      </c>
      <c r="L139" s="18"/>
    </row>
    <row r="140" spans="1:12" ht="15.75" customHeight="1" x14ac:dyDescent="0.35">
      <c r="A140" s="15"/>
      <c r="B140" s="3" t="s">
        <v>672</v>
      </c>
      <c r="C140" s="3" t="s">
        <v>860</v>
      </c>
      <c r="D140" s="3" t="s">
        <v>2361</v>
      </c>
      <c r="E140" s="3" t="s">
        <v>1517</v>
      </c>
      <c r="F140" s="3" t="s">
        <v>5425</v>
      </c>
      <c r="G140" s="3" t="s">
        <v>5705</v>
      </c>
      <c r="H140" s="6">
        <v>12180.368</v>
      </c>
      <c r="I140" s="6">
        <v>24324.36</v>
      </c>
      <c r="J140" s="6">
        <v>36059.85</v>
      </c>
      <c r="K140" s="16" t="s">
        <v>5503</v>
      </c>
      <c r="L140" s="18"/>
    </row>
    <row r="141" spans="1:12" ht="15.75" customHeight="1" x14ac:dyDescent="0.35">
      <c r="A141" s="15"/>
      <c r="B141" s="3" t="s">
        <v>5714</v>
      </c>
      <c r="C141" s="3" t="s">
        <v>860</v>
      </c>
      <c r="D141" s="3" t="s">
        <v>5715</v>
      </c>
      <c r="E141" s="3" t="s">
        <v>5716</v>
      </c>
      <c r="F141" s="3" t="s">
        <v>5717</v>
      </c>
      <c r="G141" s="3" t="s">
        <v>5705</v>
      </c>
      <c r="H141" s="6">
        <v>10363.055999999999</v>
      </c>
      <c r="I141" s="6">
        <v>0</v>
      </c>
      <c r="J141" s="6">
        <v>30680.17</v>
      </c>
      <c r="K141" s="16" t="s">
        <v>5503</v>
      </c>
      <c r="L141" s="18"/>
    </row>
    <row r="142" spans="1:12" ht="15.75" customHeight="1" x14ac:dyDescent="0.35">
      <c r="A142" s="15"/>
      <c r="B142" s="3" t="s">
        <v>5718</v>
      </c>
      <c r="C142" s="3" t="s">
        <v>860</v>
      </c>
      <c r="D142" s="3" t="s">
        <v>5719</v>
      </c>
      <c r="E142" s="3" t="s">
        <v>884</v>
      </c>
      <c r="F142" s="3" t="s">
        <v>5720</v>
      </c>
      <c r="G142" s="3" t="s">
        <v>5705</v>
      </c>
      <c r="H142" s="6">
        <v>11921.664000000001</v>
      </c>
      <c r="I142" s="6">
        <v>0</v>
      </c>
      <c r="J142" s="6">
        <v>35294.5</v>
      </c>
      <c r="K142" s="16" t="s">
        <v>5503</v>
      </c>
      <c r="L142" s="18"/>
    </row>
    <row r="143" spans="1:12" ht="15.75" customHeight="1" x14ac:dyDescent="0.35">
      <c r="A143" s="15"/>
      <c r="B143" s="3" t="s">
        <v>700</v>
      </c>
      <c r="C143" s="3" t="s">
        <v>861</v>
      </c>
      <c r="D143" s="3" t="s">
        <v>2389</v>
      </c>
      <c r="E143" s="3" t="s">
        <v>1542</v>
      </c>
      <c r="F143" s="3" t="s">
        <v>3899</v>
      </c>
      <c r="G143" s="3" t="s">
        <v>5705</v>
      </c>
      <c r="H143" s="6">
        <v>17384.240000000002</v>
      </c>
      <c r="I143" s="6">
        <v>31171.810000000005</v>
      </c>
      <c r="J143" s="6">
        <v>51466.600000000006</v>
      </c>
      <c r="K143" s="16" t="s">
        <v>5503</v>
      </c>
      <c r="L143" s="18"/>
    </row>
    <row r="144" spans="1:12" ht="15.75" customHeight="1" x14ac:dyDescent="0.35">
      <c r="A144" s="15"/>
      <c r="B144" s="3" t="s">
        <v>76</v>
      </c>
      <c r="C144" s="3" t="s">
        <v>861</v>
      </c>
      <c r="D144" s="3" t="s">
        <v>1765</v>
      </c>
      <c r="E144" s="3" t="s">
        <v>937</v>
      </c>
      <c r="F144" s="3" t="s">
        <v>5721</v>
      </c>
      <c r="G144" s="3" t="s">
        <v>5722</v>
      </c>
      <c r="H144" s="6"/>
      <c r="I144" s="6"/>
      <c r="J144" s="6"/>
      <c r="K144" s="16" t="s">
        <v>5459</v>
      </c>
      <c r="L144" s="18"/>
    </row>
    <row r="145" spans="1:12" ht="15.75" customHeight="1" x14ac:dyDescent="0.35">
      <c r="A145" s="15"/>
      <c r="B145" s="3" t="s">
        <v>514</v>
      </c>
      <c r="C145" s="3" t="s">
        <v>860</v>
      </c>
      <c r="D145" s="3" t="s">
        <v>2203</v>
      </c>
      <c r="E145" s="3" t="s">
        <v>1366</v>
      </c>
      <c r="F145" s="3" t="s">
        <v>5723</v>
      </c>
      <c r="G145" s="3" t="s">
        <v>5724</v>
      </c>
      <c r="H145" s="6"/>
      <c r="I145" s="6"/>
      <c r="J145" s="6"/>
      <c r="K145" s="16" t="s">
        <v>5459</v>
      </c>
      <c r="L145" s="18"/>
    </row>
    <row r="146" spans="1:12" ht="15.75" customHeight="1" x14ac:dyDescent="0.35">
      <c r="A146" s="15"/>
      <c r="B146" s="3" t="s">
        <v>374</v>
      </c>
      <c r="C146" s="3" t="s">
        <v>861</v>
      </c>
      <c r="D146" s="3" t="s">
        <v>2063</v>
      </c>
      <c r="E146" s="3" t="s">
        <v>1060</v>
      </c>
      <c r="F146" s="3" t="s">
        <v>5725</v>
      </c>
      <c r="G146" s="19">
        <v>44620</v>
      </c>
      <c r="H146" s="6"/>
      <c r="I146" s="6"/>
      <c r="J146" s="6"/>
      <c r="K146" s="16" t="s">
        <v>5459</v>
      </c>
      <c r="L146" s="18"/>
    </row>
    <row r="147" spans="1:12" ht="15.75" customHeight="1" x14ac:dyDescent="0.35">
      <c r="A147" s="15"/>
      <c r="B147" s="3" t="s">
        <v>141</v>
      </c>
      <c r="C147" s="3" t="s">
        <v>860</v>
      </c>
      <c r="D147" s="3" t="s">
        <v>1830</v>
      </c>
      <c r="E147" s="3" t="s">
        <v>1001</v>
      </c>
      <c r="F147" s="3" t="s">
        <v>3516</v>
      </c>
      <c r="G147" s="3" t="s">
        <v>4191</v>
      </c>
      <c r="H147" s="6"/>
      <c r="I147" s="6"/>
      <c r="J147" s="6"/>
      <c r="K147" s="16" t="s">
        <v>5503</v>
      </c>
      <c r="L147" s="18"/>
    </row>
    <row r="148" spans="1:12" ht="15.75" customHeight="1" x14ac:dyDescent="0.35">
      <c r="A148" s="15"/>
      <c r="B148" s="3" t="s">
        <v>714</v>
      </c>
      <c r="C148" s="3" t="s">
        <v>861</v>
      </c>
      <c r="D148" s="3" t="s">
        <v>2403</v>
      </c>
      <c r="E148" s="3" t="s">
        <v>1555</v>
      </c>
      <c r="F148" s="3" t="s">
        <v>5726</v>
      </c>
      <c r="G148" s="3" t="s">
        <v>4191</v>
      </c>
      <c r="H148" s="6"/>
      <c r="I148" s="6"/>
      <c r="J148" s="6"/>
      <c r="K148" s="16" t="s">
        <v>5503</v>
      </c>
      <c r="L148" s="18"/>
    </row>
    <row r="149" spans="1:12" ht="15.75" customHeight="1" x14ac:dyDescent="0.35">
      <c r="A149" s="15"/>
      <c r="B149" s="3" t="s">
        <v>5727</v>
      </c>
      <c r="C149" s="3" t="s">
        <v>860</v>
      </c>
      <c r="D149" s="3" t="s">
        <v>5728</v>
      </c>
      <c r="E149" s="3" t="s">
        <v>5729</v>
      </c>
      <c r="F149" s="3" t="s">
        <v>4001</v>
      </c>
      <c r="G149" s="3" t="s">
        <v>5705</v>
      </c>
      <c r="H149" s="6"/>
      <c r="I149" s="6"/>
      <c r="J149" s="6"/>
      <c r="K149" s="16" t="s">
        <v>5455</v>
      </c>
      <c r="L149" s="18"/>
    </row>
    <row r="150" spans="1:12" ht="15.75" customHeight="1" x14ac:dyDescent="0.35">
      <c r="A150" s="15"/>
      <c r="B150" s="3" t="s">
        <v>709</v>
      </c>
      <c r="C150" s="3" t="s">
        <v>861</v>
      </c>
      <c r="D150" s="3" t="s">
        <v>2398</v>
      </c>
      <c r="E150" s="3" t="s">
        <v>1551</v>
      </c>
      <c r="F150" s="3" t="s">
        <v>3902</v>
      </c>
      <c r="G150" s="3" t="s">
        <v>5724</v>
      </c>
      <c r="H150" s="6"/>
      <c r="I150" s="6"/>
      <c r="J150" s="6"/>
      <c r="K150" s="16" t="s">
        <v>5503</v>
      </c>
      <c r="L150" s="18"/>
    </row>
    <row r="151" spans="1:12" ht="15.75" customHeight="1" x14ac:dyDescent="0.35">
      <c r="A151" s="15"/>
      <c r="B151" s="3" t="s">
        <v>657</v>
      </c>
      <c r="C151" s="3" t="s">
        <v>860</v>
      </c>
      <c r="D151" s="3" t="s">
        <v>2346</v>
      </c>
      <c r="E151" s="3" t="s">
        <v>1503</v>
      </c>
      <c r="F151" s="3" t="s">
        <v>5730</v>
      </c>
      <c r="G151" s="3" t="s">
        <v>4642</v>
      </c>
      <c r="H151" s="6">
        <v>18073.103999999999</v>
      </c>
      <c r="I151" s="6">
        <v>0</v>
      </c>
      <c r="J151" s="6">
        <v>53505.990000000005</v>
      </c>
      <c r="K151" s="16" t="s">
        <v>5503</v>
      </c>
      <c r="L151" s="18"/>
    </row>
    <row r="152" spans="1:12" ht="15.75" customHeight="1" x14ac:dyDescent="0.35">
      <c r="A152" s="15"/>
      <c r="B152" s="3" t="s">
        <v>5731</v>
      </c>
      <c r="C152" s="3" t="s">
        <v>861</v>
      </c>
      <c r="D152" s="3" t="s">
        <v>5732</v>
      </c>
      <c r="E152" s="3" t="s">
        <v>5733</v>
      </c>
      <c r="F152" s="3" t="s">
        <v>4150</v>
      </c>
      <c r="G152" s="3" t="s">
        <v>5724</v>
      </c>
      <c r="H152" s="6"/>
      <c r="I152" s="6"/>
      <c r="J152" s="6"/>
      <c r="K152" s="16" t="s">
        <v>5459</v>
      </c>
      <c r="L152" s="18"/>
    </row>
    <row r="153" spans="1:12" ht="15.75" customHeight="1" x14ac:dyDescent="0.35">
      <c r="A153" s="15"/>
      <c r="B153" s="3" t="s">
        <v>5734</v>
      </c>
      <c r="C153" s="3" t="s">
        <v>860</v>
      </c>
      <c r="D153" s="3" t="s">
        <v>5735</v>
      </c>
      <c r="E153" s="3" t="s">
        <v>5736</v>
      </c>
      <c r="F153" s="3" t="s">
        <v>3585</v>
      </c>
      <c r="G153" s="3" t="s">
        <v>4642</v>
      </c>
      <c r="H153" s="6"/>
      <c r="I153" s="6"/>
      <c r="J153" s="6"/>
      <c r="K153" s="16" t="s">
        <v>5459</v>
      </c>
      <c r="L153" s="18"/>
    </row>
    <row r="154" spans="1:12" ht="15.75" customHeight="1" x14ac:dyDescent="0.35">
      <c r="A154" s="15"/>
      <c r="B154" s="3" t="s">
        <v>5737</v>
      </c>
      <c r="C154" s="3" t="s">
        <v>861</v>
      </c>
      <c r="D154" s="3" t="s">
        <v>5738</v>
      </c>
      <c r="E154" s="3" t="s">
        <v>5739</v>
      </c>
      <c r="F154" s="3" t="s">
        <v>5592</v>
      </c>
      <c r="G154" s="3" t="s">
        <v>5740</v>
      </c>
      <c r="H154" s="6"/>
      <c r="I154" s="6"/>
      <c r="J154" s="6"/>
      <c r="K154" s="16" t="s">
        <v>5459</v>
      </c>
      <c r="L154" s="18"/>
    </row>
    <row r="155" spans="1:12" ht="15.75" customHeight="1" x14ac:dyDescent="0.35">
      <c r="A155" s="15"/>
      <c r="B155" s="3" t="s">
        <v>5741</v>
      </c>
      <c r="C155" s="3" t="s">
        <v>860</v>
      </c>
      <c r="D155" s="3" t="s">
        <v>5742</v>
      </c>
      <c r="E155" s="3" t="s">
        <v>5743</v>
      </c>
      <c r="F155" s="3" t="s">
        <v>4552</v>
      </c>
      <c r="G155" s="3" t="s">
        <v>4642</v>
      </c>
      <c r="H155" s="6"/>
      <c r="I155" s="6"/>
      <c r="J155" s="6"/>
      <c r="K155" s="16" t="s">
        <v>5459</v>
      </c>
      <c r="L155" s="18"/>
    </row>
    <row r="156" spans="1:12" ht="15.75" customHeight="1" x14ac:dyDescent="0.35">
      <c r="A156" s="15"/>
      <c r="B156" s="3" t="s">
        <v>5744</v>
      </c>
      <c r="C156" s="3" t="s">
        <v>861</v>
      </c>
      <c r="D156" s="3" t="s">
        <v>5745</v>
      </c>
      <c r="E156" s="3" t="s">
        <v>5746</v>
      </c>
      <c r="F156" s="3" t="s">
        <v>4019</v>
      </c>
      <c r="G156" s="3" t="s">
        <v>4191</v>
      </c>
      <c r="H156" s="6"/>
      <c r="I156" s="6"/>
      <c r="J156" s="6"/>
      <c r="K156" s="16" t="s">
        <v>5459</v>
      </c>
      <c r="L156" s="18"/>
    </row>
    <row r="157" spans="1:12" ht="15.75" customHeight="1" x14ac:dyDescent="0.35">
      <c r="A157" s="15"/>
      <c r="B157" s="3" t="s">
        <v>422</v>
      </c>
      <c r="C157" s="3" t="s">
        <v>860</v>
      </c>
      <c r="D157" s="3" t="s">
        <v>2111</v>
      </c>
      <c r="E157" s="3" t="s">
        <v>1275</v>
      </c>
      <c r="F157" s="3" t="s">
        <v>5747</v>
      </c>
      <c r="G157" s="3" t="s">
        <v>5705</v>
      </c>
      <c r="H157" s="6"/>
      <c r="I157" s="6"/>
      <c r="J157" s="6"/>
      <c r="K157" s="16" t="s">
        <v>5459</v>
      </c>
      <c r="L157" s="18"/>
    </row>
    <row r="158" spans="1:12" ht="15.75" customHeight="1" x14ac:dyDescent="0.35">
      <c r="A158" s="15"/>
      <c r="B158" s="3" t="s">
        <v>4308</v>
      </c>
      <c r="C158" s="3" t="s">
        <v>861</v>
      </c>
      <c r="D158" s="3" t="s">
        <v>4310</v>
      </c>
      <c r="E158" s="3" t="s">
        <v>4311</v>
      </c>
      <c r="F158" s="3" t="s">
        <v>5471</v>
      </c>
      <c r="G158" s="3" t="s">
        <v>5748</v>
      </c>
      <c r="H158" s="6"/>
      <c r="I158" s="6"/>
      <c r="J158" s="6"/>
      <c r="K158" s="16" t="s">
        <v>5459</v>
      </c>
      <c r="L158" s="18"/>
    </row>
    <row r="159" spans="1:12" ht="15.75" customHeight="1" x14ac:dyDescent="0.35">
      <c r="A159" s="15"/>
      <c r="B159" s="3" t="s">
        <v>542</v>
      </c>
      <c r="C159" s="3" t="s">
        <v>860</v>
      </c>
      <c r="D159" s="3" t="s">
        <v>2197</v>
      </c>
      <c r="E159" s="3" t="s">
        <v>1360</v>
      </c>
      <c r="F159" s="3" t="s">
        <v>5635</v>
      </c>
      <c r="G159" s="3" t="s">
        <v>5435</v>
      </c>
      <c r="H159" s="6">
        <v>14485.599999999999</v>
      </c>
      <c r="I159" s="6">
        <v>41036.53</v>
      </c>
      <c r="J159" s="6">
        <v>42884.83</v>
      </c>
      <c r="K159" s="16" t="s">
        <v>5749</v>
      </c>
      <c r="L159" s="18"/>
    </row>
    <row r="160" spans="1:12" ht="15.75" customHeight="1" x14ac:dyDescent="0.35">
      <c r="A160" s="15"/>
      <c r="B160" s="3" t="s">
        <v>119</v>
      </c>
      <c r="C160" s="3" t="s">
        <v>860</v>
      </c>
      <c r="D160" s="3" t="s">
        <v>1808</v>
      </c>
      <c r="E160" s="3" t="s">
        <v>979</v>
      </c>
      <c r="F160" s="3" t="s">
        <v>5750</v>
      </c>
      <c r="G160" s="3" t="s">
        <v>5435</v>
      </c>
      <c r="H160" s="6">
        <v>18974.464</v>
      </c>
      <c r="I160" s="6">
        <v>166320.38</v>
      </c>
      <c r="J160" s="6">
        <v>56174.22</v>
      </c>
      <c r="K160" s="16" t="s">
        <v>5503</v>
      </c>
      <c r="L160" s="18"/>
    </row>
    <row r="161" spans="1:12" ht="15.75" customHeight="1" x14ac:dyDescent="0.35">
      <c r="A161" s="15"/>
      <c r="B161" s="3" t="s">
        <v>5751</v>
      </c>
      <c r="C161" s="3" t="s">
        <v>861</v>
      </c>
      <c r="D161" s="3" t="s">
        <v>5752</v>
      </c>
      <c r="E161" s="3" t="s">
        <v>5753</v>
      </c>
      <c r="F161" s="3" t="s">
        <v>4547</v>
      </c>
      <c r="G161" s="3" t="s">
        <v>4385</v>
      </c>
      <c r="H161" s="6"/>
      <c r="I161" s="6"/>
      <c r="J161" s="6"/>
      <c r="K161" s="16" t="s">
        <v>5459</v>
      </c>
      <c r="L161" s="18"/>
    </row>
    <row r="162" spans="1:12" ht="15.75" customHeight="1" x14ac:dyDescent="0.35">
      <c r="A162" s="15"/>
      <c r="B162" s="3" t="s">
        <v>4187</v>
      </c>
      <c r="C162" s="3" t="s">
        <v>860</v>
      </c>
      <c r="D162" s="3" t="s">
        <v>4189</v>
      </c>
      <c r="E162" s="3" t="s">
        <v>4190</v>
      </c>
      <c r="F162" s="3" t="s">
        <v>5754</v>
      </c>
      <c r="G162" s="3" t="s">
        <v>5724</v>
      </c>
      <c r="H162" s="6"/>
      <c r="I162" s="6"/>
      <c r="J162" s="6"/>
      <c r="K162" s="16" t="s">
        <v>5459</v>
      </c>
      <c r="L162" s="18"/>
    </row>
    <row r="163" spans="1:12" ht="15.75" customHeight="1" x14ac:dyDescent="0.35">
      <c r="A163" s="15"/>
      <c r="B163" s="3" t="s">
        <v>5755</v>
      </c>
      <c r="C163" s="3" t="s">
        <v>860</v>
      </c>
      <c r="D163" s="3" t="s">
        <v>5756</v>
      </c>
      <c r="E163" s="3" t="s">
        <v>5757</v>
      </c>
      <c r="F163" s="3" t="s">
        <v>4037</v>
      </c>
      <c r="G163" s="3" t="s">
        <v>4552</v>
      </c>
      <c r="H163" s="6"/>
      <c r="I163" s="6"/>
      <c r="J163" s="6"/>
      <c r="K163" s="16" t="s">
        <v>5459</v>
      </c>
      <c r="L163" s="18"/>
    </row>
    <row r="164" spans="1:12" ht="15.75" customHeight="1" x14ac:dyDescent="0.35">
      <c r="A164" s="15"/>
      <c r="B164" s="3" t="s">
        <v>5758</v>
      </c>
      <c r="C164" s="3" t="s">
        <v>860</v>
      </c>
      <c r="D164" s="3" t="s">
        <v>5759</v>
      </c>
      <c r="E164" s="3" t="s">
        <v>5760</v>
      </c>
      <c r="F164" s="3" t="s">
        <v>4218</v>
      </c>
      <c r="G164" s="3" t="s">
        <v>4385</v>
      </c>
      <c r="H164" s="6"/>
      <c r="I164" s="6"/>
      <c r="J164" s="6"/>
      <c r="K164" s="16" t="s">
        <v>5459</v>
      </c>
      <c r="L164" s="18"/>
    </row>
    <row r="165" spans="1:12" ht="15.75" customHeight="1" x14ac:dyDescent="0.35">
      <c r="A165" s="15"/>
      <c r="B165" s="3" t="s">
        <v>5761</v>
      </c>
      <c r="C165" s="3" t="s">
        <v>860</v>
      </c>
      <c r="D165" s="3" t="s">
        <v>5762</v>
      </c>
      <c r="E165" s="3" t="s">
        <v>5763</v>
      </c>
      <c r="F165" s="3" t="s">
        <v>5764</v>
      </c>
      <c r="G165" s="3" t="s">
        <v>5765</v>
      </c>
      <c r="H165" s="6"/>
      <c r="I165" s="6"/>
      <c r="J165" s="6"/>
      <c r="K165" s="16" t="s">
        <v>5459</v>
      </c>
      <c r="L165" s="18"/>
    </row>
    <row r="166" spans="1:12" ht="15.75" customHeight="1" x14ac:dyDescent="0.35">
      <c r="A166" s="15"/>
      <c r="B166" s="3" t="s">
        <v>268</v>
      </c>
      <c r="C166" s="3" t="s">
        <v>861</v>
      </c>
      <c r="D166" s="3" t="s">
        <v>1957</v>
      </c>
      <c r="E166" s="3" t="s">
        <v>1126</v>
      </c>
      <c r="F166" s="3" t="s">
        <v>3613</v>
      </c>
      <c r="G166" s="3" t="s">
        <v>3968</v>
      </c>
      <c r="H166" s="6">
        <v>33732.143999999993</v>
      </c>
      <c r="I166" s="6">
        <v>184387.98</v>
      </c>
      <c r="J166" s="6">
        <v>99865.18</v>
      </c>
      <c r="K166" s="16" t="s">
        <v>5503</v>
      </c>
      <c r="L166" s="18"/>
    </row>
    <row r="167" spans="1:12" ht="15.75" customHeight="1" x14ac:dyDescent="0.35">
      <c r="A167" s="15"/>
      <c r="B167" s="3" t="s">
        <v>5766</v>
      </c>
      <c r="C167" s="3" t="s">
        <v>860</v>
      </c>
      <c r="D167" s="3" t="s">
        <v>5767</v>
      </c>
      <c r="E167" s="3" t="s">
        <v>5768</v>
      </c>
      <c r="F167" s="3" t="s">
        <v>4037</v>
      </c>
      <c r="G167" s="3" t="s">
        <v>3968</v>
      </c>
      <c r="H167" s="6">
        <v>68934.432000000001</v>
      </c>
      <c r="I167" s="6">
        <v>54519.83</v>
      </c>
      <c r="J167" s="6">
        <v>204082.2</v>
      </c>
      <c r="K167" s="16" t="s">
        <v>5503</v>
      </c>
      <c r="L167" s="18"/>
    </row>
    <row r="168" spans="1:12" ht="15.75" customHeight="1" x14ac:dyDescent="0.35">
      <c r="A168" s="15"/>
      <c r="B168" s="3" t="s">
        <v>5769</v>
      </c>
      <c r="C168" s="3" t="s">
        <v>861</v>
      </c>
      <c r="D168" s="3" t="s">
        <v>5770</v>
      </c>
      <c r="E168" s="3" t="s">
        <v>5771</v>
      </c>
      <c r="F168" s="3" t="s">
        <v>4552</v>
      </c>
      <c r="G168" s="3" t="s">
        <v>4681</v>
      </c>
      <c r="H168" s="6"/>
      <c r="I168" s="6"/>
      <c r="J168" s="6"/>
      <c r="K168" s="16" t="s">
        <v>5459</v>
      </c>
      <c r="L168" s="18"/>
    </row>
    <row r="169" spans="1:12" ht="15.75" customHeight="1" x14ac:dyDescent="0.35">
      <c r="A169" s="15"/>
      <c r="B169" s="3" t="s">
        <v>5772</v>
      </c>
      <c r="C169" s="3" t="s">
        <v>860</v>
      </c>
      <c r="D169" s="3" t="s">
        <v>5773</v>
      </c>
      <c r="E169" s="3" t="s">
        <v>5774</v>
      </c>
      <c r="F169" s="3" t="s">
        <v>4616</v>
      </c>
      <c r="G169" s="3" t="s">
        <v>3968</v>
      </c>
      <c r="H169" s="6"/>
      <c r="I169" s="6"/>
      <c r="J169" s="6"/>
      <c r="K169" s="16" t="s">
        <v>5459</v>
      </c>
      <c r="L169" s="18"/>
    </row>
    <row r="170" spans="1:12" ht="15.75" customHeight="1" x14ac:dyDescent="0.35">
      <c r="A170" s="15"/>
      <c r="B170" s="3" t="s">
        <v>5775</v>
      </c>
      <c r="C170" s="3" t="s">
        <v>860</v>
      </c>
      <c r="D170" s="3" t="s">
        <v>5776</v>
      </c>
      <c r="E170" s="3" t="s">
        <v>5777</v>
      </c>
      <c r="F170" s="3" t="s">
        <v>4052</v>
      </c>
      <c r="G170" s="3" t="s">
        <v>3747</v>
      </c>
      <c r="H170" s="6"/>
      <c r="I170" s="6"/>
      <c r="J170" s="6"/>
      <c r="K170" s="16" t="s">
        <v>5459</v>
      </c>
      <c r="L170" s="18"/>
    </row>
    <row r="171" spans="1:12" ht="15.75" customHeight="1" x14ac:dyDescent="0.35">
      <c r="A171" s="15"/>
      <c r="B171" s="3" t="s">
        <v>673</v>
      </c>
      <c r="C171" s="3" t="s">
        <v>861</v>
      </c>
      <c r="D171" s="3" t="s">
        <v>2362</v>
      </c>
      <c r="E171" s="3" t="s">
        <v>1518</v>
      </c>
      <c r="F171" s="3" t="s">
        <v>5637</v>
      </c>
      <c r="G171" s="3" t="s">
        <v>4735</v>
      </c>
      <c r="H171" s="6"/>
      <c r="I171" s="6"/>
      <c r="J171" s="6"/>
      <c r="K171" s="16" t="s">
        <v>5459</v>
      </c>
      <c r="L171" s="18"/>
    </row>
    <row r="172" spans="1:12" ht="15.75" customHeight="1" x14ac:dyDescent="0.35">
      <c r="A172" s="15"/>
      <c r="B172" s="3" t="s">
        <v>5778</v>
      </c>
      <c r="C172" s="3" t="s">
        <v>861</v>
      </c>
      <c r="D172" s="3" t="s">
        <v>5779</v>
      </c>
      <c r="E172" s="3" t="s">
        <v>5780</v>
      </c>
      <c r="F172" s="3" t="s">
        <v>4489</v>
      </c>
      <c r="G172" s="3" t="s">
        <v>4735</v>
      </c>
      <c r="H172" s="6"/>
      <c r="I172" s="6"/>
      <c r="J172" s="6"/>
      <c r="K172" s="16" t="s">
        <v>5459</v>
      </c>
      <c r="L172" s="18"/>
    </row>
    <row r="173" spans="1:12" ht="15.75" customHeight="1" x14ac:dyDescent="0.35">
      <c r="A173" s="15"/>
      <c r="B173" s="3" t="s">
        <v>5781</v>
      </c>
      <c r="C173" s="3" t="s">
        <v>860</v>
      </c>
      <c r="D173" s="3" t="s">
        <v>5782</v>
      </c>
      <c r="E173" s="3" t="s">
        <v>5783</v>
      </c>
      <c r="F173" s="3" t="s">
        <v>4552</v>
      </c>
      <c r="G173" s="3" t="s">
        <v>4671</v>
      </c>
      <c r="H173" s="6"/>
      <c r="I173" s="6"/>
      <c r="J173" s="6"/>
      <c r="K173" s="16" t="s">
        <v>5459</v>
      </c>
      <c r="L173" s="18"/>
    </row>
    <row r="174" spans="1:12" ht="15.75" customHeight="1" x14ac:dyDescent="0.35">
      <c r="A174" s="15"/>
      <c r="B174" s="3" t="s">
        <v>5784</v>
      </c>
      <c r="C174" s="3" t="s">
        <v>860</v>
      </c>
      <c r="D174" s="3" t="s">
        <v>5785</v>
      </c>
      <c r="E174" s="3" t="s">
        <v>5786</v>
      </c>
      <c r="F174" s="3" t="s">
        <v>4607</v>
      </c>
      <c r="G174" s="3" t="s">
        <v>3624</v>
      </c>
      <c r="H174" s="6"/>
      <c r="I174" s="6"/>
      <c r="J174" s="6"/>
      <c r="K174" s="16" t="s">
        <v>5459</v>
      </c>
      <c r="L174" s="18"/>
    </row>
    <row r="175" spans="1:12" ht="15.75" customHeight="1" x14ac:dyDescent="0.35">
      <c r="A175" s="15"/>
      <c r="B175" s="3" t="s">
        <v>5787</v>
      </c>
      <c r="C175" s="3" t="s">
        <v>861</v>
      </c>
      <c r="D175" s="3" t="s">
        <v>5788</v>
      </c>
      <c r="E175" s="3" t="s">
        <v>1655</v>
      </c>
      <c r="F175" s="3" t="s">
        <v>4568</v>
      </c>
      <c r="G175" s="3" t="s">
        <v>4681</v>
      </c>
      <c r="H175" s="6"/>
      <c r="I175" s="6"/>
      <c r="J175" s="6"/>
      <c r="K175" s="16" t="s">
        <v>5459</v>
      </c>
      <c r="L175" s="18"/>
    </row>
    <row r="176" spans="1:12" ht="15.75" customHeight="1" x14ac:dyDescent="0.35">
      <c r="A176" s="15"/>
      <c r="B176" s="3" t="s">
        <v>378</v>
      </c>
      <c r="C176" s="3" t="s">
        <v>861</v>
      </c>
      <c r="D176" s="3" t="s">
        <v>2067</v>
      </c>
      <c r="E176" s="3" t="s">
        <v>1233</v>
      </c>
      <c r="F176" s="3" t="s">
        <v>5789</v>
      </c>
      <c r="G176" s="3" t="s">
        <v>5435</v>
      </c>
      <c r="H176" s="6"/>
      <c r="I176" s="6"/>
      <c r="J176" s="6"/>
      <c r="K176" s="16" t="s">
        <v>5459</v>
      </c>
      <c r="L176" s="18"/>
    </row>
    <row r="177" spans="1:12" ht="15.75" customHeight="1" x14ac:dyDescent="0.35">
      <c r="A177" s="15"/>
      <c r="B177" s="3" t="s">
        <v>482</v>
      </c>
      <c r="C177" s="3" t="s">
        <v>861</v>
      </c>
      <c r="D177" s="3" t="s">
        <v>2171</v>
      </c>
      <c r="E177" s="3" t="s">
        <v>1335</v>
      </c>
      <c r="F177" s="3" t="s">
        <v>5790</v>
      </c>
      <c r="G177" s="3" t="s">
        <v>5435</v>
      </c>
      <c r="H177" s="6"/>
      <c r="I177" s="6"/>
      <c r="J177" s="6"/>
      <c r="K177" s="16" t="s">
        <v>5459</v>
      </c>
      <c r="L177" s="18"/>
    </row>
    <row r="178" spans="1:12" ht="15.75" customHeight="1" x14ac:dyDescent="0.35">
      <c r="A178" s="15"/>
      <c r="B178" s="3" t="s">
        <v>5791</v>
      </c>
      <c r="C178" s="3" t="s">
        <v>861</v>
      </c>
      <c r="D178" s="3" t="s">
        <v>5792</v>
      </c>
      <c r="E178" s="3" t="s">
        <v>5793</v>
      </c>
      <c r="F178" s="3" t="s">
        <v>4489</v>
      </c>
      <c r="G178" s="3" t="s">
        <v>5435</v>
      </c>
      <c r="H178" s="6"/>
      <c r="I178" s="6"/>
      <c r="J178" s="6"/>
      <c r="K178" s="16" t="s">
        <v>5459</v>
      </c>
      <c r="L178" s="18"/>
    </row>
    <row r="179" spans="1:12" ht="15.75" customHeight="1" x14ac:dyDescent="0.35">
      <c r="A179" s="15"/>
      <c r="B179" s="3" t="s">
        <v>5794</v>
      </c>
      <c r="C179" s="3" t="s">
        <v>861</v>
      </c>
      <c r="D179" s="3" t="s">
        <v>5795</v>
      </c>
      <c r="E179" s="3" t="s">
        <v>5121</v>
      </c>
      <c r="F179" s="3" t="s">
        <v>4240</v>
      </c>
      <c r="G179" s="3" t="s">
        <v>4578</v>
      </c>
      <c r="H179" s="6"/>
      <c r="I179" s="6"/>
      <c r="J179" s="6"/>
      <c r="K179" s="16" t="s">
        <v>5459</v>
      </c>
      <c r="L179" s="18"/>
    </row>
    <row r="180" spans="1:12" ht="15.75" customHeight="1" x14ac:dyDescent="0.35">
      <c r="A180" s="15"/>
      <c r="B180" s="3" t="s">
        <v>292</v>
      </c>
      <c r="C180" s="3" t="s">
        <v>861</v>
      </c>
      <c r="D180" s="3" t="s">
        <v>1981</v>
      </c>
      <c r="E180" s="3" t="s">
        <v>1150</v>
      </c>
      <c r="F180" s="3" t="s">
        <v>5796</v>
      </c>
      <c r="G180" s="3" t="s">
        <v>4547</v>
      </c>
      <c r="H180" s="6"/>
      <c r="I180" s="6"/>
      <c r="J180" s="6"/>
      <c r="K180" s="16" t="s">
        <v>5459</v>
      </c>
      <c r="L180" s="18"/>
    </row>
    <row r="181" spans="1:12" ht="15.75" customHeight="1" x14ac:dyDescent="0.35">
      <c r="A181" s="15"/>
      <c r="B181" s="3" t="s">
        <v>669</v>
      </c>
      <c r="C181" s="3" t="s">
        <v>860</v>
      </c>
      <c r="D181" s="3" t="s">
        <v>2358</v>
      </c>
      <c r="E181" s="3" t="s">
        <v>1514</v>
      </c>
      <c r="F181" s="3" t="s">
        <v>5797</v>
      </c>
      <c r="G181" s="3" t="s">
        <v>5798</v>
      </c>
      <c r="H181" s="6"/>
      <c r="I181" s="6"/>
      <c r="J181" s="6"/>
      <c r="K181" s="16" t="s">
        <v>5459</v>
      </c>
      <c r="L181" s="18"/>
    </row>
    <row r="182" spans="1:12" ht="15.75" customHeight="1" x14ac:dyDescent="0.35">
      <c r="A182" s="15"/>
      <c r="B182" s="3" t="s">
        <v>577</v>
      </c>
      <c r="C182" s="3" t="s">
        <v>861</v>
      </c>
      <c r="D182" s="3" t="s">
        <v>2266</v>
      </c>
      <c r="E182" s="3" t="s">
        <v>1427</v>
      </c>
      <c r="F182" s="3" t="s">
        <v>5799</v>
      </c>
      <c r="G182" s="3" t="s">
        <v>5800</v>
      </c>
      <c r="H182" s="6"/>
      <c r="I182" s="6"/>
      <c r="J182" s="6"/>
      <c r="K182" s="16" t="s">
        <v>5459</v>
      </c>
      <c r="L182" s="18"/>
    </row>
    <row r="183" spans="1:12" ht="15.75" customHeight="1" x14ac:dyDescent="0.35">
      <c r="A183" s="15"/>
      <c r="B183" s="3" t="s">
        <v>766</v>
      </c>
      <c r="C183" s="3" t="s">
        <v>861</v>
      </c>
      <c r="D183" s="3" t="s">
        <v>2455</v>
      </c>
      <c r="E183" s="3" t="s">
        <v>1603</v>
      </c>
      <c r="F183" s="3" t="s">
        <v>3943</v>
      </c>
      <c r="G183" s="3" t="s">
        <v>5705</v>
      </c>
      <c r="H183" s="6"/>
      <c r="I183" s="6"/>
      <c r="J183" s="6"/>
      <c r="K183" s="16" t="s">
        <v>5459</v>
      </c>
      <c r="L183" s="18"/>
    </row>
    <row r="184" spans="1:12" ht="15.75" customHeight="1" x14ac:dyDescent="0.35">
      <c r="A184" s="15"/>
      <c r="B184" s="3" t="s">
        <v>783</v>
      </c>
      <c r="C184" s="3" t="s">
        <v>861</v>
      </c>
      <c r="D184" s="3" t="s">
        <v>2472</v>
      </c>
      <c r="E184" s="3" t="s">
        <v>1619</v>
      </c>
      <c r="F184" s="3" t="s">
        <v>5801</v>
      </c>
      <c r="G184" s="3" t="s">
        <v>4607</v>
      </c>
      <c r="H184" s="6"/>
      <c r="I184" s="6"/>
      <c r="J184" s="6"/>
      <c r="K184" s="16" t="s">
        <v>5459</v>
      </c>
      <c r="L184" s="18"/>
    </row>
    <row r="185" spans="1:12" ht="15.75" customHeight="1" x14ac:dyDescent="0.35">
      <c r="A185" s="15"/>
      <c r="B185" s="3" t="s">
        <v>5802</v>
      </c>
      <c r="C185" s="3" t="s">
        <v>861</v>
      </c>
      <c r="D185" s="3" t="s">
        <v>5803</v>
      </c>
      <c r="E185" s="3" t="s">
        <v>5804</v>
      </c>
      <c r="F185" s="3" t="s">
        <v>5484</v>
      </c>
      <c r="G185" s="3" t="s">
        <v>5724</v>
      </c>
      <c r="H185" s="6"/>
      <c r="I185" s="6"/>
      <c r="J185" s="6"/>
      <c r="K185" s="16" t="s">
        <v>5459</v>
      </c>
      <c r="L185" s="18"/>
    </row>
    <row r="186" spans="1:12" ht="15.75" customHeight="1" x14ac:dyDescent="0.35">
      <c r="A186" s="15"/>
      <c r="B186" s="3" t="s">
        <v>5805</v>
      </c>
      <c r="C186" s="3" t="s">
        <v>861</v>
      </c>
      <c r="D186" s="3" t="s">
        <v>5806</v>
      </c>
      <c r="E186" s="3" t="s">
        <v>5807</v>
      </c>
      <c r="F186" s="3" t="s">
        <v>4280</v>
      </c>
      <c r="G186" s="3" t="s">
        <v>5808</v>
      </c>
      <c r="H186" s="6">
        <v>12124.735999999999</v>
      </c>
      <c r="I186" s="6">
        <v>8629.25</v>
      </c>
      <c r="J186" s="6">
        <v>35895.39</v>
      </c>
      <c r="K186" s="16" t="s">
        <v>5503</v>
      </c>
      <c r="L186" s="18"/>
    </row>
    <row r="187" spans="1:12" ht="15.75" customHeight="1" x14ac:dyDescent="0.35">
      <c r="A187" s="15"/>
      <c r="B187" s="3" t="s">
        <v>5809</v>
      </c>
      <c r="C187" s="3" t="s">
        <v>860</v>
      </c>
      <c r="D187" s="3" t="s">
        <v>5810</v>
      </c>
      <c r="E187" s="3" t="s">
        <v>5811</v>
      </c>
      <c r="F187" s="3" t="s">
        <v>4499</v>
      </c>
      <c r="G187" s="3" t="s">
        <v>4799</v>
      </c>
      <c r="H187" s="6"/>
      <c r="I187" s="6"/>
      <c r="J187" s="6"/>
      <c r="K187" s="16" t="s">
        <v>5455</v>
      </c>
      <c r="L187" s="18"/>
    </row>
    <row r="188" spans="1:12" ht="15.75" customHeight="1" x14ac:dyDescent="0.35">
      <c r="A188" s="15"/>
      <c r="B188" s="3" t="s">
        <v>5812</v>
      </c>
      <c r="C188" s="3" t="s">
        <v>861</v>
      </c>
      <c r="D188" s="3" t="s">
        <v>5813</v>
      </c>
      <c r="E188" s="3" t="s">
        <v>5814</v>
      </c>
      <c r="F188" s="3" t="s">
        <v>4607</v>
      </c>
      <c r="G188" s="3" t="s">
        <v>5815</v>
      </c>
      <c r="H188" s="6"/>
      <c r="I188" s="6"/>
      <c r="J188" s="6"/>
      <c r="K188" s="16" t="s">
        <v>5459</v>
      </c>
      <c r="L188" s="18"/>
    </row>
    <row r="189" spans="1:12" ht="15.75" customHeight="1" x14ac:dyDescent="0.35">
      <c r="A189" s="15"/>
      <c r="B189" s="3" t="s">
        <v>235</v>
      </c>
      <c r="C189" s="3" t="s">
        <v>861</v>
      </c>
      <c r="D189" s="3" t="s">
        <v>1924</v>
      </c>
      <c r="E189" s="3" t="s">
        <v>1093</v>
      </c>
      <c r="F189" s="3" t="s">
        <v>5816</v>
      </c>
      <c r="G189" s="3" t="s">
        <v>3739</v>
      </c>
      <c r="H189" s="6"/>
      <c r="I189" s="6"/>
      <c r="J189" s="6"/>
      <c r="K189" s="16" t="s">
        <v>5459</v>
      </c>
      <c r="L189" s="18"/>
    </row>
    <row r="190" spans="1:12" ht="15.75" customHeight="1" x14ac:dyDescent="0.35">
      <c r="A190" s="15"/>
      <c r="B190" s="3" t="s">
        <v>358</v>
      </c>
      <c r="C190" s="3" t="s">
        <v>861</v>
      </c>
      <c r="D190" s="3" t="s">
        <v>2047</v>
      </c>
      <c r="E190" s="3" t="s">
        <v>1214</v>
      </c>
      <c r="F190" s="3" t="s">
        <v>5817</v>
      </c>
      <c r="G190" s="3" t="s">
        <v>3739</v>
      </c>
      <c r="H190" s="6"/>
      <c r="I190" s="6"/>
      <c r="J190" s="6"/>
      <c r="K190" s="16" t="s">
        <v>5459</v>
      </c>
      <c r="L190" s="18"/>
    </row>
    <row r="191" spans="1:12" ht="15.75" customHeight="1" x14ac:dyDescent="0.35">
      <c r="A191" s="15"/>
      <c r="B191" s="3" t="s">
        <v>5818</v>
      </c>
      <c r="C191" s="3" t="s">
        <v>861</v>
      </c>
      <c r="D191" s="3" t="s">
        <v>5819</v>
      </c>
      <c r="E191" s="3" t="s">
        <v>5820</v>
      </c>
      <c r="F191" s="3" t="s">
        <v>4607</v>
      </c>
      <c r="G191" s="3" t="s">
        <v>5821</v>
      </c>
      <c r="H191" s="6"/>
      <c r="I191" s="6"/>
      <c r="J191" s="6"/>
      <c r="K191" s="16" t="s">
        <v>5459</v>
      </c>
      <c r="L191" s="18"/>
    </row>
    <row r="192" spans="1:12" ht="15.75" customHeight="1" x14ac:dyDescent="0.35">
      <c r="A192" s="15"/>
      <c r="B192" s="3" t="s">
        <v>4434</v>
      </c>
      <c r="C192" s="3" t="s">
        <v>860</v>
      </c>
      <c r="D192" s="3" t="s">
        <v>4436</v>
      </c>
      <c r="E192" s="3" t="s">
        <v>4437</v>
      </c>
      <c r="F192" s="3" t="s">
        <v>5822</v>
      </c>
      <c r="G192" s="3" t="s">
        <v>5823</v>
      </c>
      <c r="H192" s="6"/>
      <c r="I192" s="6"/>
      <c r="J192" s="6"/>
      <c r="K192" s="16" t="s">
        <v>5459</v>
      </c>
      <c r="L192" s="18"/>
    </row>
    <row r="193" spans="1:12" ht="15.75" customHeight="1" x14ac:dyDescent="0.35">
      <c r="A193" s="15"/>
      <c r="B193" s="3" t="s">
        <v>5824</v>
      </c>
      <c r="C193" s="3" t="s">
        <v>860</v>
      </c>
      <c r="D193" s="3" t="s">
        <v>5825</v>
      </c>
      <c r="E193" s="3" t="s">
        <v>5826</v>
      </c>
      <c r="F193" s="3" t="s">
        <v>5633</v>
      </c>
      <c r="G193" s="3" t="s">
        <v>5827</v>
      </c>
      <c r="H193" s="6"/>
      <c r="I193" s="6"/>
      <c r="J193" s="6"/>
      <c r="K193" s="16" t="s">
        <v>5459</v>
      </c>
      <c r="L193" s="18"/>
    </row>
    <row r="194" spans="1:12" ht="15.75" customHeight="1" x14ac:dyDescent="0.35">
      <c r="A194" s="15"/>
      <c r="B194" s="3" t="s">
        <v>463</v>
      </c>
      <c r="C194" s="3" t="s">
        <v>860</v>
      </c>
      <c r="D194" s="3" t="s">
        <v>2152</v>
      </c>
      <c r="E194" s="3" t="s">
        <v>1316</v>
      </c>
      <c r="F194" s="3" t="s">
        <v>5828</v>
      </c>
      <c r="G194" s="3" t="s">
        <v>5829</v>
      </c>
      <c r="H194" s="6"/>
      <c r="I194" s="6"/>
      <c r="J194" s="6"/>
      <c r="K194" s="16" t="s">
        <v>5459</v>
      </c>
      <c r="L194" s="18"/>
    </row>
    <row r="195" spans="1:12" ht="15.75" customHeight="1" x14ac:dyDescent="0.35">
      <c r="A195" s="15"/>
      <c r="B195" s="3" t="s">
        <v>546</v>
      </c>
      <c r="C195" s="3" t="s">
        <v>861</v>
      </c>
      <c r="D195" s="3" t="s">
        <v>2235</v>
      </c>
      <c r="E195" s="3" t="s">
        <v>1396</v>
      </c>
      <c r="F195" s="3" t="s">
        <v>5830</v>
      </c>
      <c r="G195" s="3" t="s">
        <v>5724</v>
      </c>
      <c r="H195" s="6"/>
      <c r="I195" s="6"/>
      <c r="J195" s="6"/>
      <c r="K195" s="16" t="s">
        <v>5459</v>
      </c>
      <c r="L195" s="18"/>
    </row>
    <row r="196" spans="1:12" ht="15.75" customHeight="1" x14ac:dyDescent="0.35">
      <c r="A196" s="15"/>
      <c r="B196" s="3" t="s">
        <v>499</v>
      </c>
      <c r="C196" s="3" t="s">
        <v>861</v>
      </c>
      <c r="D196" s="3" t="s">
        <v>2188</v>
      </c>
      <c r="E196" s="3" t="s">
        <v>1351</v>
      </c>
      <c r="F196" s="3" t="s">
        <v>5831</v>
      </c>
      <c r="G196" s="3" t="s">
        <v>5832</v>
      </c>
      <c r="H196" s="6">
        <v>15298.495999999999</v>
      </c>
      <c r="I196" s="6">
        <v>56854.64</v>
      </c>
      <c r="J196" s="6">
        <v>45291.51</v>
      </c>
      <c r="K196" s="16" t="s">
        <v>5749</v>
      </c>
      <c r="L196" s="18"/>
    </row>
    <row r="197" spans="1:12" ht="15.75" customHeight="1" x14ac:dyDescent="0.35">
      <c r="A197" s="15"/>
      <c r="B197" s="3" t="s">
        <v>113</v>
      </c>
      <c r="C197" s="3" t="s">
        <v>861</v>
      </c>
      <c r="D197" s="3" t="s">
        <v>1802</v>
      </c>
      <c r="E197" s="3" t="s">
        <v>973</v>
      </c>
      <c r="F197" s="3" t="s">
        <v>3502</v>
      </c>
      <c r="G197" s="3" t="s">
        <v>4923</v>
      </c>
      <c r="H197" s="6">
        <v>15681.232</v>
      </c>
      <c r="I197" s="6">
        <v>159120.77999999997</v>
      </c>
      <c r="J197" s="6">
        <v>46424.9</v>
      </c>
      <c r="K197" s="16" t="s">
        <v>5503</v>
      </c>
      <c r="L197" s="18"/>
    </row>
    <row r="198" spans="1:12" ht="15.75" customHeight="1" x14ac:dyDescent="0.35">
      <c r="A198" s="15"/>
      <c r="B198" s="3" t="s">
        <v>815</v>
      </c>
      <c r="C198" s="3" t="s">
        <v>860</v>
      </c>
      <c r="D198" s="3" t="s">
        <v>2504</v>
      </c>
      <c r="E198" s="3" t="s">
        <v>1650</v>
      </c>
      <c r="F198" s="3" t="s">
        <v>3960</v>
      </c>
      <c r="G198" s="3" t="s">
        <v>4815</v>
      </c>
      <c r="H198" s="6"/>
      <c r="I198" s="6"/>
      <c r="J198" s="6"/>
      <c r="K198" s="16" t="s">
        <v>5459</v>
      </c>
      <c r="L198" s="18"/>
    </row>
    <row r="199" spans="1:12" ht="15.75" customHeight="1" x14ac:dyDescent="0.35">
      <c r="A199" s="15"/>
      <c r="B199" s="3" t="s">
        <v>5833</v>
      </c>
      <c r="C199" s="3" t="s">
        <v>861</v>
      </c>
      <c r="D199" s="3" t="s">
        <v>5834</v>
      </c>
      <c r="E199" s="3" t="s">
        <v>5835</v>
      </c>
      <c r="F199" s="3" t="s">
        <v>4336</v>
      </c>
      <c r="G199" s="3" t="s">
        <v>4845</v>
      </c>
      <c r="H199" s="6"/>
      <c r="I199" s="6"/>
      <c r="J199" s="6"/>
      <c r="K199" s="16" t="s">
        <v>5459</v>
      </c>
      <c r="L199" s="18"/>
    </row>
    <row r="200" spans="1:12" ht="15.75" customHeight="1" x14ac:dyDescent="0.35">
      <c r="A200" s="15"/>
      <c r="B200" s="3" t="s">
        <v>70</v>
      </c>
      <c r="C200" s="3" t="s">
        <v>860</v>
      </c>
      <c r="D200" s="3" t="s">
        <v>1759</v>
      </c>
      <c r="E200" s="3" t="s">
        <v>932</v>
      </c>
      <c r="F200" s="3" t="s">
        <v>5836</v>
      </c>
      <c r="G200" s="3" t="s">
        <v>4913</v>
      </c>
      <c r="H200" s="6">
        <v>17674.559999999998</v>
      </c>
      <c r="I200" s="6">
        <v>53935.44</v>
      </c>
      <c r="J200" s="6">
        <v>52325.93</v>
      </c>
      <c r="K200" s="16" t="s">
        <v>5503</v>
      </c>
      <c r="L200" s="18"/>
    </row>
    <row r="201" spans="1:12" ht="15.75" customHeight="1" x14ac:dyDescent="0.35">
      <c r="A201" s="15"/>
      <c r="B201" s="3" t="s">
        <v>5837</v>
      </c>
      <c r="C201" s="3" t="s">
        <v>860</v>
      </c>
      <c r="D201" s="3" t="s">
        <v>5838</v>
      </c>
      <c r="E201" s="3" t="s">
        <v>5839</v>
      </c>
      <c r="F201" s="3" t="s">
        <v>4489</v>
      </c>
      <c r="G201" s="3" t="s">
        <v>5840</v>
      </c>
      <c r="H201" s="6"/>
      <c r="I201" s="6"/>
      <c r="J201" s="6"/>
      <c r="K201" s="16" t="s">
        <v>5459</v>
      </c>
      <c r="L201" s="18"/>
    </row>
    <row r="202" spans="1:12" ht="15.75" customHeight="1" x14ac:dyDescent="0.35">
      <c r="A202" s="15"/>
      <c r="B202" s="3" t="s">
        <v>644</v>
      </c>
      <c r="C202" s="3" t="s">
        <v>860</v>
      </c>
      <c r="D202" s="3" t="s">
        <v>2333</v>
      </c>
      <c r="E202" s="3" t="s">
        <v>1492</v>
      </c>
      <c r="F202" s="3" t="s">
        <v>5841</v>
      </c>
      <c r="G202" s="3" t="s">
        <v>4047</v>
      </c>
      <c r="H202" s="6"/>
      <c r="I202" s="6"/>
      <c r="J202" s="6"/>
      <c r="K202" s="16" t="s">
        <v>5459</v>
      </c>
      <c r="L202" s="18"/>
    </row>
    <row r="203" spans="1:12" ht="15.75" customHeight="1" x14ac:dyDescent="0.35">
      <c r="A203" s="15"/>
      <c r="B203" s="3" t="s">
        <v>696</v>
      </c>
      <c r="C203" s="3" t="s">
        <v>860</v>
      </c>
      <c r="D203" s="3" t="s">
        <v>2385</v>
      </c>
      <c r="E203" s="3" t="s">
        <v>1538</v>
      </c>
      <c r="F203" s="3" t="s">
        <v>5842</v>
      </c>
      <c r="G203" s="3" t="s">
        <v>4772</v>
      </c>
      <c r="H203" s="6"/>
      <c r="I203" s="6"/>
      <c r="J203" s="6"/>
      <c r="K203" s="16" t="s">
        <v>5459</v>
      </c>
      <c r="L203" s="18"/>
    </row>
    <row r="204" spans="1:12" ht="15.75" customHeight="1" x14ac:dyDescent="0.35">
      <c r="A204" s="15"/>
      <c r="B204" s="3" t="s">
        <v>5843</v>
      </c>
      <c r="C204" s="3" t="s">
        <v>860</v>
      </c>
      <c r="D204" s="3" t="s">
        <v>5844</v>
      </c>
      <c r="E204" s="3" t="s">
        <v>5845</v>
      </c>
      <c r="F204" s="3" t="s">
        <v>4106</v>
      </c>
      <c r="G204" s="3" t="s">
        <v>4799</v>
      </c>
      <c r="H204" s="6"/>
      <c r="I204" s="6"/>
      <c r="J204" s="6"/>
      <c r="K204" s="16" t="s">
        <v>5459</v>
      </c>
      <c r="L204" s="18"/>
    </row>
    <row r="205" spans="1:12" ht="15.75" customHeight="1" x14ac:dyDescent="0.35">
      <c r="A205" s="15"/>
      <c r="B205" s="3" t="s">
        <v>217</v>
      </c>
      <c r="C205" s="3" t="s">
        <v>860</v>
      </c>
      <c r="D205" s="3" t="s">
        <v>1906</v>
      </c>
      <c r="E205" s="3" t="s">
        <v>1075</v>
      </c>
      <c r="F205" s="3" t="s">
        <v>5846</v>
      </c>
      <c r="G205" s="3" t="s">
        <v>5847</v>
      </c>
      <c r="H205" s="6"/>
      <c r="I205" s="6"/>
      <c r="J205" s="6"/>
      <c r="K205" s="16" t="s">
        <v>5459</v>
      </c>
      <c r="L205" s="18"/>
    </row>
    <row r="206" spans="1:12" ht="15.75" customHeight="1" x14ac:dyDescent="0.35">
      <c r="A206" s="15"/>
      <c r="B206" s="3" t="s">
        <v>789</v>
      </c>
      <c r="C206" s="3" t="s">
        <v>861</v>
      </c>
      <c r="D206" s="3" t="s">
        <v>2478</v>
      </c>
      <c r="E206" s="3" t="s">
        <v>1625</v>
      </c>
      <c r="F206" s="3" t="s">
        <v>3953</v>
      </c>
      <c r="G206" s="3" t="s">
        <v>4850</v>
      </c>
      <c r="H206" s="6"/>
      <c r="I206" s="6"/>
      <c r="J206" s="6"/>
      <c r="K206" s="16" t="s">
        <v>5459</v>
      </c>
      <c r="L206" s="18"/>
    </row>
    <row r="207" spans="1:12" ht="15.75" customHeight="1" x14ac:dyDescent="0.35">
      <c r="A207" s="15"/>
      <c r="B207" s="3" t="s">
        <v>679</v>
      </c>
      <c r="C207" s="3" t="s">
        <v>861</v>
      </c>
      <c r="D207" s="3" t="s">
        <v>2368</v>
      </c>
      <c r="E207" s="3" t="s">
        <v>1524</v>
      </c>
      <c r="F207" s="3" t="s">
        <v>3877</v>
      </c>
      <c r="G207" s="3" t="s">
        <v>3873</v>
      </c>
      <c r="H207" s="6"/>
      <c r="I207" s="6"/>
      <c r="J207" s="6"/>
      <c r="K207" s="16" t="s">
        <v>5459</v>
      </c>
      <c r="L207" s="18"/>
    </row>
    <row r="208" spans="1:12" ht="15.75" customHeight="1" x14ac:dyDescent="0.35">
      <c r="A208" s="15"/>
      <c r="B208" s="3" t="s">
        <v>5848</v>
      </c>
      <c r="C208" s="3" t="s">
        <v>861</v>
      </c>
      <c r="D208" s="3" t="s">
        <v>5849</v>
      </c>
      <c r="E208" s="3" t="s">
        <v>5850</v>
      </c>
      <c r="F208" s="3" t="s">
        <v>4052</v>
      </c>
      <c r="G208" s="3" t="s">
        <v>4923</v>
      </c>
      <c r="H208" s="6"/>
      <c r="I208" s="6"/>
      <c r="J208" s="6"/>
      <c r="K208" s="16" t="s">
        <v>5459</v>
      </c>
      <c r="L208" s="18"/>
    </row>
    <row r="209" spans="1:12" ht="15.75" customHeight="1" x14ac:dyDescent="0.35">
      <c r="A209" s="15"/>
      <c r="B209" s="3" t="s">
        <v>5851</v>
      </c>
      <c r="C209" s="3" t="s">
        <v>861</v>
      </c>
      <c r="D209" s="3" t="s">
        <v>5852</v>
      </c>
      <c r="E209" s="3" t="s">
        <v>5853</v>
      </c>
      <c r="F209" s="3" t="s">
        <v>5754</v>
      </c>
      <c r="G209" s="3" t="s">
        <v>4891</v>
      </c>
      <c r="H209" s="6"/>
      <c r="I209" s="6"/>
      <c r="J209" s="6"/>
      <c r="K209" s="16" t="s">
        <v>5459</v>
      </c>
      <c r="L209" s="18"/>
    </row>
    <row r="210" spans="1:12" ht="15.75" customHeight="1" x14ac:dyDescent="0.35">
      <c r="A210" s="15"/>
      <c r="B210" s="3" t="s">
        <v>5854</v>
      </c>
      <c r="C210" s="3" t="s">
        <v>860</v>
      </c>
      <c r="D210" s="3" t="s">
        <v>5855</v>
      </c>
      <c r="E210" s="3" t="s">
        <v>5856</v>
      </c>
      <c r="F210" s="3" t="s">
        <v>4735</v>
      </c>
      <c r="G210" s="3" t="s">
        <v>5857</v>
      </c>
      <c r="H210" s="6"/>
      <c r="I210" s="6"/>
      <c r="J210" s="6"/>
      <c r="K210" s="16" t="s">
        <v>5459</v>
      </c>
      <c r="L210" s="18"/>
    </row>
    <row r="211" spans="1:12" ht="15.75" customHeight="1" x14ac:dyDescent="0.35">
      <c r="A211" s="15"/>
      <c r="B211" s="3" t="s">
        <v>5858</v>
      </c>
      <c r="C211" s="3" t="s">
        <v>860</v>
      </c>
      <c r="D211" s="3" t="s">
        <v>5859</v>
      </c>
      <c r="E211" s="3" t="s">
        <v>5860</v>
      </c>
      <c r="F211" s="3" t="s">
        <v>3873</v>
      </c>
      <c r="G211" s="3" t="s">
        <v>4940</v>
      </c>
      <c r="H211" s="6"/>
      <c r="I211" s="6"/>
      <c r="J211" s="6"/>
      <c r="K211" s="16" t="s">
        <v>5459</v>
      </c>
      <c r="L211" s="18"/>
    </row>
    <row r="212" spans="1:12" ht="15.75" customHeight="1" x14ac:dyDescent="0.35">
      <c r="A212" s="15"/>
      <c r="B212" s="3" t="s">
        <v>4500</v>
      </c>
      <c r="C212" s="3" t="s">
        <v>861</v>
      </c>
      <c r="D212" s="3" t="s">
        <v>4502</v>
      </c>
      <c r="E212" s="3" t="s">
        <v>4503</v>
      </c>
      <c r="F212" s="3" t="s">
        <v>5663</v>
      </c>
      <c r="G212" s="3" t="s">
        <v>5861</v>
      </c>
      <c r="H212" s="6"/>
      <c r="I212" s="6"/>
      <c r="J212" s="6"/>
      <c r="K212" s="16" t="s">
        <v>5459</v>
      </c>
      <c r="L212" s="18"/>
    </row>
    <row r="213" spans="1:12" ht="15.75" customHeight="1" x14ac:dyDescent="0.35">
      <c r="A213" s="15"/>
      <c r="B213" s="3" t="s">
        <v>5862</v>
      </c>
      <c r="C213" s="3" t="s">
        <v>860</v>
      </c>
      <c r="D213" s="3" t="s">
        <v>5863</v>
      </c>
      <c r="E213" s="3" t="s">
        <v>5864</v>
      </c>
      <c r="F213" s="3" t="s">
        <v>4616</v>
      </c>
      <c r="G213" s="3" t="s">
        <v>4932</v>
      </c>
      <c r="H213" s="6"/>
      <c r="I213" s="6"/>
      <c r="J213" s="6"/>
      <c r="K213" s="16" t="s">
        <v>5455</v>
      </c>
      <c r="L213" s="18"/>
    </row>
    <row r="214" spans="1:12" ht="15.75" customHeight="1" x14ac:dyDescent="0.35">
      <c r="A214" s="15"/>
      <c r="B214" s="3" t="s">
        <v>5865</v>
      </c>
      <c r="C214" s="3" t="s">
        <v>861</v>
      </c>
      <c r="D214" s="3" t="s">
        <v>5866</v>
      </c>
      <c r="E214" s="3" t="s">
        <v>5867</v>
      </c>
      <c r="F214" s="3" t="s">
        <v>5832</v>
      </c>
      <c r="G214" s="3" t="s">
        <v>4940</v>
      </c>
      <c r="H214" s="6"/>
      <c r="I214" s="6"/>
      <c r="J214" s="6"/>
      <c r="K214" s="16" t="s">
        <v>5459</v>
      </c>
      <c r="L214" s="18"/>
    </row>
    <row r="215" spans="1:12" ht="15.75" customHeight="1" x14ac:dyDescent="0.35">
      <c r="A215" s="15"/>
      <c r="B215" s="3" t="s">
        <v>5868</v>
      </c>
      <c r="C215" s="3" t="s">
        <v>861</v>
      </c>
      <c r="D215" s="3" t="s">
        <v>5869</v>
      </c>
      <c r="E215" s="3" t="s">
        <v>5870</v>
      </c>
      <c r="F215" s="3" t="s">
        <v>4552</v>
      </c>
      <c r="G215" s="3" t="s">
        <v>5857</v>
      </c>
      <c r="H215" s="6"/>
      <c r="I215" s="6"/>
      <c r="J215" s="6"/>
      <c r="K215" s="16" t="s">
        <v>5459</v>
      </c>
      <c r="L215" s="18"/>
    </row>
    <row r="216" spans="1:12" ht="15.75" customHeight="1" x14ac:dyDescent="0.35">
      <c r="A216" s="15"/>
      <c r="B216" s="3" t="s">
        <v>5871</v>
      </c>
      <c r="C216" s="3" t="s">
        <v>861</v>
      </c>
      <c r="D216" s="3" t="s">
        <v>5872</v>
      </c>
      <c r="E216" s="3" t="s">
        <v>5873</v>
      </c>
      <c r="F216" s="3" t="s">
        <v>4484</v>
      </c>
      <c r="G216" s="3" t="s">
        <v>4940</v>
      </c>
      <c r="H216" s="6"/>
      <c r="I216" s="6"/>
      <c r="J216" s="6"/>
      <c r="K216" s="16" t="s">
        <v>5459</v>
      </c>
      <c r="L216" s="18"/>
    </row>
    <row r="217" spans="1:12" ht="15.75" customHeight="1" x14ac:dyDescent="0.35">
      <c r="A217" s="15"/>
      <c r="B217" s="3" t="s">
        <v>5874</v>
      </c>
      <c r="C217" s="3" t="s">
        <v>860</v>
      </c>
      <c r="D217" s="3" t="s">
        <v>5875</v>
      </c>
      <c r="E217" s="3" t="s">
        <v>5876</v>
      </c>
      <c r="F217" s="3" t="s">
        <v>4552</v>
      </c>
      <c r="G217" s="3" t="s">
        <v>5877</v>
      </c>
      <c r="H217" s="6"/>
      <c r="I217" s="6"/>
      <c r="J217" s="6"/>
      <c r="K217" s="16" t="s">
        <v>5459</v>
      </c>
      <c r="L217" s="18"/>
    </row>
    <row r="218" spans="1:12" ht="15.75" customHeight="1" x14ac:dyDescent="0.35">
      <c r="A218" s="15"/>
      <c r="B218" s="3" t="s">
        <v>5878</v>
      </c>
      <c r="C218" s="3" t="s">
        <v>861</v>
      </c>
      <c r="D218" s="3" t="s">
        <v>5879</v>
      </c>
      <c r="E218" s="3" t="s">
        <v>5880</v>
      </c>
      <c r="F218" s="3" t="s">
        <v>3828</v>
      </c>
      <c r="G218" s="3" t="s">
        <v>5857</v>
      </c>
      <c r="H218" s="6"/>
      <c r="I218" s="6"/>
      <c r="J218" s="6"/>
      <c r="K218" s="16" t="s">
        <v>5459</v>
      </c>
      <c r="L218" s="18"/>
    </row>
    <row r="219" spans="1:12" ht="15.75" customHeight="1" x14ac:dyDescent="0.35">
      <c r="A219" s="15"/>
      <c r="B219" s="3" t="s">
        <v>801</v>
      </c>
      <c r="C219" s="3" t="s">
        <v>861</v>
      </c>
      <c r="D219" s="3" t="s">
        <v>2490</v>
      </c>
      <c r="E219" s="3" t="s">
        <v>1637</v>
      </c>
      <c r="F219" s="3" t="s">
        <v>5881</v>
      </c>
      <c r="G219" s="3" t="s">
        <v>5882</v>
      </c>
      <c r="H219" s="6"/>
      <c r="I219" s="6"/>
      <c r="J219" s="6"/>
      <c r="K219" s="16" t="s">
        <v>5459</v>
      </c>
      <c r="L219" s="18"/>
    </row>
    <row r="220" spans="1:12" ht="15.75" customHeight="1" x14ac:dyDescent="0.35">
      <c r="A220" s="15"/>
      <c r="B220" s="3" t="s">
        <v>5883</v>
      </c>
      <c r="C220" s="3" t="s">
        <v>860</v>
      </c>
      <c r="D220" s="3" t="s">
        <v>5884</v>
      </c>
      <c r="E220" s="3" t="s">
        <v>5885</v>
      </c>
      <c r="F220" s="3" t="s">
        <v>4642</v>
      </c>
      <c r="G220" s="3" t="s">
        <v>4991</v>
      </c>
      <c r="H220" s="6"/>
      <c r="I220" s="6"/>
      <c r="J220" s="6"/>
      <c r="K220" s="16" t="s">
        <v>5455</v>
      </c>
      <c r="L220" s="18"/>
    </row>
    <row r="221" spans="1:12" ht="15.75" customHeight="1" x14ac:dyDescent="0.35">
      <c r="A221" s="15"/>
      <c r="B221" s="3" t="s">
        <v>5886</v>
      </c>
      <c r="C221" s="3" t="s">
        <v>861</v>
      </c>
      <c r="D221" s="3" t="s">
        <v>5887</v>
      </c>
      <c r="E221" s="3" t="s">
        <v>5888</v>
      </c>
      <c r="F221" s="3" t="s">
        <v>4616</v>
      </c>
      <c r="G221" s="3" t="s">
        <v>5889</v>
      </c>
      <c r="H221" s="6"/>
      <c r="I221" s="6"/>
      <c r="J221" s="6"/>
      <c r="K221" s="16" t="s">
        <v>5459</v>
      </c>
      <c r="L221" s="18"/>
    </row>
    <row r="222" spans="1:12" ht="15.75" customHeight="1" x14ac:dyDescent="0.35">
      <c r="A222" s="15"/>
      <c r="B222" s="3" t="s">
        <v>5890</v>
      </c>
      <c r="C222" s="3" t="s">
        <v>860</v>
      </c>
      <c r="D222" s="3" t="s">
        <v>5891</v>
      </c>
      <c r="E222" s="3" t="s">
        <v>5892</v>
      </c>
      <c r="F222" s="3" t="s">
        <v>5508</v>
      </c>
      <c r="G222" s="3" t="s">
        <v>5893</v>
      </c>
      <c r="H222" s="6"/>
      <c r="I222" s="6"/>
      <c r="J222" s="6"/>
      <c r="K222" s="16" t="s">
        <v>5894</v>
      </c>
      <c r="L222" s="18"/>
    </row>
    <row r="223" spans="1:12" ht="15.75" customHeight="1" x14ac:dyDescent="0.35">
      <c r="A223" s="15"/>
      <c r="B223" s="3" t="s">
        <v>5895</v>
      </c>
      <c r="C223" s="3" t="s">
        <v>861</v>
      </c>
      <c r="D223" s="3" t="s">
        <v>5896</v>
      </c>
      <c r="E223" s="3" t="s">
        <v>5897</v>
      </c>
      <c r="F223" s="3" t="s">
        <v>4896</v>
      </c>
      <c r="G223" s="3" t="s">
        <v>4957</v>
      </c>
      <c r="H223" s="6"/>
      <c r="I223" s="6"/>
      <c r="J223" s="6"/>
      <c r="K223" s="16" t="s">
        <v>5459</v>
      </c>
      <c r="L223" s="18"/>
    </row>
    <row r="224" spans="1:12" ht="15.75" customHeight="1" x14ac:dyDescent="0.35">
      <c r="A224" s="15"/>
      <c r="B224" s="3" t="s">
        <v>694</v>
      </c>
      <c r="C224" s="3" t="s">
        <v>861</v>
      </c>
      <c r="D224" s="3" t="s">
        <v>2383</v>
      </c>
      <c r="E224" s="3" t="s">
        <v>1536</v>
      </c>
      <c r="F224" s="3" t="s">
        <v>5898</v>
      </c>
      <c r="G224" s="3" t="s">
        <v>5899</v>
      </c>
      <c r="H224" s="6">
        <v>7633.1359999999995</v>
      </c>
      <c r="I224" s="6">
        <v>0</v>
      </c>
      <c r="J224" s="6">
        <v>7532.57</v>
      </c>
      <c r="K224" s="16" t="s">
        <v>5503</v>
      </c>
      <c r="L224" s="18"/>
    </row>
    <row r="225" spans="1:12" ht="15.75" customHeight="1" x14ac:dyDescent="0.35">
      <c r="A225" s="15"/>
      <c r="B225" s="3" t="s">
        <v>5900</v>
      </c>
      <c r="C225" s="3" t="s">
        <v>861</v>
      </c>
      <c r="D225" s="3" t="s">
        <v>5901</v>
      </c>
      <c r="E225" s="3" t="s">
        <v>5902</v>
      </c>
      <c r="F225" s="3" t="s">
        <v>4489</v>
      </c>
      <c r="G225" s="3" t="s">
        <v>5899</v>
      </c>
      <c r="H225" s="6"/>
      <c r="I225" s="6"/>
      <c r="J225" s="6"/>
      <c r="K225" s="16" t="s">
        <v>5459</v>
      </c>
      <c r="L225" s="18"/>
    </row>
    <row r="226" spans="1:12" ht="15.75" customHeight="1" x14ac:dyDescent="0.35">
      <c r="A226" s="15"/>
      <c r="B226" s="3" t="s">
        <v>5903</v>
      </c>
      <c r="C226" s="3" t="s">
        <v>861</v>
      </c>
      <c r="D226" s="3" t="s">
        <v>5904</v>
      </c>
      <c r="E226" s="3" t="s">
        <v>1193</v>
      </c>
      <c r="F226" s="3" t="s">
        <v>4520</v>
      </c>
      <c r="G226" s="3" t="s">
        <v>5882</v>
      </c>
      <c r="H226" s="6"/>
      <c r="I226" s="6"/>
      <c r="J226" s="6"/>
      <c r="K226" s="16" t="s">
        <v>5459</v>
      </c>
      <c r="L226" s="18"/>
    </row>
    <row r="227" spans="1:12" ht="15.75" customHeight="1" x14ac:dyDescent="0.35">
      <c r="A227" s="15"/>
      <c r="B227" s="3" t="s">
        <v>5905</v>
      </c>
      <c r="C227" s="3" t="s">
        <v>861</v>
      </c>
      <c r="D227" s="3" t="s">
        <v>5906</v>
      </c>
      <c r="E227" s="3" t="s">
        <v>5907</v>
      </c>
      <c r="F227" s="3" t="s">
        <v>5508</v>
      </c>
      <c r="G227" s="3" t="s">
        <v>5908</v>
      </c>
      <c r="H227" s="6"/>
      <c r="I227" s="6"/>
      <c r="J227" s="6"/>
      <c r="K227" s="16" t="s">
        <v>5459</v>
      </c>
      <c r="L227" s="18"/>
    </row>
    <row r="228" spans="1:12" ht="15.75" customHeight="1" x14ac:dyDescent="0.35">
      <c r="A228" s="15"/>
      <c r="B228" s="3" t="s">
        <v>5909</v>
      </c>
      <c r="C228" s="3" t="s">
        <v>860</v>
      </c>
      <c r="D228" s="3" t="s">
        <v>5910</v>
      </c>
      <c r="E228" s="3" t="s">
        <v>5911</v>
      </c>
      <c r="F228" s="3" t="s">
        <v>4159</v>
      </c>
      <c r="G228" s="3" t="s">
        <v>5908</v>
      </c>
      <c r="H228" s="6">
        <v>10475.535999999998</v>
      </c>
      <c r="I228" s="6">
        <v>9861.0299999999988</v>
      </c>
      <c r="J228" s="6">
        <v>31013.260000000002</v>
      </c>
      <c r="K228" s="16" t="s">
        <v>5503</v>
      </c>
      <c r="L228" s="18"/>
    </row>
    <row r="229" spans="1:12" ht="15.75" customHeight="1" x14ac:dyDescent="0.35">
      <c r="A229" s="15"/>
      <c r="B229" s="3" t="s">
        <v>5912</v>
      </c>
      <c r="C229" s="3" t="s">
        <v>861</v>
      </c>
      <c r="D229" s="3" t="s">
        <v>1772</v>
      </c>
      <c r="E229" s="3" t="s">
        <v>944</v>
      </c>
      <c r="F229" s="3" t="s">
        <v>4694</v>
      </c>
      <c r="G229" s="3" t="s">
        <v>5055</v>
      </c>
      <c r="H229" s="6"/>
      <c r="I229" s="6"/>
      <c r="J229" s="6"/>
      <c r="K229" s="16" t="s">
        <v>5459</v>
      </c>
      <c r="L229" s="18"/>
    </row>
    <row r="230" spans="1:12" ht="15.75" customHeight="1" x14ac:dyDescent="0.35">
      <c r="A230" s="15"/>
      <c r="B230" s="3" t="s">
        <v>5913</v>
      </c>
      <c r="C230" s="3" t="s">
        <v>861</v>
      </c>
      <c r="D230" s="3" t="s">
        <v>5914</v>
      </c>
      <c r="E230" s="3" t="s">
        <v>5915</v>
      </c>
      <c r="F230" s="3" t="s">
        <v>4991</v>
      </c>
      <c r="G230" s="3" t="s">
        <v>5077</v>
      </c>
      <c r="H230" s="6"/>
      <c r="I230" s="6"/>
      <c r="J230" s="6"/>
      <c r="K230" s="16" t="s">
        <v>5459</v>
      </c>
      <c r="L230" s="18"/>
    </row>
    <row r="231" spans="1:12" ht="15.75" customHeight="1" x14ac:dyDescent="0.35">
      <c r="A231" s="15"/>
      <c r="B231" s="3" t="s">
        <v>375</v>
      </c>
      <c r="C231" s="3" t="s">
        <v>861</v>
      </c>
      <c r="D231" s="3" t="s">
        <v>2064</v>
      </c>
      <c r="E231" s="3" t="s">
        <v>1230</v>
      </c>
      <c r="F231" s="3" t="s">
        <v>5916</v>
      </c>
      <c r="G231" s="3" t="s">
        <v>5908</v>
      </c>
      <c r="H231" s="6"/>
      <c r="I231" s="6"/>
      <c r="J231" s="6"/>
      <c r="K231" s="16" t="s">
        <v>5648</v>
      </c>
      <c r="L231" s="18"/>
    </row>
    <row r="232" spans="1:12" ht="15.75" customHeight="1" x14ac:dyDescent="0.35">
      <c r="A232" s="15"/>
      <c r="B232" s="3" t="s">
        <v>5917</v>
      </c>
      <c r="C232" s="3" t="s">
        <v>861</v>
      </c>
      <c r="D232" s="3" t="s">
        <v>5918</v>
      </c>
      <c r="E232" s="3" t="s">
        <v>5919</v>
      </c>
      <c r="F232" s="3" t="s">
        <v>5602</v>
      </c>
      <c r="G232" s="3" t="s">
        <v>5908</v>
      </c>
      <c r="H232" s="6"/>
      <c r="I232" s="6"/>
      <c r="J232" s="6"/>
      <c r="K232" s="16" t="s">
        <v>5459</v>
      </c>
      <c r="L232" s="18"/>
    </row>
    <row r="233" spans="1:12" ht="15.75" customHeight="1" x14ac:dyDescent="0.35">
      <c r="A233" s="15"/>
      <c r="B233" s="3" t="s">
        <v>5920</v>
      </c>
      <c r="C233" s="3" t="s">
        <v>860</v>
      </c>
      <c r="D233" s="3" t="s">
        <v>5921</v>
      </c>
      <c r="E233" s="3" t="s">
        <v>1661</v>
      </c>
      <c r="F233" s="3" t="s">
        <v>4962</v>
      </c>
      <c r="G233" s="3" t="s">
        <v>5922</v>
      </c>
      <c r="H233" s="6"/>
      <c r="I233" s="6"/>
      <c r="J233" s="6"/>
      <c r="K233" s="16" t="s">
        <v>5459</v>
      </c>
      <c r="L233" s="18"/>
    </row>
    <row r="234" spans="1:12" ht="15.75" customHeight="1" x14ac:dyDescent="0.35">
      <c r="A234" s="15"/>
      <c r="B234" s="3" t="s">
        <v>5923</v>
      </c>
      <c r="C234" s="3" t="s">
        <v>861</v>
      </c>
      <c r="D234" s="3" t="s">
        <v>5924</v>
      </c>
      <c r="E234" s="3" t="s">
        <v>5925</v>
      </c>
      <c r="F234" s="3" t="s">
        <v>5889</v>
      </c>
      <c r="G234" s="3" t="s">
        <v>3952</v>
      </c>
      <c r="H234" s="6"/>
      <c r="I234" s="6"/>
      <c r="J234" s="6"/>
      <c r="K234" s="16" t="s">
        <v>5459</v>
      </c>
      <c r="L234" s="18"/>
    </row>
    <row r="235" spans="1:12" ht="15.75" customHeight="1" x14ac:dyDescent="0.35">
      <c r="A235" s="15"/>
      <c r="B235" s="3" t="s">
        <v>5926</v>
      </c>
      <c r="C235" s="3" t="s">
        <v>860</v>
      </c>
      <c r="D235" s="3" t="s">
        <v>5927</v>
      </c>
      <c r="E235" s="3" t="s">
        <v>5928</v>
      </c>
      <c r="F235" s="3" t="s">
        <v>4694</v>
      </c>
      <c r="G235" s="3" t="s">
        <v>5929</v>
      </c>
      <c r="H235" s="6"/>
      <c r="I235" s="6"/>
      <c r="J235" s="6"/>
      <c r="K235" s="16" t="s">
        <v>5459</v>
      </c>
      <c r="L235" s="18"/>
    </row>
    <row r="236" spans="1:12" ht="15.75" customHeight="1" x14ac:dyDescent="0.35">
      <c r="A236" s="15"/>
      <c r="B236" s="3" t="s">
        <v>5930</v>
      </c>
      <c r="C236" s="3" t="s">
        <v>860</v>
      </c>
      <c r="D236" s="3" t="s">
        <v>5931</v>
      </c>
      <c r="E236" s="3" t="s">
        <v>5932</v>
      </c>
      <c r="F236" s="3" t="s">
        <v>4850</v>
      </c>
      <c r="G236" s="3" t="s">
        <v>5117</v>
      </c>
      <c r="H236" s="6"/>
      <c r="I236" s="6"/>
      <c r="J236" s="6"/>
      <c r="K236" s="16" t="s">
        <v>5933</v>
      </c>
      <c r="L236" s="18"/>
    </row>
    <row r="237" spans="1:12" ht="15.75" customHeight="1" x14ac:dyDescent="0.35">
      <c r="A237" s="15"/>
      <c r="B237" s="3" t="s">
        <v>5934</v>
      </c>
      <c r="C237" s="3" t="s">
        <v>861</v>
      </c>
      <c r="D237" s="3" t="s">
        <v>5935</v>
      </c>
      <c r="E237" s="3" t="s">
        <v>5936</v>
      </c>
      <c r="F237" s="3" t="s">
        <v>4863</v>
      </c>
      <c r="G237" s="3" t="s">
        <v>5899</v>
      </c>
      <c r="H237" s="6"/>
      <c r="I237" s="6"/>
      <c r="J237" s="6"/>
      <c r="K237" s="16" t="s">
        <v>5459</v>
      </c>
      <c r="L237" s="18"/>
    </row>
    <row r="238" spans="1:12" ht="15.75" customHeight="1" x14ac:dyDescent="0.35">
      <c r="A238" s="15"/>
      <c r="B238" s="3" t="s">
        <v>5937</v>
      </c>
      <c r="C238" s="3" t="s">
        <v>860</v>
      </c>
      <c r="D238" s="3" t="s">
        <v>5938</v>
      </c>
      <c r="E238" s="3" t="s">
        <v>5939</v>
      </c>
      <c r="F238" s="3" t="s">
        <v>5026</v>
      </c>
      <c r="G238" s="3" t="s">
        <v>5165</v>
      </c>
      <c r="H238" s="6"/>
      <c r="I238" s="6"/>
      <c r="J238" s="6"/>
      <c r="K238" s="16" t="s">
        <v>5455</v>
      </c>
      <c r="L238" s="18"/>
    </row>
    <row r="239" spans="1:12" ht="15.75" customHeight="1" x14ac:dyDescent="0.35">
      <c r="A239" s="15"/>
      <c r="B239" s="3" t="s">
        <v>293</v>
      </c>
      <c r="C239" s="3" t="s">
        <v>860</v>
      </c>
      <c r="D239" s="3" t="s">
        <v>1982</v>
      </c>
      <c r="E239" s="3" t="s">
        <v>1151</v>
      </c>
      <c r="F239" s="3" t="s">
        <v>5940</v>
      </c>
      <c r="G239" s="3" t="s">
        <v>5899</v>
      </c>
      <c r="H239" s="6">
        <v>14551.871999999999</v>
      </c>
      <c r="I239" s="6">
        <v>19495.850000000002</v>
      </c>
      <c r="J239" s="6">
        <v>43081.59</v>
      </c>
      <c r="K239" s="16" t="s">
        <v>5503</v>
      </c>
      <c r="L239" s="18"/>
    </row>
    <row r="240" spans="1:12" ht="15.75" customHeight="1" x14ac:dyDescent="0.35">
      <c r="A240" s="15"/>
      <c r="B240" s="3" t="s">
        <v>395</v>
      </c>
      <c r="C240" s="3" t="s">
        <v>860</v>
      </c>
      <c r="D240" s="3" t="s">
        <v>2084</v>
      </c>
      <c r="E240" s="3" t="s">
        <v>1249</v>
      </c>
      <c r="F240" s="3" t="s">
        <v>5941</v>
      </c>
      <c r="G240" s="3" t="s">
        <v>5899</v>
      </c>
      <c r="H240" s="6">
        <v>7413.3440000000001</v>
      </c>
      <c r="I240" s="6">
        <v>38311.31</v>
      </c>
      <c r="J240" s="6">
        <v>21947.129999999997</v>
      </c>
      <c r="K240" s="16" t="s">
        <v>5503</v>
      </c>
      <c r="L240" s="18"/>
    </row>
    <row r="241" spans="1:12" ht="15.75" customHeight="1" x14ac:dyDescent="0.35">
      <c r="A241" s="15"/>
      <c r="B241" s="3" t="s">
        <v>5942</v>
      </c>
      <c r="C241" s="3" t="s">
        <v>860</v>
      </c>
      <c r="D241" s="3" t="s">
        <v>5943</v>
      </c>
      <c r="E241" s="3" t="s">
        <v>5944</v>
      </c>
      <c r="F241" s="3" t="s">
        <v>4607</v>
      </c>
      <c r="G241" s="3" t="s">
        <v>5945</v>
      </c>
      <c r="H241" s="6"/>
      <c r="I241" s="6"/>
      <c r="J241" s="6"/>
      <c r="K241" s="16" t="s">
        <v>5459</v>
      </c>
      <c r="L241" s="18"/>
    </row>
    <row r="242" spans="1:12" ht="15.75" customHeight="1" x14ac:dyDescent="0.35">
      <c r="A242" s="15"/>
      <c r="B242" s="3" t="s">
        <v>689</v>
      </c>
      <c r="C242" s="3" t="s">
        <v>861</v>
      </c>
      <c r="D242" s="3" t="s">
        <v>2378</v>
      </c>
      <c r="E242" s="3" t="s">
        <v>1532</v>
      </c>
      <c r="F242" s="3" t="s">
        <v>5946</v>
      </c>
      <c r="G242" s="3" t="s">
        <v>5039</v>
      </c>
      <c r="H242" s="6"/>
      <c r="I242" s="6"/>
      <c r="J242" s="6"/>
      <c r="K242" s="16" t="s">
        <v>5459</v>
      </c>
      <c r="L242" s="18"/>
    </row>
    <row r="243" spans="1:12" ht="15.75" customHeight="1" x14ac:dyDescent="0.35">
      <c r="A243" s="15"/>
      <c r="B243" s="3" t="s">
        <v>274</v>
      </c>
      <c r="C243" s="3" t="s">
        <v>861</v>
      </c>
      <c r="D243" s="3" t="s">
        <v>1963</v>
      </c>
      <c r="E243" s="3" t="s">
        <v>1132</v>
      </c>
      <c r="F243" s="3" t="s">
        <v>3616</v>
      </c>
      <c r="G243" s="3" t="s">
        <v>5230</v>
      </c>
      <c r="H243" s="6">
        <v>7634.96</v>
      </c>
      <c r="I243" s="6">
        <v>55238.87</v>
      </c>
      <c r="J243" s="6">
        <v>22603.08</v>
      </c>
      <c r="K243" s="16" t="s">
        <v>5503</v>
      </c>
      <c r="L243" s="18"/>
    </row>
    <row r="244" spans="1:12" ht="15.75" customHeight="1" x14ac:dyDescent="0.35">
      <c r="A244" s="15"/>
      <c r="B244" s="3" t="s">
        <v>363</v>
      </c>
      <c r="C244" s="3" t="s">
        <v>861</v>
      </c>
      <c r="D244" s="3" t="s">
        <v>2052</v>
      </c>
      <c r="E244" s="3" t="s">
        <v>1219</v>
      </c>
      <c r="F244" s="3" t="s">
        <v>5947</v>
      </c>
      <c r="G244" s="3" t="s">
        <v>5235</v>
      </c>
      <c r="H244" s="6">
        <v>5632.2079999999996</v>
      </c>
      <c r="I244" s="6">
        <v>34927.83</v>
      </c>
      <c r="J244" s="6">
        <v>16674.05</v>
      </c>
      <c r="K244" s="16" t="s">
        <v>5503</v>
      </c>
      <c r="L244" s="18"/>
    </row>
    <row r="245" spans="1:12" ht="15.75" customHeight="1" x14ac:dyDescent="0.35">
      <c r="A245" s="15"/>
      <c r="B245" s="3" t="s">
        <v>5948</v>
      </c>
      <c r="C245" s="3" t="s">
        <v>861</v>
      </c>
      <c r="D245" s="3" t="s">
        <v>5949</v>
      </c>
      <c r="E245" s="3" t="s">
        <v>5950</v>
      </c>
      <c r="F245" s="3" t="s">
        <v>4552</v>
      </c>
      <c r="G245" s="3" t="s">
        <v>4891</v>
      </c>
      <c r="H245" s="6"/>
      <c r="I245" s="6"/>
      <c r="J245" s="6"/>
      <c r="K245" s="16" t="s">
        <v>5503</v>
      </c>
      <c r="L245" s="18"/>
    </row>
    <row r="246" spans="1:12" ht="15.75" customHeight="1" x14ac:dyDescent="0.35">
      <c r="A246" s="15"/>
      <c r="B246" s="3" t="s">
        <v>126</v>
      </c>
      <c r="C246" s="3" t="s">
        <v>860</v>
      </c>
      <c r="D246" s="3" t="s">
        <v>1815</v>
      </c>
      <c r="E246" s="3" t="s">
        <v>986</v>
      </c>
      <c r="F246" s="3" t="s">
        <v>5951</v>
      </c>
      <c r="G246" s="3" t="s">
        <v>5952</v>
      </c>
      <c r="H246" s="6"/>
      <c r="I246" s="6"/>
      <c r="J246" s="6"/>
      <c r="K246" s="16" t="s">
        <v>5459</v>
      </c>
      <c r="L246" s="18"/>
    </row>
    <row r="247" spans="1:12" ht="15.75" customHeight="1" x14ac:dyDescent="0.35">
      <c r="A247" s="15"/>
      <c r="B247" s="3" t="s">
        <v>5953</v>
      </c>
      <c r="C247" s="3" t="s">
        <v>861</v>
      </c>
      <c r="D247" s="3" t="s">
        <v>5954</v>
      </c>
      <c r="E247" s="3" t="s">
        <v>5955</v>
      </c>
      <c r="F247" s="3" t="s">
        <v>3554</v>
      </c>
      <c r="G247" s="3" t="s">
        <v>4316</v>
      </c>
      <c r="H247" s="6"/>
      <c r="I247" s="6"/>
      <c r="J247" s="6"/>
      <c r="K247" s="16" t="s">
        <v>5459</v>
      </c>
      <c r="L247" s="18"/>
    </row>
    <row r="248" spans="1:12" ht="15.75" customHeight="1" x14ac:dyDescent="0.35">
      <c r="A248" s="15"/>
      <c r="B248" s="3" t="s">
        <v>5956</v>
      </c>
      <c r="C248" s="3" t="s">
        <v>861</v>
      </c>
      <c r="D248" s="3" t="s">
        <v>5957</v>
      </c>
      <c r="E248" s="3" t="s">
        <v>1532</v>
      </c>
      <c r="F248" s="3" t="s">
        <v>3823</v>
      </c>
      <c r="G248" s="3" t="s">
        <v>5122</v>
      </c>
      <c r="H248" s="6"/>
      <c r="I248" s="6"/>
      <c r="J248" s="6"/>
      <c r="K248" s="16" t="s">
        <v>5459</v>
      </c>
      <c r="L248" s="18"/>
    </row>
    <row r="249" spans="1:12" ht="15.75" customHeight="1" x14ac:dyDescent="0.35">
      <c r="A249" s="15"/>
      <c r="B249" s="3" t="s">
        <v>677</v>
      </c>
      <c r="C249" s="3" t="s">
        <v>861</v>
      </c>
      <c r="D249" s="3" t="s">
        <v>2366</v>
      </c>
      <c r="E249" s="3" t="s">
        <v>1522</v>
      </c>
      <c r="F249" s="3" t="s">
        <v>3877</v>
      </c>
      <c r="G249" s="3" t="s">
        <v>5173</v>
      </c>
      <c r="H249" s="6"/>
      <c r="I249" s="6"/>
      <c r="J249" s="6"/>
      <c r="K249" s="16" t="s">
        <v>5459</v>
      </c>
      <c r="L249" s="18"/>
    </row>
    <row r="250" spans="1:12" ht="15.75" customHeight="1" x14ac:dyDescent="0.35">
      <c r="A250" s="15"/>
      <c r="B250" s="3" t="s">
        <v>406</v>
      </c>
      <c r="C250" s="3" t="s">
        <v>861</v>
      </c>
      <c r="D250" s="3" t="s">
        <v>2095</v>
      </c>
      <c r="E250" s="3" t="s">
        <v>1260</v>
      </c>
      <c r="F250" s="3" t="s">
        <v>5958</v>
      </c>
      <c r="G250" s="3" t="s">
        <v>5117</v>
      </c>
      <c r="H250" s="6"/>
      <c r="I250" s="6"/>
      <c r="J250" s="6"/>
      <c r="K250" s="16" t="s">
        <v>5459</v>
      </c>
      <c r="L250" s="18"/>
    </row>
    <row r="251" spans="1:12" ht="15.75" customHeight="1" x14ac:dyDescent="0.35">
      <c r="A251" s="15"/>
      <c r="B251" s="3" t="s">
        <v>5959</v>
      </c>
      <c r="C251" s="3" t="s">
        <v>861</v>
      </c>
      <c r="D251" s="3" t="s">
        <v>5960</v>
      </c>
      <c r="E251" s="3" t="s">
        <v>5961</v>
      </c>
      <c r="F251" s="3" t="s">
        <v>4694</v>
      </c>
      <c r="G251" s="3" t="s">
        <v>5945</v>
      </c>
      <c r="H251" s="6"/>
      <c r="I251" s="6"/>
      <c r="J251" s="6"/>
      <c r="K251" s="16" t="s">
        <v>5459</v>
      </c>
      <c r="L251" s="18"/>
    </row>
    <row r="252" spans="1:12" ht="15.75" customHeight="1" x14ac:dyDescent="0.35">
      <c r="A252" s="15"/>
      <c r="B252" s="3" t="s">
        <v>5962</v>
      </c>
      <c r="C252" s="3" t="s">
        <v>860</v>
      </c>
      <c r="D252" s="3" t="s">
        <v>5963</v>
      </c>
      <c r="E252" s="3" t="s">
        <v>5964</v>
      </c>
      <c r="F252" s="3" t="s">
        <v>5965</v>
      </c>
      <c r="G252" s="3" t="s">
        <v>5966</v>
      </c>
      <c r="H252" s="6"/>
      <c r="I252" s="6">
        <v>22453.18</v>
      </c>
      <c r="J252" s="6">
        <v>0</v>
      </c>
      <c r="K252" s="16" t="s">
        <v>5967</v>
      </c>
      <c r="L252" s="18"/>
    </row>
    <row r="253" spans="1:12" ht="15.75" customHeight="1" x14ac:dyDescent="0.35">
      <c r="A253" s="15"/>
      <c r="B253" s="57" t="s">
        <v>5968</v>
      </c>
      <c r="C253" s="3" t="s">
        <v>860</v>
      </c>
      <c r="D253" s="3" t="s">
        <v>5969</v>
      </c>
      <c r="E253" s="3" t="s">
        <v>5970</v>
      </c>
      <c r="F253" s="3" t="s">
        <v>4316</v>
      </c>
      <c r="G253" s="3" t="s">
        <v>5235</v>
      </c>
      <c r="H253" s="6"/>
      <c r="I253" s="6"/>
      <c r="J253" s="6"/>
      <c r="K253" s="16" t="s">
        <v>5459</v>
      </c>
      <c r="L253" s="18"/>
    </row>
    <row r="254" spans="1:12" ht="15.75" customHeight="1" x14ac:dyDescent="0.35">
      <c r="A254" s="15"/>
      <c r="B254" s="3" t="s">
        <v>5971</v>
      </c>
      <c r="C254" s="3" t="s">
        <v>861</v>
      </c>
      <c r="D254" s="3" t="s">
        <v>5972</v>
      </c>
      <c r="E254" s="3" t="s">
        <v>5973</v>
      </c>
      <c r="F254" s="3" t="s">
        <v>4316</v>
      </c>
      <c r="G254" s="3" t="s">
        <v>5248</v>
      </c>
      <c r="H254" s="6"/>
      <c r="I254" s="6"/>
      <c r="J254" s="6"/>
      <c r="K254" s="16" t="s">
        <v>5459</v>
      </c>
      <c r="L254" s="18"/>
    </row>
    <row r="255" spans="1:12" ht="15.75" customHeight="1" x14ac:dyDescent="0.35">
      <c r="A255" s="15"/>
      <c r="B255" s="3" t="s">
        <v>5974</v>
      </c>
      <c r="C255" s="3" t="s">
        <v>861</v>
      </c>
      <c r="D255" s="3" t="s">
        <v>5975</v>
      </c>
      <c r="E255" s="3" t="s">
        <v>5976</v>
      </c>
      <c r="F255" s="3" t="s">
        <v>3947</v>
      </c>
      <c r="G255" s="3" t="s">
        <v>5977</v>
      </c>
      <c r="H255" s="6"/>
      <c r="I255" s="6"/>
      <c r="J255" s="6"/>
      <c r="K255" s="16" t="s">
        <v>5459</v>
      </c>
      <c r="L255" s="18"/>
    </row>
    <row r="256" spans="1:12" ht="15.75" customHeight="1" x14ac:dyDescent="0.35">
      <c r="A256" s="15"/>
      <c r="B256" s="3" t="s">
        <v>5978</v>
      </c>
      <c r="C256" s="3" t="s">
        <v>860</v>
      </c>
      <c r="D256" s="3" t="s">
        <v>5979</v>
      </c>
      <c r="E256" s="3" t="s">
        <v>4823</v>
      </c>
      <c r="F256" s="3" t="s">
        <v>4676</v>
      </c>
      <c r="G256" s="3" t="s">
        <v>5980</v>
      </c>
      <c r="H256" s="6"/>
      <c r="I256" s="6"/>
      <c r="J256" s="6"/>
      <c r="K256" s="16" t="s">
        <v>5459</v>
      </c>
      <c r="L256" s="18"/>
    </row>
    <row r="257" spans="1:12" ht="15.75" customHeight="1" x14ac:dyDescent="0.35">
      <c r="A257" s="15"/>
      <c r="B257" s="3" t="s">
        <v>5981</v>
      </c>
      <c r="C257" s="3" t="s">
        <v>861</v>
      </c>
      <c r="D257" s="3" t="s">
        <v>5982</v>
      </c>
      <c r="E257" s="3" t="s">
        <v>5983</v>
      </c>
      <c r="F257" s="3" t="s">
        <v>4694</v>
      </c>
      <c r="G257" s="3" t="s">
        <v>5105</v>
      </c>
      <c r="H257" s="6"/>
      <c r="I257" s="6"/>
      <c r="J257" s="6"/>
      <c r="K257" s="16" t="s">
        <v>5459</v>
      </c>
      <c r="L257" s="18"/>
    </row>
    <row r="258" spans="1:12" ht="15.75" customHeight="1" x14ac:dyDescent="0.35">
      <c r="A258" s="15"/>
      <c r="B258" s="3" t="s">
        <v>409</v>
      </c>
      <c r="C258" s="3" t="s">
        <v>861</v>
      </c>
      <c r="D258" s="3" t="s">
        <v>2098</v>
      </c>
      <c r="E258" s="3" t="s">
        <v>1263</v>
      </c>
      <c r="F258" s="3" t="s">
        <v>3694</v>
      </c>
      <c r="G258" s="3" t="s">
        <v>4006</v>
      </c>
      <c r="H258" s="6"/>
      <c r="I258" s="6"/>
      <c r="J258" s="6"/>
      <c r="K258" s="16" t="s">
        <v>5459</v>
      </c>
      <c r="L258" s="18"/>
    </row>
    <row r="259" spans="1:12" ht="15.75" customHeight="1" x14ac:dyDescent="0.35">
      <c r="A259" s="15"/>
      <c r="B259" s="3" t="s">
        <v>5984</v>
      </c>
      <c r="C259" s="3" t="s">
        <v>861</v>
      </c>
      <c r="D259" s="3" t="s">
        <v>5985</v>
      </c>
      <c r="E259" s="3" t="s">
        <v>5986</v>
      </c>
      <c r="F259" s="3" t="s">
        <v>4552</v>
      </c>
      <c r="G259" s="3" t="s">
        <v>4533</v>
      </c>
      <c r="H259" s="6"/>
      <c r="I259" s="6"/>
      <c r="J259" s="6"/>
      <c r="K259" s="16" t="s">
        <v>5459</v>
      </c>
      <c r="L259" s="18"/>
    </row>
    <row r="260" spans="1:12" ht="15.75" customHeight="1" x14ac:dyDescent="0.35">
      <c r="A260" s="15"/>
      <c r="B260" s="3" t="s">
        <v>348</v>
      </c>
      <c r="C260" s="3" t="s">
        <v>860</v>
      </c>
      <c r="D260" s="3" t="s">
        <v>2037</v>
      </c>
      <c r="E260" s="3" t="s">
        <v>1205</v>
      </c>
      <c r="F260" s="3" t="s">
        <v>5987</v>
      </c>
      <c r="G260" s="3" t="s">
        <v>4533</v>
      </c>
      <c r="H260" s="6"/>
      <c r="I260" s="6"/>
      <c r="J260" s="6"/>
      <c r="K260" s="16" t="s">
        <v>5459</v>
      </c>
      <c r="L260" s="18"/>
    </row>
    <row r="261" spans="1:12" ht="15.75" customHeight="1" x14ac:dyDescent="0.35">
      <c r="A261" s="15"/>
      <c r="B261" s="3" t="s">
        <v>5988</v>
      </c>
      <c r="C261" s="3" t="s">
        <v>861</v>
      </c>
      <c r="D261" s="3" t="s">
        <v>5989</v>
      </c>
      <c r="E261" s="3" t="s">
        <v>5990</v>
      </c>
      <c r="F261" s="3" t="s">
        <v>4940</v>
      </c>
      <c r="G261" s="3" t="s">
        <v>4533</v>
      </c>
      <c r="H261" s="6"/>
      <c r="I261" s="6"/>
      <c r="J261" s="6"/>
      <c r="K261" s="16" t="s">
        <v>5459</v>
      </c>
      <c r="L261" s="18"/>
    </row>
    <row r="262" spans="1:12" ht="15.75" customHeight="1" x14ac:dyDescent="0.35">
      <c r="A262" s="15"/>
      <c r="B262" s="3" t="s">
        <v>5991</v>
      </c>
      <c r="C262" s="3" t="s">
        <v>861</v>
      </c>
      <c r="D262" s="3" t="s">
        <v>5992</v>
      </c>
      <c r="E262" s="3" t="s">
        <v>5993</v>
      </c>
      <c r="F262" s="3" t="s">
        <v>4940</v>
      </c>
      <c r="G262" s="3" t="s">
        <v>4533</v>
      </c>
      <c r="H262" s="6"/>
      <c r="I262" s="6"/>
      <c r="J262" s="6"/>
      <c r="K262" s="16" t="s">
        <v>5459</v>
      </c>
      <c r="L262" s="18"/>
    </row>
    <row r="263" spans="1:12" ht="15.75" customHeight="1" x14ac:dyDescent="0.35">
      <c r="A263" s="15"/>
      <c r="B263" s="3" t="s">
        <v>5994</v>
      </c>
      <c r="C263" s="3" t="s">
        <v>861</v>
      </c>
      <c r="D263" s="3" t="s">
        <v>5995</v>
      </c>
      <c r="E263" s="3" t="s">
        <v>5996</v>
      </c>
      <c r="F263" s="3" t="s">
        <v>4940</v>
      </c>
      <c r="G263" s="3" t="s">
        <v>4533</v>
      </c>
      <c r="H263" s="6"/>
      <c r="I263" s="6"/>
      <c r="J263" s="6"/>
      <c r="K263" s="16" t="s">
        <v>5459</v>
      </c>
      <c r="L263" s="18"/>
    </row>
    <row r="264" spans="1:12" ht="15.75" customHeight="1" x14ac:dyDescent="0.35">
      <c r="A264" s="15"/>
      <c r="B264" s="3" t="s">
        <v>4949</v>
      </c>
      <c r="C264" s="3" t="s">
        <v>861</v>
      </c>
      <c r="D264" s="3" t="s">
        <v>4951</v>
      </c>
      <c r="E264" s="3" t="s">
        <v>1382</v>
      </c>
      <c r="F264" s="3" t="s">
        <v>4932</v>
      </c>
      <c r="G264" s="3" t="s">
        <v>4533</v>
      </c>
      <c r="H264" s="6"/>
      <c r="I264" s="6"/>
      <c r="J264" s="6"/>
      <c r="K264" s="16" t="s">
        <v>5459</v>
      </c>
      <c r="L264" s="18"/>
    </row>
    <row r="265" spans="1:12" ht="15.75" customHeight="1" x14ac:dyDescent="0.35">
      <c r="A265" s="15"/>
      <c r="B265" s="3" t="s">
        <v>5997</v>
      </c>
      <c r="C265" s="3" t="s">
        <v>860</v>
      </c>
      <c r="D265" s="3" t="s">
        <v>5998</v>
      </c>
      <c r="E265" s="3" t="s">
        <v>5999</v>
      </c>
      <c r="F265" s="3" t="s">
        <v>5621</v>
      </c>
      <c r="G265" s="3" t="s">
        <v>4467</v>
      </c>
      <c r="H265" s="6"/>
      <c r="I265" s="6"/>
      <c r="J265" s="6"/>
      <c r="K265" s="16" t="s">
        <v>5455</v>
      </c>
      <c r="L265" s="18"/>
    </row>
    <row r="266" spans="1:12" ht="15.75" customHeight="1" x14ac:dyDescent="0.35">
      <c r="A266" s="15"/>
      <c r="B266" s="3" t="s">
        <v>6000</v>
      </c>
      <c r="C266" s="3" t="s">
        <v>860</v>
      </c>
      <c r="D266" s="3" t="s">
        <v>6001</v>
      </c>
      <c r="E266" s="3" t="s">
        <v>6002</v>
      </c>
      <c r="F266" s="3" t="s">
        <v>4923</v>
      </c>
      <c r="G266" s="3" t="s">
        <v>5980</v>
      </c>
      <c r="H266" s="6"/>
      <c r="I266" s="6"/>
      <c r="J266" s="6"/>
      <c r="K266" s="16" t="s">
        <v>5459</v>
      </c>
      <c r="L266" s="18"/>
    </row>
    <row r="267" spans="1:12" ht="15.75" customHeight="1" x14ac:dyDescent="0.35">
      <c r="A267" s="15"/>
      <c r="B267" s="3" t="s">
        <v>560</v>
      </c>
      <c r="C267" s="3" t="s">
        <v>860</v>
      </c>
      <c r="D267" s="3" t="s">
        <v>2249</v>
      </c>
      <c r="E267" s="3" t="s">
        <v>1410</v>
      </c>
      <c r="F267" s="3" t="s">
        <v>3797</v>
      </c>
      <c r="G267" s="3" t="s">
        <v>4952</v>
      </c>
      <c r="H267" s="6"/>
      <c r="I267" s="6"/>
      <c r="J267" s="6"/>
      <c r="K267" s="16" t="s">
        <v>5459</v>
      </c>
      <c r="L267" s="18"/>
    </row>
    <row r="268" spans="1:12" ht="15.75" customHeight="1" x14ac:dyDescent="0.35">
      <c r="A268" s="15"/>
      <c r="B268" s="3" t="s">
        <v>534</v>
      </c>
      <c r="C268" s="3" t="s">
        <v>860</v>
      </c>
      <c r="D268" s="3" t="s">
        <v>2223</v>
      </c>
      <c r="E268" s="3" t="s">
        <v>1385</v>
      </c>
      <c r="F268" s="3" t="s">
        <v>6003</v>
      </c>
      <c r="G268" s="3" t="s">
        <v>6004</v>
      </c>
      <c r="H268" s="6"/>
      <c r="I268" s="6"/>
      <c r="J268" s="6"/>
      <c r="K268" s="16" t="s">
        <v>5459</v>
      </c>
      <c r="L268" s="18"/>
    </row>
    <row r="269" spans="1:12" ht="15.75" customHeight="1" x14ac:dyDescent="0.35">
      <c r="A269" s="15"/>
      <c r="B269" s="3" t="s">
        <v>6005</v>
      </c>
      <c r="C269" s="3" t="s">
        <v>860</v>
      </c>
      <c r="D269" s="3" t="s">
        <v>6006</v>
      </c>
      <c r="E269" s="3" t="s">
        <v>6007</v>
      </c>
      <c r="F269" s="3" t="s">
        <v>5516</v>
      </c>
      <c r="G269" s="3" t="s">
        <v>4952</v>
      </c>
      <c r="H269" s="6"/>
      <c r="I269" s="6"/>
      <c r="J269" s="6"/>
      <c r="K269" s="16" t="s">
        <v>5459</v>
      </c>
      <c r="L269" s="18"/>
    </row>
    <row r="270" spans="1:12" ht="15.75" customHeight="1" x14ac:dyDescent="0.35">
      <c r="A270" s="15"/>
      <c r="B270" s="3" t="s">
        <v>29</v>
      </c>
      <c r="C270" s="3" t="s">
        <v>861</v>
      </c>
      <c r="D270" s="3" t="s">
        <v>1718</v>
      </c>
      <c r="E270" s="3" t="s">
        <v>891</v>
      </c>
      <c r="F270" s="3" t="s">
        <v>6008</v>
      </c>
      <c r="G270" s="3" t="s">
        <v>5344</v>
      </c>
      <c r="H270" s="6">
        <v>9927.7279999999992</v>
      </c>
      <c r="I270" s="6">
        <v>66961.77</v>
      </c>
      <c r="J270" s="6">
        <v>29391.33</v>
      </c>
      <c r="K270" s="16" t="s">
        <v>5459</v>
      </c>
      <c r="L270" s="18"/>
    </row>
    <row r="271" spans="1:12" ht="15.75" customHeight="1" x14ac:dyDescent="0.35">
      <c r="A271" s="15"/>
      <c r="B271" s="3" t="s">
        <v>356</v>
      </c>
      <c r="C271" s="3" t="s">
        <v>860</v>
      </c>
      <c r="D271" s="3" t="s">
        <v>2045</v>
      </c>
      <c r="E271" s="3" t="s">
        <v>1212</v>
      </c>
      <c r="F271" s="3" t="s">
        <v>6009</v>
      </c>
      <c r="G271" s="3" t="s">
        <v>5344</v>
      </c>
      <c r="H271" s="6">
        <v>7561.3919999999989</v>
      </c>
      <c r="I271" s="6">
        <v>46893.020000000004</v>
      </c>
      <c r="J271" s="6">
        <v>22386.07</v>
      </c>
      <c r="K271" s="16" t="s">
        <v>5503</v>
      </c>
      <c r="L271" s="18"/>
    </row>
    <row r="272" spans="1:12" ht="15.75" customHeight="1" x14ac:dyDescent="0.35">
      <c r="A272" s="1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18"/>
    </row>
    <row r="273" spans="1:133" ht="15.75" customHeight="1" x14ac:dyDescent="0.35">
      <c r="D273" s="22"/>
      <c r="E273" s="22"/>
      <c r="F273" s="22"/>
      <c r="G273" s="22"/>
      <c r="H273" s="22"/>
      <c r="I273" s="22"/>
      <c r="J273" s="22"/>
      <c r="K273" s="22"/>
      <c r="L273" s="25"/>
    </row>
    <row r="274" spans="1:133" s="41" customFormat="1" ht="15.5" x14ac:dyDescent="0.35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40"/>
      <c r="M274" s="30"/>
      <c r="N274" s="30"/>
      <c r="O274" s="30"/>
      <c r="P274" s="30"/>
      <c r="Q274" s="30"/>
      <c r="R274" s="30"/>
      <c r="S274" s="30"/>
      <c r="T274" s="30"/>
      <c r="U274" s="30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</row>
    <row r="275" spans="1:133" s="10" customFormat="1" ht="15.5" x14ac:dyDescent="0.35">
      <c r="B275" s="42"/>
      <c r="C275" s="42"/>
      <c r="D275" s="43"/>
      <c r="E275" s="43"/>
      <c r="F275" s="43"/>
      <c r="G275" s="43"/>
      <c r="H275" s="44"/>
      <c r="I275" s="44"/>
      <c r="J275" s="44"/>
      <c r="K275" s="44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  <c r="BW275" s="30"/>
      <c r="BX275" s="30"/>
      <c r="BY275" s="30"/>
      <c r="BZ275" s="30"/>
      <c r="CA275" s="30"/>
      <c r="CB275" s="30"/>
      <c r="CC275" s="30"/>
      <c r="CD275" s="30"/>
      <c r="CE275" s="30"/>
      <c r="CF275" s="30"/>
      <c r="CG275" s="30"/>
      <c r="CH275" s="30"/>
      <c r="CI275" s="30"/>
      <c r="CJ275" s="30"/>
      <c r="CK275" s="30"/>
      <c r="CL275" s="30"/>
      <c r="CM275" s="30"/>
      <c r="CN275" s="30"/>
      <c r="CO275" s="30"/>
      <c r="CP275" s="30"/>
      <c r="CQ275" s="30"/>
      <c r="CR275" s="30"/>
      <c r="CS275" s="30"/>
      <c r="CT275" s="30"/>
      <c r="CU275" s="30"/>
      <c r="CV275" s="30"/>
      <c r="CW275" s="30"/>
      <c r="CX275" s="30"/>
      <c r="CY275" s="30"/>
      <c r="CZ275" s="30"/>
      <c r="DA275" s="30"/>
      <c r="DB275" s="30"/>
      <c r="DC275" s="30"/>
      <c r="DD275" s="30"/>
      <c r="DE275" s="30"/>
      <c r="DF275" s="30"/>
      <c r="DG275" s="30"/>
      <c r="DH275" s="30"/>
      <c r="DI275" s="30"/>
      <c r="DJ275" s="30"/>
      <c r="DK275" s="30"/>
      <c r="DL275" s="30"/>
      <c r="DM275" s="30"/>
      <c r="DN275" s="30"/>
      <c r="DO275" s="30"/>
      <c r="DP275" s="30"/>
      <c r="DQ275" s="30"/>
      <c r="DR275" s="30"/>
      <c r="DS275" s="30"/>
      <c r="DT275" s="30"/>
      <c r="DU275" s="30"/>
      <c r="DV275" s="30"/>
      <c r="DW275" s="30"/>
      <c r="DX275" s="30"/>
      <c r="DY275" s="30"/>
      <c r="DZ275" s="30"/>
      <c r="EA275" s="30"/>
      <c r="EB275" s="30"/>
      <c r="EC275" s="30"/>
    </row>
    <row r="276" spans="1:133" s="10" customFormat="1" ht="20.25" hidden="1" customHeight="1" x14ac:dyDescent="0.35">
      <c r="B276" s="42"/>
      <c r="C276" s="42"/>
      <c r="D276" s="43"/>
      <c r="E276" s="43"/>
      <c r="F276" s="43"/>
      <c r="G276" s="43"/>
      <c r="H276" s="44"/>
      <c r="I276" s="44"/>
      <c r="J276" s="44"/>
      <c r="K276" s="44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0"/>
      <c r="DF276" s="30"/>
      <c r="DG276" s="30"/>
      <c r="DH276" s="30"/>
      <c r="DI276" s="30"/>
      <c r="DJ276" s="30"/>
      <c r="DK276" s="30"/>
      <c r="DL276" s="30"/>
      <c r="DM276" s="30"/>
      <c r="DN276" s="30"/>
      <c r="DO276" s="30"/>
      <c r="DP276" s="30"/>
      <c r="DQ276" s="30"/>
      <c r="DR276" s="30"/>
      <c r="DS276" s="30"/>
      <c r="DT276" s="30"/>
      <c r="DU276" s="30"/>
      <c r="DV276" s="30"/>
      <c r="DW276" s="30"/>
      <c r="DX276" s="30"/>
      <c r="DY276" s="30"/>
      <c r="DZ276" s="30"/>
      <c r="EA276" s="30"/>
      <c r="EB276" s="30"/>
      <c r="EC276" s="30"/>
    </row>
    <row r="277" spans="1:133" s="10" customFormat="1" ht="20.25" hidden="1" customHeight="1" x14ac:dyDescent="0.35">
      <c r="B277" s="42"/>
      <c r="C277" s="42"/>
      <c r="D277" s="43"/>
      <c r="E277" s="43"/>
      <c r="F277" s="43"/>
      <c r="G277" s="43"/>
      <c r="H277" s="44"/>
      <c r="I277" s="44"/>
      <c r="J277" s="44"/>
      <c r="K277" s="44"/>
    </row>
    <row r="278" spans="1:133" s="10" customFormat="1" ht="20.25" hidden="1" customHeight="1" x14ac:dyDescent="0.35">
      <c r="B278" s="42"/>
      <c r="C278" s="42"/>
      <c r="D278" s="43"/>
      <c r="E278" s="43"/>
      <c r="F278" s="43"/>
      <c r="G278" s="43"/>
      <c r="H278" s="44"/>
      <c r="I278" s="44"/>
      <c r="J278" s="44"/>
      <c r="K278" s="44"/>
    </row>
    <row r="279" spans="1:133" s="10" customFormat="1" ht="20.25" hidden="1" customHeight="1" x14ac:dyDescent="0.35">
      <c r="B279" s="42"/>
      <c r="C279" s="42"/>
      <c r="D279" s="43"/>
      <c r="E279" s="43"/>
      <c r="F279" s="43"/>
      <c r="G279" s="43"/>
      <c r="H279" s="44"/>
      <c r="I279" s="44"/>
      <c r="J279" s="44"/>
      <c r="K279" s="44"/>
    </row>
    <row r="280" spans="1:133" s="10" customFormat="1" ht="20.25" hidden="1" customHeight="1" x14ac:dyDescent="0.35">
      <c r="A280" s="45"/>
      <c r="B280" s="42"/>
      <c r="C280" s="42"/>
      <c r="D280" s="43"/>
      <c r="E280" s="43"/>
      <c r="F280" s="43"/>
      <c r="G280" s="43"/>
      <c r="H280" s="44"/>
      <c r="I280" s="44"/>
      <c r="J280" s="44"/>
      <c r="K280" s="44"/>
    </row>
    <row r="281" spans="1:133" s="10" customFormat="1" ht="20.25" hidden="1" customHeight="1" x14ac:dyDescent="0.35">
      <c r="A281" s="45"/>
      <c r="B281" s="42"/>
      <c r="C281" s="42"/>
      <c r="D281" s="43"/>
      <c r="E281" s="43"/>
      <c r="F281" s="43"/>
      <c r="G281" s="43"/>
      <c r="H281" s="44"/>
      <c r="I281" s="44"/>
      <c r="J281" s="44"/>
      <c r="K281" s="44"/>
    </row>
    <row r="282" spans="1:133" s="10" customFormat="1" ht="20.25" hidden="1" customHeight="1" x14ac:dyDescent="0.35">
      <c r="A282" s="45"/>
      <c r="B282" s="42"/>
      <c r="C282" s="42"/>
      <c r="D282" s="43"/>
      <c r="E282" s="43"/>
      <c r="F282" s="43"/>
      <c r="G282" s="43"/>
      <c r="H282" s="44"/>
      <c r="I282" s="44"/>
      <c r="J282" s="44"/>
      <c r="K282" s="44"/>
    </row>
    <row r="283" spans="1:133" s="10" customFormat="1" ht="20.25" hidden="1" customHeight="1" x14ac:dyDescent="0.35">
      <c r="A283" s="45"/>
      <c r="B283" s="42"/>
      <c r="C283" s="42"/>
      <c r="D283" s="43"/>
      <c r="E283" s="43"/>
      <c r="F283" s="43"/>
      <c r="G283" s="43"/>
      <c r="H283" s="44"/>
      <c r="I283" s="44"/>
      <c r="J283" s="44"/>
      <c r="K283" s="44"/>
    </row>
    <row r="284" spans="1:133" s="10" customFormat="1" ht="20.25" hidden="1" customHeight="1" x14ac:dyDescent="0.35">
      <c r="A284" s="45"/>
      <c r="B284" s="42"/>
      <c r="C284" s="42"/>
      <c r="D284" s="43"/>
      <c r="E284" s="43"/>
      <c r="F284" s="43"/>
      <c r="G284" s="43"/>
      <c r="H284" s="44"/>
      <c r="I284" s="44"/>
      <c r="J284" s="44"/>
      <c r="K284" s="44"/>
    </row>
    <row r="285" spans="1:133" s="10" customFormat="1" ht="20.25" hidden="1" customHeight="1" x14ac:dyDescent="0.35">
      <c r="A285" s="45"/>
      <c r="B285" s="42"/>
      <c r="C285" s="42"/>
      <c r="D285" s="43"/>
      <c r="E285" s="43"/>
      <c r="F285" s="43"/>
      <c r="G285" s="43"/>
      <c r="H285" s="44"/>
      <c r="I285" s="44"/>
      <c r="J285" s="44"/>
      <c r="K285" s="44"/>
    </row>
    <row r="286" spans="1:133" s="10" customFormat="1" ht="20.25" hidden="1" customHeight="1" x14ac:dyDescent="0.35">
      <c r="A286" s="45"/>
      <c r="B286" s="42"/>
      <c r="C286" s="42"/>
      <c r="D286" s="43"/>
      <c r="E286" s="43"/>
      <c r="F286" s="43"/>
      <c r="G286" s="43"/>
      <c r="H286" s="44"/>
      <c r="I286" s="44"/>
      <c r="J286" s="44"/>
      <c r="K286" s="44"/>
    </row>
    <row r="287" spans="1:133" s="10" customFormat="1" ht="20.25" hidden="1" customHeight="1" x14ac:dyDescent="0.35">
      <c r="A287" s="45"/>
      <c r="B287" s="42"/>
      <c r="C287" s="42"/>
      <c r="D287" s="43"/>
      <c r="E287" s="43"/>
      <c r="F287" s="43"/>
      <c r="G287" s="43"/>
      <c r="H287" s="44"/>
      <c r="I287" s="44"/>
      <c r="J287" s="44"/>
      <c r="K287" s="44"/>
    </row>
    <row r="288" spans="1:133" s="10" customFormat="1" ht="20.25" hidden="1" customHeight="1" x14ac:dyDescent="0.35">
      <c r="A288" s="45"/>
      <c r="B288" s="42"/>
      <c r="C288" s="42"/>
      <c r="D288" s="43"/>
      <c r="E288" s="43"/>
      <c r="F288" s="43"/>
      <c r="G288" s="43"/>
      <c r="H288" s="44"/>
      <c r="I288" s="44"/>
      <c r="J288" s="44"/>
      <c r="K288" s="44"/>
    </row>
    <row r="289" spans="1:11" s="10" customFormat="1" ht="20.25" hidden="1" customHeight="1" x14ac:dyDescent="0.35">
      <c r="A289" s="45"/>
      <c r="B289" s="42"/>
      <c r="C289" s="42"/>
      <c r="D289" s="43"/>
      <c r="E289" s="43"/>
      <c r="F289" s="43"/>
      <c r="G289" s="43"/>
      <c r="H289" s="44"/>
      <c r="I289" s="44"/>
      <c r="J289" s="44"/>
      <c r="K289" s="44"/>
    </row>
    <row r="290" spans="1:11" s="10" customFormat="1" ht="20.25" hidden="1" customHeight="1" x14ac:dyDescent="0.35">
      <c r="A290" s="45"/>
      <c r="B290" s="42"/>
      <c r="C290" s="42"/>
      <c r="D290" s="43"/>
      <c r="E290" s="43"/>
      <c r="F290" s="43"/>
      <c r="G290" s="43"/>
      <c r="H290" s="44"/>
      <c r="I290" s="44"/>
      <c r="J290" s="44"/>
      <c r="K290" s="44"/>
    </row>
    <row r="291" spans="1:11" s="10" customFormat="1" ht="20.25" hidden="1" customHeight="1" x14ac:dyDescent="0.35">
      <c r="A291" s="45"/>
      <c r="B291" s="42"/>
      <c r="C291" s="42"/>
      <c r="D291" s="43"/>
      <c r="E291" s="43"/>
      <c r="F291" s="43"/>
      <c r="G291" s="43"/>
      <c r="H291" s="44"/>
      <c r="I291" s="44"/>
      <c r="J291" s="44"/>
      <c r="K291" s="44"/>
    </row>
    <row r="292" spans="1:11" s="10" customFormat="1" ht="20.25" hidden="1" customHeight="1" x14ac:dyDescent="0.35">
      <c r="A292" s="45"/>
      <c r="B292" s="42"/>
      <c r="C292" s="42"/>
      <c r="D292" s="43"/>
      <c r="E292" s="43"/>
      <c r="F292" s="43"/>
      <c r="G292" s="43"/>
      <c r="H292" s="44"/>
      <c r="I292" s="44"/>
      <c r="J292" s="44"/>
      <c r="K292" s="44"/>
    </row>
    <row r="293" spans="1:11" s="10" customFormat="1" ht="20.25" hidden="1" customHeight="1" x14ac:dyDescent="0.35">
      <c r="A293" s="45"/>
      <c r="B293" s="42"/>
      <c r="C293" s="42"/>
      <c r="D293" s="43"/>
      <c r="E293" s="43"/>
      <c r="F293" s="43"/>
      <c r="G293" s="43"/>
      <c r="H293" s="44"/>
      <c r="I293" s="44"/>
      <c r="J293" s="44"/>
      <c r="K293" s="44"/>
    </row>
    <row r="294" spans="1:11" s="10" customFormat="1" ht="20.25" hidden="1" customHeight="1" x14ac:dyDescent="0.35">
      <c r="A294" s="45"/>
      <c r="B294" s="42"/>
      <c r="C294" s="42"/>
      <c r="D294" s="43"/>
      <c r="E294" s="43"/>
      <c r="F294" s="43"/>
      <c r="G294" s="43"/>
      <c r="H294" s="44"/>
      <c r="I294" s="44"/>
      <c r="J294" s="44"/>
      <c r="K294" s="44"/>
    </row>
    <row r="295" spans="1:11" s="10" customFormat="1" ht="20.25" hidden="1" customHeight="1" x14ac:dyDescent="0.35">
      <c r="A295" s="45"/>
      <c r="B295" s="42"/>
      <c r="C295" s="42"/>
      <c r="D295" s="43"/>
      <c r="E295" s="43"/>
      <c r="F295" s="43"/>
      <c r="G295" s="43"/>
      <c r="H295" s="44"/>
      <c r="I295" s="44"/>
      <c r="J295" s="44"/>
      <c r="K295" s="44"/>
    </row>
    <row r="296" spans="1:11" s="10" customFormat="1" ht="20.25" hidden="1" customHeight="1" x14ac:dyDescent="0.35">
      <c r="A296" s="45"/>
      <c r="B296" s="42"/>
      <c r="C296" s="42"/>
      <c r="D296" s="43"/>
      <c r="E296" s="43"/>
      <c r="F296" s="43"/>
      <c r="G296" s="43"/>
      <c r="H296" s="44"/>
      <c r="I296" s="44"/>
      <c r="J296" s="44"/>
      <c r="K296" s="44"/>
    </row>
    <row r="297" spans="1:11" s="10" customFormat="1" ht="20.25" hidden="1" customHeight="1" x14ac:dyDescent="0.35">
      <c r="A297" s="45"/>
      <c r="B297" s="42"/>
      <c r="C297" s="42"/>
      <c r="D297" s="43"/>
      <c r="E297" s="43"/>
      <c r="F297" s="43"/>
      <c r="G297" s="43"/>
      <c r="H297" s="44"/>
      <c r="I297" s="44"/>
      <c r="J297" s="44"/>
      <c r="K297" s="44"/>
    </row>
    <row r="298" spans="1:11" s="10" customFormat="1" ht="20.25" hidden="1" customHeight="1" x14ac:dyDescent="0.35">
      <c r="A298" s="45"/>
      <c r="B298" s="42"/>
      <c r="C298" s="42"/>
      <c r="D298" s="43"/>
      <c r="E298" s="43"/>
      <c r="F298" s="43"/>
      <c r="G298" s="43"/>
      <c r="H298" s="44"/>
      <c r="I298" s="44"/>
      <c r="J298" s="44"/>
      <c r="K298" s="44"/>
    </row>
    <row r="299" spans="1:11" s="10" customFormat="1" ht="20.25" hidden="1" customHeight="1" x14ac:dyDescent="0.35">
      <c r="A299" s="45"/>
      <c r="B299" s="42"/>
      <c r="C299" s="42"/>
      <c r="D299" s="43"/>
      <c r="E299" s="43"/>
      <c r="F299" s="43"/>
      <c r="G299" s="43"/>
      <c r="H299" s="44"/>
      <c r="I299" s="44"/>
      <c r="J299" s="44"/>
      <c r="K299" s="44"/>
    </row>
    <row r="300" spans="1:11" s="10" customFormat="1" ht="20.25" hidden="1" customHeight="1" x14ac:dyDescent="0.35">
      <c r="A300" s="45"/>
      <c r="B300" s="42"/>
      <c r="C300" s="42"/>
      <c r="D300" s="43"/>
      <c r="E300" s="43"/>
      <c r="F300" s="43"/>
      <c r="G300" s="43"/>
      <c r="H300" s="44"/>
      <c r="I300" s="44"/>
      <c r="J300" s="44"/>
      <c r="K300" s="44"/>
    </row>
    <row r="301" spans="1:11" s="10" customFormat="1" ht="20.25" hidden="1" customHeight="1" x14ac:dyDescent="0.35">
      <c r="A301" s="45"/>
      <c r="B301" s="42"/>
      <c r="C301" s="42"/>
      <c r="D301" s="43"/>
      <c r="E301" s="43"/>
      <c r="F301" s="43"/>
      <c r="G301" s="43"/>
      <c r="H301" s="44"/>
      <c r="I301" s="44"/>
      <c r="J301" s="44"/>
      <c r="K301" s="44"/>
    </row>
    <row r="302" spans="1:11" s="10" customFormat="1" ht="20.25" hidden="1" customHeight="1" x14ac:dyDescent="0.35">
      <c r="A302" s="45"/>
      <c r="B302" s="42"/>
      <c r="C302" s="42"/>
      <c r="D302" s="43"/>
      <c r="E302" s="43"/>
      <c r="F302" s="43"/>
      <c r="G302" s="43"/>
      <c r="H302" s="44"/>
      <c r="I302" s="44"/>
      <c r="J302" s="44"/>
      <c r="K302" s="44"/>
    </row>
    <row r="303" spans="1:11" s="10" customFormat="1" ht="20.25" hidden="1" customHeight="1" x14ac:dyDescent="0.35">
      <c r="A303" s="45"/>
      <c r="B303" s="42"/>
      <c r="C303" s="42"/>
      <c r="D303" s="43"/>
      <c r="E303" s="43"/>
      <c r="F303" s="43"/>
      <c r="G303" s="43"/>
      <c r="H303" s="44"/>
      <c r="I303" s="44"/>
      <c r="J303" s="44"/>
      <c r="K303" s="44"/>
    </row>
    <row r="304" spans="1:11" s="10" customFormat="1" ht="20.25" hidden="1" customHeight="1" x14ac:dyDescent="0.35">
      <c r="A304" s="45"/>
      <c r="B304" s="42"/>
      <c r="C304" s="42"/>
      <c r="D304" s="43"/>
      <c r="E304" s="43"/>
      <c r="F304" s="43"/>
      <c r="G304" s="43"/>
      <c r="H304" s="44"/>
      <c r="I304" s="44"/>
      <c r="J304" s="44"/>
      <c r="K304" s="44"/>
    </row>
    <row r="305" spans="1:11" s="10" customFormat="1" ht="20.25" hidden="1" customHeight="1" x14ac:dyDescent="0.35">
      <c r="A305" s="45"/>
      <c r="B305" s="42"/>
      <c r="C305" s="42"/>
      <c r="D305" s="43"/>
      <c r="E305" s="43"/>
      <c r="F305" s="43"/>
      <c r="G305" s="43"/>
      <c r="H305" s="44"/>
      <c r="I305" s="44"/>
      <c r="J305" s="44"/>
      <c r="K305" s="44"/>
    </row>
    <row r="306" spans="1:11" s="10" customFormat="1" ht="20.25" hidden="1" customHeight="1" x14ac:dyDescent="0.35">
      <c r="A306" s="45"/>
      <c r="B306" s="42"/>
      <c r="C306" s="42"/>
      <c r="D306" s="43"/>
      <c r="E306" s="43"/>
      <c r="F306" s="43"/>
      <c r="G306" s="43"/>
      <c r="H306" s="44"/>
      <c r="I306" s="44"/>
      <c r="J306" s="44"/>
      <c r="K306" s="44"/>
    </row>
    <row r="307" spans="1:11" s="10" customFormat="1" ht="20.25" hidden="1" customHeight="1" x14ac:dyDescent="0.35">
      <c r="A307" s="45"/>
      <c r="B307" s="42"/>
      <c r="C307" s="42"/>
      <c r="D307" s="43"/>
      <c r="E307" s="43"/>
      <c r="F307" s="43"/>
      <c r="G307" s="43"/>
      <c r="H307" s="44"/>
      <c r="I307" s="44"/>
      <c r="J307" s="44"/>
      <c r="K307" s="44"/>
    </row>
    <row r="308" spans="1:11" s="10" customFormat="1" ht="20.25" hidden="1" customHeight="1" x14ac:dyDescent="0.35">
      <c r="A308" s="45"/>
      <c r="B308" s="42"/>
      <c r="C308" s="42"/>
      <c r="D308" s="43"/>
      <c r="E308" s="43"/>
      <c r="F308" s="43"/>
      <c r="G308" s="43"/>
      <c r="H308" s="44"/>
      <c r="I308" s="44"/>
      <c r="J308" s="44"/>
      <c r="K308" s="44"/>
    </row>
    <row r="309" spans="1:11" s="10" customFormat="1" ht="20.25" hidden="1" customHeight="1" x14ac:dyDescent="0.35">
      <c r="A309" s="45"/>
      <c r="B309" s="42"/>
      <c r="C309" s="42"/>
      <c r="D309" s="43"/>
      <c r="E309" s="43"/>
      <c r="F309" s="43"/>
      <c r="G309" s="43"/>
      <c r="H309" s="44"/>
      <c r="I309" s="44"/>
      <c r="J309" s="44"/>
      <c r="K309" s="44"/>
    </row>
    <row r="310" spans="1:11" s="10" customFormat="1" ht="20.25" hidden="1" customHeight="1" x14ac:dyDescent="0.35">
      <c r="A310" s="45"/>
      <c r="B310" s="42"/>
      <c r="C310" s="42"/>
      <c r="D310" s="43"/>
      <c r="E310" s="43"/>
      <c r="F310" s="43"/>
      <c r="G310" s="43"/>
      <c r="H310" s="44"/>
      <c r="I310" s="44"/>
      <c r="J310" s="44"/>
      <c r="K310" s="44"/>
    </row>
    <row r="311" spans="1:11" s="10" customFormat="1" ht="20.25" hidden="1" customHeight="1" x14ac:dyDescent="0.35">
      <c r="A311" s="45"/>
      <c r="B311" s="42"/>
      <c r="C311" s="42"/>
      <c r="D311" s="43"/>
      <c r="E311" s="43"/>
      <c r="F311" s="43"/>
      <c r="G311" s="43"/>
      <c r="H311" s="44"/>
      <c r="I311" s="44"/>
      <c r="J311" s="44"/>
      <c r="K311" s="44"/>
    </row>
    <row r="312" spans="1:11" s="10" customFormat="1" ht="20.25" hidden="1" customHeight="1" x14ac:dyDescent="0.35">
      <c r="A312" s="45"/>
      <c r="B312" s="42"/>
      <c r="C312" s="42"/>
      <c r="D312" s="43"/>
      <c r="E312" s="43"/>
      <c r="F312" s="43"/>
      <c r="G312" s="43"/>
      <c r="H312" s="44"/>
      <c r="I312" s="44"/>
      <c r="J312" s="44"/>
      <c r="K312" s="44"/>
    </row>
    <row r="313" spans="1:11" s="10" customFormat="1" ht="20.25" hidden="1" customHeight="1" x14ac:dyDescent="0.35">
      <c r="A313" s="45"/>
      <c r="B313" s="42"/>
      <c r="C313" s="42"/>
      <c r="D313" s="43"/>
      <c r="E313" s="43"/>
      <c r="F313" s="43"/>
      <c r="G313" s="43"/>
      <c r="H313" s="44"/>
      <c r="I313" s="44"/>
      <c r="J313" s="44"/>
      <c r="K313" s="44"/>
    </row>
    <row r="314" spans="1:11" s="10" customFormat="1" ht="20.25" hidden="1" customHeight="1" x14ac:dyDescent="0.35">
      <c r="A314" s="45"/>
      <c r="B314" s="42"/>
      <c r="C314" s="42"/>
      <c r="D314" s="43"/>
      <c r="E314" s="43"/>
      <c r="F314" s="43"/>
      <c r="G314" s="43"/>
      <c r="H314" s="44"/>
      <c r="I314" s="44"/>
      <c r="J314" s="44"/>
      <c r="K314" s="44"/>
    </row>
    <row r="315" spans="1:11" s="10" customFormat="1" ht="20.25" hidden="1" customHeight="1" x14ac:dyDescent="0.35">
      <c r="A315" s="45"/>
      <c r="B315" s="42"/>
      <c r="C315" s="42"/>
      <c r="D315" s="43"/>
      <c r="E315" s="43"/>
      <c r="F315" s="43"/>
      <c r="G315" s="43"/>
      <c r="H315" s="44"/>
      <c r="I315" s="44"/>
      <c r="J315" s="44"/>
      <c r="K315" s="44"/>
    </row>
    <row r="316" spans="1:11" s="10" customFormat="1" ht="20.25" hidden="1" customHeight="1" x14ac:dyDescent="0.35">
      <c r="A316" s="45"/>
      <c r="B316" s="42"/>
      <c r="C316" s="42"/>
      <c r="D316" s="43"/>
      <c r="E316" s="43"/>
      <c r="F316" s="43"/>
      <c r="G316" s="43"/>
      <c r="H316" s="44"/>
      <c r="I316" s="44"/>
      <c r="J316" s="44"/>
      <c r="K316" s="44"/>
    </row>
    <row r="317" spans="1:11" s="10" customFormat="1" ht="20.25" hidden="1" customHeight="1" x14ac:dyDescent="0.35">
      <c r="A317" s="45"/>
      <c r="B317" s="42"/>
      <c r="C317" s="42"/>
      <c r="D317" s="43"/>
      <c r="E317" s="43"/>
      <c r="F317" s="43"/>
      <c r="G317" s="43"/>
      <c r="H317" s="44"/>
      <c r="I317" s="44"/>
      <c r="J317" s="44"/>
      <c r="K317" s="44"/>
    </row>
    <row r="318" spans="1:11" s="10" customFormat="1" ht="20.25" hidden="1" customHeight="1" x14ac:dyDescent="0.35">
      <c r="A318" s="45"/>
      <c r="B318" s="42"/>
      <c r="C318" s="42"/>
      <c r="D318" s="43"/>
      <c r="E318" s="43"/>
      <c r="F318" s="43"/>
      <c r="G318" s="43"/>
      <c r="H318" s="44"/>
      <c r="I318" s="44"/>
      <c r="J318" s="44"/>
      <c r="K318" s="44"/>
    </row>
    <row r="319" spans="1:11" s="10" customFormat="1" ht="20.25" hidden="1" customHeight="1" x14ac:dyDescent="0.35">
      <c r="A319" s="45"/>
      <c r="B319" s="42"/>
      <c r="C319" s="42"/>
      <c r="D319" s="43"/>
      <c r="E319" s="43"/>
      <c r="F319" s="43"/>
      <c r="G319" s="43"/>
      <c r="H319" s="44"/>
      <c r="I319" s="44"/>
      <c r="J319" s="44"/>
      <c r="K319" s="44"/>
    </row>
    <row r="320" spans="1:11" s="10" customFormat="1" ht="20.25" hidden="1" customHeight="1" x14ac:dyDescent="0.35">
      <c r="A320" s="45"/>
      <c r="B320" s="42"/>
      <c r="C320" s="42"/>
      <c r="D320" s="43"/>
      <c r="E320" s="43"/>
      <c r="F320" s="43"/>
      <c r="G320" s="43"/>
      <c r="H320" s="44"/>
      <c r="I320" s="44"/>
      <c r="J320" s="44"/>
      <c r="K320" s="44"/>
    </row>
    <row r="321" spans="1:21" s="10" customFormat="1" ht="20.25" hidden="1" customHeight="1" x14ac:dyDescent="0.35">
      <c r="A321" s="45"/>
      <c r="B321" s="42"/>
      <c r="C321" s="42"/>
      <c r="D321" s="43"/>
      <c r="E321" s="43"/>
      <c r="F321" s="43"/>
      <c r="G321" s="43"/>
      <c r="H321" s="44"/>
      <c r="I321" s="44"/>
      <c r="J321" s="44"/>
      <c r="K321" s="44"/>
    </row>
    <row r="322" spans="1:21" s="10" customFormat="1" ht="20.25" hidden="1" customHeight="1" x14ac:dyDescent="0.35">
      <c r="A322" s="45"/>
      <c r="B322" s="42"/>
      <c r="C322" s="42"/>
      <c r="D322" s="43"/>
      <c r="E322" s="43"/>
      <c r="F322" s="43"/>
      <c r="G322" s="43"/>
      <c r="H322" s="44"/>
      <c r="I322" s="44"/>
      <c r="J322" s="44"/>
      <c r="K322" s="44"/>
    </row>
    <row r="323" spans="1:21" s="10" customFormat="1" ht="20.25" hidden="1" customHeight="1" x14ac:dyDescent="0.35">
      <c r="A323" s="45"/>
      <c r="B323" s="42"/>
      <c r="C323" s="42"/>
      <c r="D323" s="43"/>
      <c r="E323" s="43"/>
      <c r="F323" s="43"/>
      <c r="G323" s="43"/>
      <c r="H323" s="44"/>
      <c r="I323" s="44"/>
      <c r="J323" s="44"/>
      <c r="K323" s="44"/>
    </row>
    <row r="324" spans="1:21" s="10" customFormat="1" ht="20.25" hidden="1" customHeight="1" x14ac:dyDescent="0.35">
      <c r="A324" s="45"/>
      <c r="B324" s="42"/>
      <c r="C324" s="42"/>
      <c r="D324" s="43"/>
      <c r="E324" s="43"/>
      <c r="F324" s="43"/>
      <c r="G324" s="43"/>
      <c r="H324" s="44"/>
      <c r="I324" s="44"/>
      <c r="J324" s="44"/>
      <c r="K324" s="44"/>
    </row>
    <row r="325" spans="1:21" s="10" customFormat="1" ht="20.25" hidden="1" customHeight="1" x14ac:dyDescent="0.35">
      <c r="A325" s="45"/>
      <c r="B325" s="42"/>
      <c r="C325" s="42"/>
      <c r="D325" s="43"/>
      <c r="E325" s="43"/>
      <c r="F325" s="43"/>
      <c r="G325" s="43"/>
      <c r="H325" s="44"/>
      <c r="I325" s="44"/>
      <c r="J325" s="44"/>
      <c r="K325" s="44"/>
    </row>
    <row r="326" spans="1:21" ht="20.25" hidden="1" customHeight="1" x14ac:dyDescent="0.35"/>
    <row r="327" spans="1:21" ht="20.25" hidden="1" customHeight="1" x14ac:dyDescent="0.35"/>
    <row r="328" spans="1:21" ht="20.25" hidden="1" customHeight="1" x14ac:dyDescent="0.35"/>
    <row r="329" spans="1:21" ht="20.25" hidden="1" customHeight="1" x14ac:dyDescent="0.35"/>
    <row r="330" spans="1:21" ht="20.25" hidden="1" customHeight="1" x14ac:dyDescent="0.35"/>
    <row r="331" spans="1:21" ht="20.25" hidden="1" customHeight="1" x14ac:dyDescent="0.35"/>
    <row r="332" spans="1:21" ht="20.25" hidden="1" customHeight="1" x14ac:dyDescent="0.35"/>
    <row r="333" spans="1:21" ht="20.25" hidden="1" customHeight="1" x14ac:dyDescent="0.35"/>
    <row r="334" spans="1:21" s="7" customFormat="1" ht="20.25" hidden="1" customHeight="1" x14ac:dyDescent="0.35">
      <c r="B334" s="22"/>
      <c r="C334" s="22"/>
      <c r="D334" s="23"/>
      <c r="E334" s="23"/>
      <c r="F334" s="23"/>
      <c r="G334" s="23"/>
      <c r="H334" s="24"/>
      <c r="I334" s="24"/>
      <c r="J334" s="24"/>
      <c r="K334" s="24"/>
      <c r="L334" s="9"/>
      <c r="M334" s="10"/>
      <c r="N334" s="10"/>
      <c r="O334" s="10"/>
      <c r="P334" s="10"/>
      <c r="Q334" s="10"/>
      <c r="R334" s="10"/>
      <c r="S334" s="10"/>
      <c r="T334" s="10"/>
      <c r="U334" s="10"/>
    </row>
    <row r="335" spans="1:21" s="7" customFormat="1" ht="20.25" hidden="1" customHeight="1" x14ac:dyDescent="0.35">
      <c r="B335" s="22"/>
      <c r="C335" s="22"/>
      <c r="D335" s="23"/>
      <c r="E335" s="23"/>
      <c r="F335" s="23"/>
      <c r="G335" s="23"/>
      <c r="H335" s="24"/>
      <c r="I335" s="24"/>
      <c r="J335" s="24"/>
      <c r="K335" s="24"/>
      <c r="L335" s="9"/>
      <c r="M335" s="10"/>
      <c r="N335" s="10"/>
      <c r="O335" s="10"/>
      <c r="P335" s="10"/>
      <c r="Q335" s="10"/>
      <c r="R335" s="10"/>
      <c r="S335" s="10"/>
      <c r="T335" s="10"/>
      <c r="U335" s="10"/>
    </row>
    <row r="336" spans="1:21" s="7" customFormat="1" ht="20.25" hidden="1" customHeight="1" x14ac:dyDescent="0.35">
      <c r="B336" s="22"/>
      <c r="C336" s="22"/>
      <c r="D336" s="23"/>
      <c r="E336" s="23"/>
      <c r="F336" s="23"/>
      <c r="G336" s="23"/>
      <c r="H336" s="24"/>
      <c r="I336" s="24"/>
      <c r="J336" s="24"/>
      <c r="K336" s="24"/>
      <c r="L336" s="9"/>
      <c r="M336" s="10"/>
      <c r="N336" s="10"/>
      <c r="O336" s="10"/>
      <c r="P336" s="10"/>
      <c r="Q336" s="10"/>
      <c r="R336" s="10"/>
      <c r="S336" s="10"/>
      <c r="T336" s="10"/>
      <c r="U336" s="10"/>
    </row>
    <row r="337" spans="2:21" s="7" customFormat="1" ht="20.25" hidden="1" customHeight="1" x14ac:dyDescent="0.35">
      <c r="B337" s="22"/>
      <c r="C337" s="22"/>
      <c r="D337" s="23"/>
      <c r="E337" s="23"/>
      <c r="F337" s="23"/>
      <c r="G337" s="23"/>
      <c r="H337" s="24"/>
      <c r="I337" s="24"/>
      <c r="J337" s="24"/>
      <c r="K337" s="24"/>
      <c r="L337" s="9"/>
      <c r="M337" s="10"/>
      <c r="N337" s="10"/>
      <c r="O337" s="10"/>
      <c r="P337" s="10"/>
      <c r="Q337" s="10"/>
      <c r="R337" s="10"/>
      <c r="S337" s="10"/>
      <c r="T337" s="10"/>
      <c r="U337" s="10"/>
    </row>
  </sheetData>
  <autoFilter ref="A2:EC271" xr:uid="{61522EA3-38AE-4795-A846-69829CB93749}"/>
  <printOptions horizontalCentered="1"/>
  <pageMargins left="0.39370078740157483" right="0.39370078740157483" top="0.78740157480314965" bottom="0.78740157480314965" header="0" footer="0"/>
  <pageSetup scale="65" orientation="landscape" r:id="rId1"/>
  <headerFooter alignWithMargins="0"/>
  <rowBreaks count="1" manualBreakCount="1">
    <brk id="286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A1090-3149-4DDF-BE9F-C7EEECEFA57D}">
  <sheetPr filterMode="1"/>
  <dimension ref="A1:DX898"/>
  <sheetViews>
    <sheetView showGridLines="0" topLeftCell="A2" zoomScale="75" zoomScaleNormal="75" zoomScaleSheetLayoutView="100" workbookViewId="0">
      <pane xSplit="2" ySplit="1" topLeftCell="C781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G409" sqref="G409:G804"/>
    </sheetView>
  </sheetViews>
  <sheetFormatPr baseColWidth="10" defaultColWidth="11.453125" defaultRowHeight="0" customHeight="1" zeroHeight="1" x14ac:dyDescent="0.35"/>
  <cols>
    <col min="1" max="1" width="1.6328125" style="7" customWidth="1"/>
    <col min="2" max="2" width="18.54296875" style="22" customWidth="1"/>
    <col min="3" max="3" width="20.08984375" style="22" customWidth="1"/>
    <col min="4" max="4" width="8.08984375" style="22" customWidth="1"/>
    <col min="5" max="5" width="19.453125" style="22" bestFit="1" customWidth="1"/>
    <col min="6" max="6" width="18.08984375" style="23" customWidth="1"/>
    <col min="7" max="7" width="18.54296875" style="23" customWidth="1"/>
    <col min="8" max="8" width="37.453125" style="24" customWidth="1"/>
    <col min="9" max="16" width="42.6328125" style="10" customWidth="1"/>
    <col min="17" max="20" width="42.6328125" style="9" customWidth="1"/>
    <col min="21" max="28" width="20.08984375" style="9" customWidth="1"/>
    <col min="29" max="33" width="6.08984375" style="9" customWidth="1"/>
    <col min="34" max="35" width="11.453125" style="9" customWidth="1"/>
    <col min="36" max="16384" width="11.453125" style="9"/>
  </cols>
  <sheetData>
    <row r="1" spans="1:16" ht="91.5" customHeight="1" x14ac:dyDescent="0.35">
      <c r="B1" s="1"/>
      <c r="C1" s="8" t="s">
        <v>6015</v>
      </c>
      <c r="D1" s="1"/>
      <c r="E1" s="1"/>
      <c r="F1" s="1"/>
      <c r="G1" s="1"/>
      <c r="H1" s="7"/>
    </row>
    <row r="2" spans="1:16" s="14" customFormat="1" ht="79.5" customHeight="1" x14ac:dyDescent="0.35">
      <c r="A2" s="11"/>
      <c r="B2" s="2" t="s">
        <v>0</v>
      </c>
      <c r="C2" s="2" t="s">
        <v>2548</v>
      </c>
      <c r="D2" s="2" t="s">
        <v>859</v>
      </c>
      <c r="E2" s="2" t="s">
        <v>1689</v>
      </c>
      <c r="F2" s="4" t="s">
        <v>862</v>
      </c>
      <c r="G2" s="4" t="s">
        <v>3407</v>
      </c>
      <c r="H2" s="5" t="s">
        <v>6301</v>
      </c>
      <c r="I2" s="13"/>
      <c r="J2" s="13"/>
      <c r="K2" s="13"/>
      <c r="L2" s="13"/>
      <c r="M2" s="13"/>
      <c r="N2" s="13"/>
      <c r="O2" s="13"/>
      <c r="P2" s="13"/>
    </row>
    <row r="3" spans="1:16" ht="15.75" hidden="1" customHeight="1" x14ac:dyDescent="0.35">
      <c r="A3" s="15"/>
      <c r="B3" s="3" t="s">
        <v>1</v>
      </c>
      <c r="C3" s="3" t="s">
        <v>2549</v>
      </c>
      <c r="D3" s="3" t="s">
        <v>860</v>
      </c>
      <c r="E3" s="3" t="s">
        <v>1690</v>
      </c>
      <c r="F3" s="3" t="s">
        <v>863</v>
      </c>
      <c r="G3" s="3" t="s">
        <v>3408</v>
      </c>
      <c r="H3" s="6">
        <v>198903.619488</v>
      </c>
    </row>
    <row r="4" spans="1:16" ht="15.75" hidden="1" customHeight="1" x14ac:dyDescent="0.35">
      <c r="A4" s="15"/>
      <c r="B4" s="3" t="s">
        <v>2</v>
      </c>
      <c r="C4" s="3" t="s">
        <v>2550</v>
      </c>
      <c r="D4" s="3" t="s">
        <v>860</v>
      </c>
      <c r="E4" s="3" t="s">
        <v>1691</v>
      </c>
      <c r="F4" s="3" t="s">
        <v>864</v>
      </c>
      <c r="G4" s="3" t="s">
        <v>3409</v>
      </c>
      <c r="H4" s="6">
        <v>29646.687999999998</v>
      </c>
    </row>
    <row r="5" spans="1:16" ht="15.75" hidden="1" customHeight="1" x14ac:dyDescent="0.35">
      <c r="A5" s="15"/>
      <c r="B5" s="3" t="s">
        <v>3</v>
      </c>
      <c r="C5" s="3" t="s">
        <v>2551</v>
      </c>
      <c r="D5" s="3" t="s">
        <v>860</v>
      </c>
      <c r="E5" s="3" t="s">
        <v>1692</v>
      </c>
      <c r="F5" s="3" t="s">
        <v>865</v>
      </c>
      <c r="G5" s="3" t="s">
        <v>3410</v>
      </c>
      <c r="H5" s="6">
        <v>37349.439999999995</v>
      </c>
    </row>
    <row r="6" spans="1:16" ht="15.75" hidden="1" customHeight="1" x14ac:dyDescent="0.35">
      <c r="A6" s="15"/>
      <c r="B6" s="3" t="s">
        <v>4</v>
      </c>
      <c r="C6" s="3" t="s">
        <v>2552</v>
      </c>
      <c r="D6" s="3" t="s">
        <v>861</v>
      </c>
      <c r="E6" s="3" t="s">
        <v>1693</v>
      </c>
      <c r="F6" s="3" t="s">
        <v>866</v>
      </c>
      <c r="G6" s="3" t="s">
        <v>3411</v>
      </c>
      <c r="H6" s="6">
        <v>21341.407999999999</v>
      </c>
    </row>
    <row r="7" spans="1:16" ht="15.75" hidden="1" customHeight="1" x14ac:dyDescent="0.35">
      <c r="A7" s="15"/>
      <c r="B7" s="3" t="s">
        <v>5</v>
      </c>
      <c r="C7" s="3" t="s">
        <v>2553</v>
      </c>
      <c r="D7" s="3" t="s">
        <v>861</v>
      </c>
      <c r="E7" s="3" t="s">
        <v>1694</v>
      </c>
      <c r="F7" s="3" t="s">
        <v>867</v>
      </c>
      <c r="G7" s="3" t="s">
        <v>3412</v>
      </c>
      <c r="H7" s="6">
        <v>23846.975999999999</v>
      </c>
    </row>
    <row r="8" spans="1:16" ht="15.75" hidden="1" customHeight="1" x14ac:dyDescent="0.35">
      <c r="A8" s="15"/>
      <c r="B8" s="3" t="s">
        <v>6</v>
      </c>
      <c r="C8" s="3" t="s">
        <v>2554</v>
      </c>
      <c r="D8" s="3" t="s">
        <v>861</v>
      </c>
      <c r="E8" s="3" t="s">
        <v>1695</v>
      </c>
      <c r="F8" s="3" t="s">
        <v>868</v>
      </c>
      <c r="G8" s="3" t="s">
        <v>3413</v>
      </c>
      <c r="H8" s="6">
        <v>97537.183999999994</v>
      </c>
    </row>
    <row r="9" spans="1:16" ht="15.75" hidden="1" customHeight="1" x14ac:dyDescent="0.35">
      <c r="A9" s="15"/>
      <c r="B9" s="3" t="s">
        <v>8</v>
      </c>
      <c r="C9" s="3" t="s">
        <v>2556</v>
      </c>
      <c r="D9" s="3" t="s">
        <v>860</v>
      </c>
      <c r="E9" s="3" t="s">
        <v>1697</v>
      </c>
      <c r="F9" s="3" t="s">
        <v>870</v>
      </c>
      <c r="G9" s="3" t="s">
        <v>3414</v>
      </c>
      <c r="H9" s="6">
        <v>23375.167999999998</v>
      </c>
    </row>
    <row r="10" spans="1:16" ht="15.75" hidden="1" customHeight="1" x14ac:dyDescent="0.35">
      <c r="A10" s="15"/>
      <c r="B10" s="3" t="s">
        <v>10</v>
      </c>
      <c r="C10" s="3" t="s">
        <v>2558</v>
      </c>
      <c r="D10" s="3" t="s">
        <v>861</v>
      </c>
      <c r="E10" s="3" t="s">
        <v>1699</v>
      </c>
      <c r="F10" s="3" t="s">
        <v>872</v>
      </c>
      <c r="G10" s="3" t="s">
        <v>3415</v>
      </c>
      <c r="H10" s="6">
        <v>83070.652748586668</v>
      </c>
    </row>
    <row r="11" spans="1:16" ht="15.75" hidden="1" customHeight="1" x14ac:dyDescent="0.35">
      <c r="A11" s="15"/>
      <c r="B11" s="3" t="s">
        <v>11</v>
      </c>
      <c r="C11" s="3" t="s">
        <v>2559</v>
      </c>
      <c r="D11" s="3" t="s">
        <v>861</v>
      </c>
      <c r="E11" s="3" t="s">
        <v>1700</v>
      </c>
      <c r="F11" s="3" t="s">
        <v>873</v>
      </c>
      <c r="G11" s="3" t="s">
        <v>3416</v>
      </c>
      <c r="H11" s="6">
        <v>54104.703999999998</v>
      </c>
    </row>
    <row r="12" spans="1:16" ht="15.75" hidden="1" customHeight="1" x14ac:dyDescent="0.35">
      <c r="A12" s="15"/>
      <c r="B12" s="3" t="s">
        <v>13</v>
      </c>
      <c r="C12" s="3" t="s">
        <v>2561</v>
      </c>
      <c r="D12" s="3" t="s">
        <v>860</v>
      </c>
      <c r="E12" s="3" t="s">
        <v>1702</v>
      </c>
      <c r="F12" s="3" t="s">
        <v>875</v>
      </c>
      <c r="G12" s="3" t="s">
        <v>3417</v>
      </c>
      <c r="H12" s="6">
        <v>130428.15999999999</v>
      </c>
    </row>
    <row r="13" spans="1:16" ht="15.75" hidden="1" customHeight="1" x14ac:dyDescent="0.35">
      <c r="A13" s="15"/>
      <c r="B13" s="3" t="s">
        <v>14</v>
      </c>
      <c r="C13" s="3" t="s">
        <v>2562</v>
      </c>
      <c r="D13" s="3" t="s">
        <v>861</v>
      </c>
      <c r="E13" s="3" t="s">
        <v>1703</v>
      </c>
      <c r="F13" s="3" t="s">
        <v>876</v>
      </c>
      <c r="G13" s="3" t="s">
        <v>3418</v>
      </c>
      <c r="H13" s="6">
        <v>44115.872000000003</v>
      </c>
    </row>
    <row r="14" spans="1:16" ht="15.75" hidden="1" customHeight="1" x14ac:dyDescent="0.35">
      <c r="A14" s="15"/>
      <c r="B14" s="3" t="s">
        <v>15</v>
      </c>
      <c r="C14" s="3" t="s">
        <v>2563</v>
      </c>
      <c r="D14" s="3" t="s">
        <v>861</v>
      </c>
      <c r="E14" s="3" t="s">
        <v>1704</v>
      </c>
      <c r="F14" s="3" t="s">
        <v>877</v>
      </c>
      <c r="G14" s="3" t="s">
        <v>3418</v>
      </c>
      <c r="H14" s="6">
        <v>31913.919999999998</v>
      </c>
    </row>
    <row r="15" spans="1:16" ht="15.75" hidden="1" customHeight="1" x14ac:dyDescent="0.35">
      <c r="A15" s="15"/>
      <c r="B15" s="3" t="s">
        <v>16</v>
      </c>
      <c r="C15" s="3" t="s">
        <v>2564</v>
      </c>
      <c r="D15" s="3" t="s">
        <v>860</v>
      </c>
      <c r="E15" s="3" t="s">
        <v>1705</v>
      </c>
      <c r="F15" s="3" t="s">
        <v>878</v>
      </c>
      <c r="G15" s="3" t="s">
        <v>5704</v>
      </c>
      <c r="H15" s="6">
        <v>45378.080000000002</v>
      </c>
    </row>
    <row r="16" spans="1:16" ht="15.75" hidden="1" customHeight="1" x14ac:dyDescent="0.35">
      <c r="A16" s="15"/>
      <c r="B16" s="3" t="s">
        <v>17</v>
      </c>
      <c r="C16" s="3" t="s">
        <v>2565</v>
      </c>
      <c r="D16" s="3" t="s">
        <v>861</v>
      </c>
      <c r="E16" s="3" t="s">
        <v>1706</v>
      </c>
      <c r="F16" s="3" t="s">
        <v>879</v>
      </c>
      <c r="G16" s="3" t="s">
        <v>3419</v>
      </c>
      <c r="H16" s="6">
        <v>44497.695999999996</v>
      </c>
    </row>
    <row r="17" spans="1:8" ht="15.75" hidden="1" customHeight="1" x14ac:dyDescent="0.35">
      <c r="A17" s="15"/>
      <c r="B17" s="3" t="s">
        <v>18</v>
      </c>
      <c r="C17" s="3" t="s">
        <v>2566</v>
      </c>
      <c r="D17" s="3" t="s">
        <v>860</v>
      </c>
      <c r="E17" s="3" t="s">
        <v>1707</v>
      </c>
      <c r="F17" s="3" t="s">
        <v>880</v>
      </c>
      <c r="G17" s="3" t="s">
        <v>3420</v>
      </c>
      <c r="H17" s="6">
        <v>30609.151999999998</v>
      </c>
    </row>
    <row r="18" spans="1:8" ht="15.75" hidden="1" customHeight="1" x14ac:dyDescent="0.35">
      <c r="A18" s="15"/>
      <c r="B18" s="3" t="s">
        <v>19</v>
      </c>
      <c r="C18" s="3" t="s">
        <v>2567</v>
      </c>
      <c r="D18" s="3" t="s">
        <v>861</v>
      </c>
      <c r="E18" s="3" t="s">
        <v>1708</v>
      </c>
      <c r="F18" s="3" t="s">
        <v>881</v>
      </c>
      <c r="G18" s="3" t="s">
        <v>3421</v>
      </c>
      <c r="H18" s="6">
        <v>11467.488000000001</v>
      </c>
    </row>
    <row r="19" spans="1:8" ht="15.75" hidden="1" customHeight="1" x14ac:dyDescent="0.35">
      <c r="A19" s="15"/>
      <c r="B19" s="3" t="s">
        <v>20</v>
      </c>
      <c r="C19" s="3" t="s">
        <v>2568</v>
      </c>
      <c r="D19" s="3" t="s">
        <v>861</v>
      </c>
      <c r="E19" s="3" t="s">
        <v>1709</v>
      </c>
      <c r="F19" s="3" t="s">
        <v>882</v>
      </c>
      <c r="G19" s="3" t="s">
        <v>3422</v>
      </c>
      <c r="H19" s="6">
        <v>31671.935999999994</v>
      </c>
    </row>
    <row r="20" spans="1:8" ht="15.75" hidden="1" customHeight="1" x14ac:dyDescent="0.35">
      <c r="A20" s="15"/>
      <c r="B20" s="3" t="s">
        <v>21</v>
      </c>
      <c r="C20" s="3" t="s">
        <v>2569</v>
      </c>
      <c r="D20" s="3" t="s">
        <v>860</v>
      </c>
      <c r="E20" s="3" t="s">
        <v>1710</v>
      </c>
      <c r="F20" s="3" t="s">
        <v>883</v>
      </c>
      <c r="G20" s="3" t="s">
        <v>3423</v>
      </c>
      <c r="H20" s="6">
        <v>20363.135999999999</v>
      </c>
    </row>
    <row r="21" spans="1:8" ht="15.75" hidden="1" customHeight="1" x14ac:dyDescent="0.35">
      <c r="A21" s="15"/>
      <c r="B21" s="3" t="s">
        <v>22</v>
      </c>
      <c r="C21" s="3" t="s">
        <v>2570</v>
      </c>
      <c r="D21" s="3" t="s">
        <v>860</v>
      </c>
      <c r="E21" s="3" t="s">
        <v>1711</v>
      </c>
      <c r="F21" s="3" t="s">
        <v>884</v>
      </c>
      <c r="G21" s="3" t="s">
        <v>3424</v>
      </c>
      <c r="H21" s="6">
        <v>93681.855999999985</v>
      </c>
    </row>
    <row r="22" spans="1:8" ht="15.75" hidden="1" customHeight="1" x14ac:dyDescent="0.35">
      <c r="A22" s="15"/>
      <c r="B22" s="3" t="s">
        <v>23</v>
      </c>
      <c r="C22" s="3" t="s">
        <v>2571</v>
      </c>
      <c r="D22" s="3" t="s">
        <v>861</v>
      </c>
      <c r="E22" s="3" t="s">
        <v>1712</v>
      </c>
      <c r="F22" s="3" t="s">
        <v>885</v>
      </c>
      <c r="G22" s="3" t="s">
        <v>3425</v>
      </c>
      <c r="H22" s="6">
        <v>17332.863999999998</v>
      </c>
    </row>
    <row r="23" spans="1:8" ht="15.75" hidden="1" customHeight="1" x14ac:dyDescent="0.35">
      <c r="A23" s="15"/>
      <c r="B23" s="3" t="s">
        <v>25</v>
      </c>
      <c r="C23" s="3" t="s">
        <v>2573</v>
      </c>
      <c r="D23" s="3" t="s">
        <v>861</v>
      </c>
      <c r="E23" s="3" t="s">
        <v>1714</v>
      </c>
      <c r="F23" s="3" t="s">
        <v>887</v>
      </c>
      <c r="G23" s="3" t="s">
        <v>3426</v>
      </c>
      <c r="H23" s="6">
        <v>68743.520000000004</v>
      </c>
    </row>
    <row r="24" spans="1:8" ht="15.75" hidden="1" customHeight="1" x14ac:dyDescent="0.35">
      <c r="A24" s="15"/>
      <c r="B24" s="3" t="s">
        <v>26</v>
      </c>
      <c r="C24" s="3" t="s">
        <v>2574</v>
      </c>
      <c r="D24" s="3" t="s">
        <v>861</v>
      </c>
      <c r="E24" s="3" t="s">
        <v>1715</v>
      </c>
      <c r="F24" s="3" t="s">
        <v>888</v>
      </c>
      <c r="G24" s="3" t="s">
        <v>3427</v>
      </c>
      <c r="H24" s="6">
        <v>16324.8</v>
      </c>
    </row>
    <row r="25" spans="1:8" ht="15.75" hidden="1" customHeight="1" x14ac:dyDescent="0.35">
      <c r="A25" s="15"/>
      <c r="B25" s="3" t="s">
        <v>27</v>
      </c>
      <c r="C25" s="3" t="s">
        <v>2575</v>
      </c>
      <c r="D25" s="3" t="s">
        <v>860</v>
      </c>
      <c r="E25" s="3" t="s">
        <v>1716</v>
      </c>
      <c r="F25" s="3" t="s">
        <v>889</v>
      </c>
      <c r="G25" s="3" t="s">
        <v>3427</v>
      </c>
      <c r="H25" s="6">
        <v>12203.776</v>
      </c>
    </row>
    <row r="26" spans="1:8" ht="15.75" hidden="1" customHeight="1" x14ac:dyDescent="0.35">
      <c r="A26" s="15"/>
      <c r="B26" s="3" t="s">
        <v>28</v>
      </c>
      <c r="C26" s="3" t="s">
        <v>2576</v>
      </c>
      <c r="D26" s="3" t="s">
        <v>861</v>
      </c>
      <c r="E26" s="3" t="s">
        <v>1717</v>
      </c>
      <c r="F26" s="3" t="s">
        <v>890</v>
      </c>
      <c r="G26" s="3" t="s">
        <v>3428</v>
      </c>
      <c r="H26" s="6">
        <v>32175.968000000001</v>
      </c>
    </row>
    <row r="27" spans="1:8" ht="15.75" hidden="1" customHeight="1" x14ac:dyDescent="0.35">
      <c r="A27" s="15"/>
      <c r="B27" s="3" t="s">
        <v>29</v>
      </c>
      <c r="C27" s="3" t="s">
        <v>2577</v>
      </c>
      <c r="D27" s="3" t="s">
        <v>861</v>
      </c>
      <c r="E27" s="3" t="s">
        <v>1718</v>
      </c>
      <c r="F27" s="3" t="s">
        <v>891</v>
      </c>
      <c r="G27" s="3" t="s">
        <v>6008</v>
      </c>
      <c r="H27" s="6">
        <v>19854.847999999998</v>
      </c>
    </row>
    <row r="28" spans="1:8" ht="15.75" hidden="1" customHeight="1" x14ac:dyDescent="0.35">
      <c r="A28" s="15"/>
      <c r="B28" s="3" t="s">
        <v>30</v>
      </c>
      <c r="C28" s="3" t="s">
        <v>2578</v>
      </c>
      <c r="D28" s="3" t="s">
        <v>861</v>
      </c>
      <c r="E28" s="3" t="s">
        <v>1719</v>
      </c>
      <c r="F28" s="3" t="s">
        <v>892</v>
      </c>
      <c r="G28" s="3" t="s">
        <v>3429</v>
      </c>
      <c r="H28" s="6">
        <v>134096.22400000002</v>
      </c>
    </row>
    <row r="29" spans="1:8" ht="15.75" hidden="1" customHeight="1" x14ac:dyDescent="0.35">
      <c r="A29" s="15"/>
      <c r="B29" s="3" t="s">
        <v>31</v>
      </c>
      <c r="C29" s="3" t="s">
        <v>2579</v>
      </c>
      <c r="D29" s="3" t="s">
        <v>861</v>
      </c>
      <c r="E29" s="3" t="s">
        <v>1720</v>
      </c>
      <c r="F29" s="3" t="s">
        <v>893</v>
      </c>
      <c r="G29" s="3" t="s">
        <v>3430</v>
      </c>
      <c r="H29" s="6">
        <v>20364.351999999999</v>
      </c>
    </row>
    <row r="30" spans="1:8" ht="15.75" hidden="1" customHeight="1" x14ac:dyDescent="0.35">
      <c r="A30" s="15"/>
      <c r="B30" s="3" t="s">
        <v>32</v>
      </c>
      <c r="C30" s="3" t="s">
        <v>2580</v>
      </c>
      <c r="D30" s="3" t="s">
        <v>861</v>
      </c>
      <c r="E30" s="3" t="s">
        <v>1721</v>
      </c>
      <c r="F30" s="3" t="s">
        <v>894</v>
      </c>
      <c r="G30" s="3" t="s">
        <v>3431</v>
      </c>
      <c r="H30" s="6">
        <v>16557.056</v>
      </c>
    </row>
    <row r="31" spans="1:8" ht="15.75" hidden="1" customHeight="1" x14ac:dyDescent="0.35">
      <c r="A31" s="15"/>
      <c r="B31" s="3" t="s">
        <v>33</v>
      </c>
      <c r="C31" s="3" t="s">
        <v>2581</v>
      </c>
      <c r="D31" s="3" t="s">
        <v>860</v>
      </c>
      <c r="E31" s="3" t="s">
        <v>1722</v>
      </c>
      <c r="F31" s="3" t="s">
        <v>895</v>
      </c>
      <c r="G31" s="3" t="s">
        <v>3432</v>
      </c>
      <c r="H31" s="6">
        <v>90773.373558186664</v>
      </c>
    </row>
    <row r="32" spans="1:8" ht="15.75" hidden="1" customHeight="1" x14ac:dyDescent="0.35">
      <c r="A32" s="15"/>
      <c r="B32" s="3" t="s">
        <v>34</v>
      </c>
      <c r="C32" s="3" t="s">
        <v>2582</v>
      </c>
      <c r="D32" s="3" t="s">
        <v>860</v>
      </c>
      <c r="E32" s="3" t="s">
        <v>1723</v>
      </c>
      <c r="F32" s="3" t="s">
        <v>896</v>
      </c>
      <c r="G32" s="3" t="s">
        <v>3433</v>
      </c>
      <c r="H32" s="6">
        <v>136222.39999999999</v>
      </c>
    </row>
    <row r="33" spans="1:8" ht="15.75" hidden="1" customHeight="1" x14ac:dyDescent="0.35">
      <c r="A33" s="15"/>
      <c r="B33" s="3" t="s">
        <v>35</v>
      </c>
      <c r="C33" s="3" t="s">
        <v>2583</v>
      </c>
      <c r="D33" s="3" t="s">
        <v>861</v>
      </c>
      <c r="E33" s="3" t="s">
        <v>1724</v>
      </c>
      <c r="F33" s="3" t="s">
        <v>897</v>
      </c>
      <c r="G33" s="3" t="s">
        <v>3434</v>
      </c>
      <c r="H33" s="6">
        <v>70900.09599999999</v>
      </c>
    </row>
    <row r="34" spans="1:8" ht="15.75" hidden="1" customHeight="1" x14ac:dyDescent="0.35">
      <c r="A34" s="15"/>
      <c r="B34" s="3" t="s">
        <v>37</v>
      </c>
      <c r="C34" s="3" t="s">
        <v>2585</v>
      </c>
      <c r="D34" s="3" t="s">
        <v>860</v>
      </c>
      <c r="E34" s="3" t="s">
        <v>1726</v>
      </c>
      <c r="F34" s="3" t="s">
        <v>899</v>
      </c>
      <c r="G34" s="3" t="s">
        <v>3440</v>
      </c>
      <c r="H34" s="6">
        <v>49975.775999999998</v>
      </c>
    </row>
    <row r="35" spans="1:8" ht="15.75" hidden="1" customHeight="1" x14ac:dyDescent="0.35">
      <c r="A35" s="15"/>
      <c r="B35" s="3" t="s">
        <v>38</v>
      </c>
      <c r="C35" s="3" t="s">
        <v>2586</v>
      </c>
      <c r="D35" s="3" t="s">
        <v>861</v>
      </c>
      <c r="E35" s="3" t="s">
        <v>1727</v>
      </c>
      <c r="F35" s="3" t="s">
        <v>900</v>
      </c>
      <c r="G35" s="3" t="s">
        <v>3441</v>
      </c>
      <c r="H35" s="6">
        <v>29729.376</v>
      </c>
    </row>
    <row r="36" spans="1:8" ht="15.75" hidden="1" customHeight="1" x14ac:dyDescent="0.35">
      <c r="A36" s="15"/>
      <c r="B36" s="3" t="s">
        <v>39</v>
      </c>
      <c r="C36" s="3" t="s">
        <v>2587</v>
      </c>
      <c r="D36" s="3" t="s">
        <v>860</v>
      </c>
      <c r="E36" s="3" t="s">
        <v>1728</v>
      </c>
      <c r="F36" s="3" t="s">
        <v>901</v>
      </c>
      <c r="G36" s="3" t="s">
        <v>3442</v>
      </c>
      <c r="H36" s="6">
        <v>25741.503999999997</v>
      </c>
    </row>
    <row r="37" spans="1:8" ht="15.75" hidden="1" customHeight="1" x14ac:dyDescent="0.35">
      <c r="A37" s="15"/>
      <c r="B37" s="3" t="s">
        <v>41</v>
      </c>
      <c r="C37" s="3" t="s">
        <v>2589</v>
      </c>
      <c r="D37" s="3" t="s">
        <v>860</v>
      </c>
      <c r="E37" s="3" t="s">
        <v>1730</v>
      </c>
      <c r="F37" s="3" t="s">
        <v>903</v>
      </c>
      <c r="G37" s="3" t="s">
        <v>3443</v>
      </c>
      <c r="H37" s="6">
        <v>23783.743999999999</v>
      </c>
    </row>
    <row r="38" spans="1:8" ht="15.75" hidden="1" customHeight="1" x14ac:dyDescent="0.35">
      <c r="A38" s="15"/>
      <c r="B38" s="3" t="s">
        <v>42</v>
      </c>
      <c r="C38" s="3" t="s">
        <v>2590</v>
      </c>
      <c r="D38" s="3" t="s">
        <v>861</v>
      </c>
      <c r="E38" s="3" t="s">
        <v>1731</v>
      </c>
      <c r="F38" s="3" t="s">
        <v>904</v>
      </c>
      <c r="G38" s="3" t="s">
        <v>3444</v>
      </c>
      <c r="H38" s="6">
        <v>24348.576000000001</v>
      </c>
    </row>
    <row r="39" spans="1:8" ht="15.75" hidden="1" customHeight="1" x14ac:dyDescent="0.35">
      <c r="A39" s="15"/>
      <c r="B39" s="3" t="s">
        <v>43</v>
      </c>
      <c r="C39" s="3" t="s">
        <v>2591</v>
      </c>
      <c r="D39" s="3" t="s">
        <v>861</v>
      </c>
      <c r="E39" s="3" t="s">
        <v>1732</v>
      </c>
      <c r="F39" s="3" t="s">
        <v>905</v>
      </c>
      <c r="G39" s="3" t="s">
        <v>3445</v>
      </c>
      <c r="H39" s="6">
        <v>11143.423999999999</v>
      </c>
    </row>
    <row r="40" spans="1:8" ht="15.75" hidden="1" customHeight="1" x14ac:dyDescent="0.35">
      <c r="A40" s="15"/>
      <c r="B40" s="3" t="s">
        <v>44</v>
      </c>
      <c r="C40" s="3" t="s">
        <v>2592</v>
      </c>
      <c r="D40" s="3" t="s">
        <v>860</v>
      </c>
      <c r="E40" s="3" t="s">
        <v>1733</v>
      </c>
      <c r="F40" s="3" t="s">
        <v>906</v>
      </c>
      <c r="G40" s="3" t="s">
        <v>3446</v>
      </c>
      <c r="H40" s="6">
        <v>15731.392</v>
      </c>
    </row>
    <row r="41" spans="1:8" ht="15.75" hidden="1" customHeight="1" x14ac:dyDescent="0.35">
      <c r="A41" s="15"/>
      <c r="B41" s="3" t="s">
        <v>45</v>
      </c>
      <c r="C41" s="3" t="s">
        <v>2593</v>
      </c>
      <c r="D41" s="3" t="s">
        <v>861</v>
      </c>
      <c r="E41" s="3" t="s">
        <v>1734</v>
      </c>
      <c r="F41" s="3" t="s">
        <v>907</v>
      </c>
      <c r="G41" s="3" t="s">
        <v>3447</v>
      </c>
      <c r="H41" s="6">
        <v>36926.271999999997</v>
      </c>
    </row>
    <row r="42" spans="1:8" ht="15.75" hidden="1" customHeight="1" x14ac:dyDescent="0.35">
      <c r="A42" s="15"/>
      <c r="B42" s="3" t="s">
        <v>46</v>
      </c>
      <c r="C42" s="3" t="s">
        <v>2594</v>
      </c>
      <c r="D42" s="3" t="s">
        <v>861</v>
      </c>
      <c r="E42" s="3" t="s">
        <v>1735</v>
      </c>
      <c r="F42" s="3" t="s">
        <v>908</v>
      </c>
      <c r="G42" s="3" t="s">
        <v>3448</v>
      </c>
      <c r="H42" s="6">
        <v>52191.935999999994</v>
      </c>
    </row>
    <row r="43" spans="1:8" ht="15.75" hidden="1" customHeight="1" x14ac:dyDescent="0.35">
      <c r="A43" s="15"/>
      <c r="B43" s="3" t="s">
        <v>47</v>
      </c>
      <c r="C43" s="3" t="s">
        <v>2595</v>
      </c>
      <c r="D43" s="3" t="s">
        <v>861</v>
      </c>
      <c r="E43" s="3" t="s">
        <v>1736</v>
      </c>
      <c r="F43" s="3" t="s">
        <v>909</v>
      </c>
      <c r="G43" s="3" t="s">
        <v>3449</v>
      </c>
      <c r="H43" s="6">
        <v>47757.792000000001</v>
      </c>
    </row>
    <row r="44" spans="1:8" ht="15.75" hidden="1" customHeight="1" x14ac:dyDescent="0.35">
      <c r="A44" s="15"/>
      <c r="B44" s="3" t="s">
        <v>48</v>
      </c>
      <c r="C44" s="3" t="s">
        <v>2596</v>
      </c>
      <c r="D44" s="3" t="s">
        <v>860</v>
      </c>
      <c r="E44" s="3" t="s">
        <v>1737</v>
      </c>
      <c r="F44" s="3" t="s">
        <v>910</v>
      </c>
      <c r="G44" s="3" t="s">
        <v>5706</v>
      </c>
      <c r="H44" s="6">
        <v>20547.967999999997</v>
      </c>
    </row>
    <row r="45" spans="1:8" ht="15.75" hidden="1" customHeight="1" x14ac:dyDescent="0.35">
      <c r="A45" s="15"/>
      <c r="B45" s="3" t="s">
        <v>49</v>
      </c>
      <c r="C45" s="3" t="s">
        <v>2597</v>
      </c>
      <c r="D45" s="3" t="s">
        <v>861</v>
      </c>
      <c r="E45" s="3" t="s">
        <v>1738</v>
      </c>
      <c r="F45" s="3" t="s">
        <v>911</v>
      </c>
      <c r="G45" s="3" t="s">
        <v>3450</v>
      </c>
      <c r="H45" s="6">
        <v>23783.743999999999</v>
      </c>
    </row>
    <row r="46" spans="1:8" ht="15.75" hidden="1" customHeight="1" x14ac:dyDescent="0.35">
      <c r="A46" s="15"/>
      <c r="B46" s="3" t="s">
        <v>53</v>
      </c>
      <c r="C46" s="3" t="s">
        <v>2601</v>
      </c>
      <c r="D46" s="3" t="s">
        <v>861</v>
      </c>
      <c r="E46" s="3" t="s">
        <v>1742</v>
      </c>
      <c r="F46" s="3" t="s">
        <v>915</v>
      </c>
      <c r="G46" s="3" t="s">
        <v>3452</v>
      </c>
      <c r="H46" s="6">
        <v>11129.44</v>
      </c>
    </row>
    <row r="47" spans="1:8" ht="15.75" hidden="1" customHeight="1" x14ac:dyDescent="0.35">
      <c r="A47" s="15"/>
      <c r="B47" s="3" t="s">
        <v>55</v>
      </c>
      <c r="C47" s="3" t="s">
        <v>2603</v>
      </c>
      <c r="D47" s="3" t="s">
        <v>861</v>
      </c>
      <c r="E47" s="3" t="s">
        <v>1744</v>
      </c>
      <c r="F47" s="3" t="s">
        <v>917</v>
      </c>
      <c r="G47" s="3" t="s">
        <v>3453</v>
      </c>
      <c r="H47" s="6">
        <v>34607.968000000001</v>
      </c>
    </row>
    <row r="48" spans="1:8" ht="15.75" hidden="1" customHeight="1" x14ac:dyDescent="0.35">
      <c r="A48" s="15"/>
      <c r="B48" s="3" t="s">
        <v>56</v>
      </c>
      <c r="C48" s="3" t="s">
        <v>2604</v>
      </c>
      <c r="D48" s="3" t="s">
        <v>861</v>
      </c>
      <c r="E48" s="3" t="s">
        <v>1745</v>
      </c>
      <c r="F48" s="3" t="s">
        <v>918</v>
      </c>
      <c r="G48" s="3" t="s">
        <v>3454</v>
      </c>
      <c r="H48" s="6">
        <v>79993.952000000005</v>
      </c>
    </row>
    <row r="49" spans="1:8" ht="15.75" hidden="1" customHeight="1" x14ac:dyDescent="0.35">
      <c r="A49" s="15"/>
      <c r="B49" s="3" t="s">
        <v>57</v>
      </c>
      <c r="C49" s="3" t="s">
        <v>2605</v>
      </c>
      <c r="D49" s="3" t="s">
        <v>860</v>
      </c>
      <c r="E49" s="3" t="s">
        <v>1746</v>
      </c>
      <c r="F49" s="3" t="s">
        <v>919</v>
      </c>
      <c r="G49" s="3" t="s">
        <v>3455</v>
      </c>
      <c r="H49" s="6">
        <v>23754.559999999998</v>
      </c>
    </row>
    <row r="50" spans="1:8" ht="15.75" hidden="1" customHeight="1" x14ac:dyDescent="0.35">
      <c r="A50" s="15"/>
      <c r="B50" s="3" t="s">
        <v>58</v>
      </c>
      <c r="C50" s="3" t="s">
        <v>2606</v>
      </c>
      <c r="D50" s="3" t="s">
        <v>861</v>
      </c>
      <c r="E50" s="3" t="s">
        <v>1747</v>
      </c>
      <c r="F50" s="3" t="s">
        <v>920</v>
      </c>
      <c r="G50" s="3" t="s">
        <v>3456</v>
      </c>
      <c r="H50" s="6">
        <v>22857.151999999998</v>
      </c>
    </row>
    <row r="51" spans="1:8" ht="15.75" hidden="1" customHeight="1" x14ac:dyDescent="0.35">
      <c r="A51" s="15"/>
      <c r="B51" s="3" t="s">
        <v>59</v>
      </c>
      <c r="C51" s="3" t="s">
        <v>2607</v>
      </c>
      <c r="D51" s="3" t="s">
        <v>861</v>
      </c>
      <c r="E51" s="3" t="s">
        <v>1748</v>
      </c>
      <c r="F51" s="3" t="s">
        <v>921</v>
      </c>
      <c r="G51" s="3" t="s">
        <v>3457</v>
      </c>
      <c r="H51" s="6">
        <v>30215.776000000002</v>
      </c>
    </row>
    <row r="52" spans="1:8" ht="15.75" hidden="1" customHeight="1" x14ac:dyDescent="0.35">
      <c r="A52" s="15"/>
      <c r="B52" s="3" t="s">
        <v>61</v>
      </c>
      <c r="C52" s="3" t="s">
        <v>2609</v>
      </c>
      <c r="D52" s="3" t="s">
        <v>860</v>
      </c>
      <c r="E52" s="3" t="s">
        <v>1750</v>
      </c>
      <c r="F52" s="3" t="s">
        <v>923</v>
      </c>
      <c r="G52" s="3" t="s">
        <v>3458</v>
      </c>
      <c r="H52" s="6">
        <v>51656.896000000001</v>
      </c>
    </row>
    <row r="53" spans="1:8" ht="15.75" hidden="1" customHeight="1" x14ac:dyDescent="0.35">
      <c r="A53" s="15"/>
      <c r="B53" s="3" t="s">
        <v>62</v>
      </c>
      <c r="C53" s="3" t="s">
        <v>2610</v>
      </c>
      <c r="D53" s="3" t="s">
        <v>860</v>
      </c>
      <c r="E53" s="3" t="s">
        <v>1751</v>
      </c>
      <c r="F53" s="3" t="s">
        <v>924</v>
      </c>
      <c r="G53" s="3" t="s">
        <v>3459</v>
      </c>
      <c r="H53" s="6">
        <v>11129.44</v>
      </c>
    </row>
    <row r="54" spans="1:8" ht="15.75" customHeight="1" x14ac:dyDescent="0.35">
      <c r="A54" s="15"/>
      <c r="B54" s="3" t="s">
        <v>3460</v>
      </c>
      <c r="C54" s="3" t="s">
        <v>3461</v>
      </c>
      <c r="D54" s="3" t="s">
        <v>860</v>
      </c>
      <c r="E54" s="3" t="s">
        <v>3462</v>
      </c>
      <c r="F54" s="3" t="s">
        <v>3463</v>
      </c>
      <c r="G54" s="3" t="s">
        <v>3464</v>
      </c>
      <c r="H54" s="6">
        <v>25180.928</v>
      </c>
    </row>
    <row r="55" spans="1:8" ht="15.75" hidden="1" customHeight="1" x14ac:dyDescent="0.35">
      <c r="A55" s="15"/>
      <c r="B55" s="3" t="s">
        <v>63</v>
      </c>
      <c r="C55" s="3" t="s">
        <v>2611</v>
      </c>
      <c r="D55" s="3" t="s">
        <v>860</v>
      </c>
      <c r="E55" s="3" t="s">
        <v>1752</v>
      </c>
      <c r="F55" s="3" t="s">
        <v>925</v>
      </c>
      <c r="G55" s="3" t="s">
        <v>3465</v>
      </c>
      <c r="H55" s="6">
        <v>27959.488000000001</v>
      </c>
    </row>
    <row r="56" spans="1:8" ht="15.75" hidden="1" customHeight="1" x14ac:dyDescent="0.35">
      <c r="A56" s="15"/>
      <c r="B56" s="3" t="s">
        <v>65</v>
      </c>
      <c r="C56" s="3" t="s">
        <v>2613</v>
      </c>
      <c r="D56" s="3" t="s">
        <v>860</v>
      </c>
      <c r="E56" s="3" t="s">
        <v>1754</v>
      </c>
      <c r="F56" s="3" t="s">
        <v>927</v>
      </c>
      <c r="G56" s="3" t="s">
        <v>5707</v>
      </c>
      <c r="H56" s="6">
        <v>27276.095999999998</v>
      </c>
    </row>
    <row r="57" spans="1:8" ht="15.75" hidden="1" customHeight="1" x14ac:dyDescent="0.35">
      <c r="A57" s="15"/>
      <c r="B57" s="3" t="s">
        <v>66</v>
      </c>
      <c r="C57" s="3" t="s">
        <v>2614</v>
      </c>
      <c r="D57" s="3" t="s">
        <v>860</v>
      </c>
      <c r="E57" s="3" t="s">
        <v>1755</v>
      </c>
      <c r="F57" s="3" t="s">
        <v>928</v>
      </c>
      <c r="G57" s="3" t="s">
        <v>3466</v>
      </c>
      <c r="H57" s="6">
        <v>20648.896000000001</v>
      </c>
    </row>
    <row r="58" spans="1:8" ht="15.75" hidden="1" customHeight="1" x14ac:dyDescent="0.35">
      <c r="A58" s="15"/>
      <c r="B58" s="3" t="s">
        <v>67</v>
      </c>
      <c r="C58" s="3" t="s">
        <v>2615</v>
      </c>
      <c r="D58" s="3" t="s">
        <v>861</v>
      </c>
      <c r="E58" s="3" t="s">
        <v>1756</v>
      </c>
      <c r="F58" s="3" t="s">
        <v>929</v>
      </c>
      <c r="G58" s="3" t="s">
        <v>3467</v>
      </c>
      <c r="H58" s="6">
        <v>26826.784</v>
      </c>
    </row>
    <row r="59" spans="1:8" ht="15.75" hidden="1" customHeight="1" x14ac:dyDescent="0.35">
      <c r="A59" s="15"/>
      <c r="B59" s="3" t="s">
        <v>68</v>
      </c>
      <c r="C59" s="3" t="s">
        <v>2616</v>
      </c>
      <c r="D59" s="3" t="s">
        <v>860</v>
      </c>
      <c r="E59" s="3" t="s">
        <v>1757</v>
      </c>
      <c r="F59" s="3" t="s">
        <v>930</v>
      </c>
      <c r="G59" s="3" t="s">
        <v>3468</v>
      </c>
      <c r="H59" s="6">
        <v>10915.423999999999</v>
      </c>
    </row>
    <row r="60" spans="1:8" ht="15.75" hidden="1" customHeight="1" x14ac:dyDescent="0.35">
      <c r="A60" s="15"/>
      <c r="B60" s="3" t="s">
        <v>69</v>
      </c>
      <c r="C60" s="3" t="s">
        <v>2617</v>
      </c>
      <c r="D60" s="3" t="s">
        <v>861</v>
      </c>
      <c r="E60" s="3" t="s">
        <v>1758</v>
      </c>
      <c r="F60" s="3" t="s">
        <v>931</v>
      </c>
      <c r="G60" s="3" t="s">
        <v>3469</v>
      </c>
      <c r="H60" s="6">
        <v>36364.480000000003</v>
      </c>
    </row>
    <row r="61" spans="1:8" ht="15.75" hidden="1" customHeight="1" x14ac:dyDescent="0.35">
      <c r="A61" s="15"/>
      <c r="B61" s="3" t="s">
        <v>70</v>
      </c>
      <c r="C61" s="3" t="s">
        <v>2618</v>
      </c>
      <c r="D61" s="3" t="s">
        <v>860</v>
      </c>
      <c r="E61" s="3" t="s">
        <v>1759</v>
      </c>
      <c r="F61" s="3" t="s">
        <v>932</v>
      </c>
      <c r="G61" s="3" t="s">
        <v>5836</v>
      </c>
      <c r="H61" s="6">
        <v>35350.335999999996</v>
      </c>
    </row>
    <row r="62" spans="1:8" ht="15.75" hidden="1" customHeight="1" x14ac:dyDescent="0.35">
      <c r="A62" s="15"/>
      <c r="B62" s="3" t="s">
        <v>71</v>
      </c>
      <c r="C62" s="3" t="s">
        <v>2619</v>
      </c>
      <c r="D62" s="3" t="s">
        <v>861</v>
      </c>
      <c r="E62" s="3" t="s">
        <v>1760</v>
      </c>
      <c r="F62" s="3" t="s">
        <v>933</v>
      </c>
      <c r="G62" s="3" t="s">
        <v>3470</v>
      </c>
      <c r="H62" s="6">
        <v>43679.327999999994</v>
      </c>
    </row>
    <row r="63" spans="1:8" ht="15.75" hidden="1" customHeight="1" x14ac:dyDescent="0.35">
      <c r="A63" s="15"/>
      <c r="B63" s="3" t="s">
        <v>72</v>
      </c>
      <c r="C63" s="3" t="s">
        <v>2620</v>
      </c>
      <c r="D63" s="3" t="s">
        <v>860</v>
      </c>
      <c r="E63" s="3" t="s">
        <v>1761</v>
      </c>
      <c r="F63" s="3" t="s">
        <v>934</v>
      </c>
      <c r="G63" s="3" t="s">
        <v>3471</v>
      </c>
      <c r="H63" s="6">
        <v>30900.991999999998</v>
      </c>
    </row>
    <row r="64" spans="1:8" ht="15.75" hidden="1" customHeight="1" x14ac:dyDescent="0.35">
      <c r="A64" s="15"/>
      <c r="B64" s="3" t="s">
        <v>73</v>
      </c>
      <c r="C64" s="3" t="s">
        <v>2621</v>
      </c>
      <c r="D64" s="3" t="s">
        <v>861</v>
      </c>
      <c r="E64" s="3" t="s">
        <v>1762</v>
      </c>
      <c r="F64" s="3" t="s">
        <v>935</v>
      </c>
      <c r="G64" s="3" t="s">
        <v>3472</v>
      </c>
      <c r="H64" s="6">
        <v>51491.519999999997</v>
      </c>
    </row>
    <row r="65" spans="1:8" ht="15.75" hidden="1" customHeight="1" x14ac:dyDescent="0.35">
      <c r="A65" s="15"/>
      <c r="B65" s="3" t="s">
        <v>74</v>
      </c>
      <c r="C65" s="3" t="s">
        <v>2622</v>
      </c>
      <c r="D65" s="3" t="s">
        <v>860</v>
      </c>
      <c r="E65" s="3" t="s">
        <v>1763</v>
      </c>
      <c r="F65" s="3" t="s">
        <v>936</v>
      </c>
      <c r="G65" s="3" t="s">
        <v>3473</v>
      </c>
      <c r="H65" s="6">
        <v>23797.119999999999</v>
      </c>
    </row>
    <row r="66" spans="1:8" ht="15.75" hidden="1" customHeight="1" x14ac:dyDescent="0.35">
      <c r="A66" s="15"/>
      <c r="B66" s="3" t="s">
        <v>75</v>
      </c>
      <c r="C66" s="3" t="s">
        <v>2623</v>
      </c>
      <c r="D66" s="3" t="s">
        <v>860</v>
      </c>
      <c r="E66" s="3" t="s">
        <v>1764</v>
      </c>
      <c r="F66" s="3" t="s">
        <v>904</v>
      </c>
      <c r="G66" s="3" t="s">
        <v>3474</v>
      </c>
      <c r="H66" s="6">
        <v>24557.727999999999</v>
      </c>
    </row>
    <row r="67" spans="1:8" ht="15.75" hidden="1" customHeight="1" x14ac:dyDescent="0.35">
      <c r="A67" s="15"/>
      <c r="B67" s="3" t="s">
        <v>76</v>
      </c>
      <c r="C67" s="3" t="s">
        <v>2624</v>
      </c>
      <c r="D67" s="3" t="s">
        <v>861</v>
      </c>
      <c r="E67" s="3" t="s">
        <v>1765</v>
      </c>
      <c r="F67" s="3" t="s">
        <v>937</v>
      </c>
      <c r="G67" s="3" t="s">
        <v>5721</v>
      </c>
      <c r="H67" s="6">
        <v>17642.944</v>
      </c>
    </row>
    <row r="68" spans="1:8" ht="15.75" hidden="1" customHeight="1" x14ac:dyDescent="0.35">
      <c r="A68" s="15"/>
      <c r="B68" s="3" t="s">
        <v>77</v>
      </c>
      <c r="C68" s="3" t="s">
        <v>2625</v>
      </c>
      <c r="D68" s="3" t="s">
        <v>860</v>
      </c>
      <c r="E68" s="3" t="s">
        <v>1766</v>
      </c>
      <c r="F68" s="3" t="s">
        <v>938</v>
      </c>
      <c r="G68" s="3" t="s">
        <v>3475</v>
      </c>
      <c r="H68" s="6">
        <v>13512.8</v>
      </c>
    </row>
    <row r="69" spans="1:8" ht="15.75" hidden="1" customHeight="1" x14ac:dyDescent="0.35">
      <c r="A69" s="15"/>
      <c r="B69" s="3" t="s">
        <v>78</v>
      </c>
      <c r="C69" s="3" t="s">
        <v>2626</v>
      </c>
      <c r="D69" s="3" t="s">
        <v>860</v>
      </c>
      <c r="E69" s="3" t="s">
        <v>1767</v>
      </c>
      <c r="F69" s="3" t="s">
        <v>939</v>
      </c>
      <c r="G69" s="3" t="s">
        <v>3476</v>
      </c>
      <c r="H69" s="6">
        <v>44840</v>
      </c>
    </row>
    <row r="70" spans="1:8" ht="15.75" hidden="1" customHeight="1" x14ac:dyDescent="0.35">
      <c r="A70" s="15"/>
      <c r="B70" s="3" t="s">
        <v>79</v>
      </c>
      <c r="C70" s="3" t="s">
        <v>2627</v>
      </c>
      <c r="D70" s="3" t="s">
        <v>861</v>
      </c>
      <c r="E70" s="3" t="s">
        <v>1768</v>
      </c>
      <c r="F70" s="3" t="s">
        <v>940</v>
      </c>
      <c r="G70" s="3" t="s">
        <v>3477</v>
      </c>
      <c r="H70" s="6">
        <v>28196</v>
      </c>
    </row>
    <row r="71" spans="1:8" ht="15.75" hidden="1" customHeight="1" x14ac:dyDescent="0.35">
      <c r="A71" s="15"/>
      <c r="B71" s="3" t="s">
        <v>80</v>
      </c>
      <c r="C71" s="3" t="s">
        <v>2628</v>
      </c>
      <c r="D71" s="3" t="s">
        <v>861</v>
      </c>
      <c r="E71" s="3" t="s">
        <v>1769</v>
      </c>
      <c r="F71" s="3" t="s">
        <v>941</v>
      </c>
      <c r="G71" s="3" t="s">
        <v>3478</v>
      </c>
      <c r="H71" s="6">
        <v>29404.703999999998</v>
      </c>
    </row>
    <row r="72" spans="1:8" ht="15.75" hidden="1" customHeight="1" x14ac:dyDescent="0.35">
      <c r="A72" s="15"/>
      <c r="B72" s="3" t="s">
        <v>81</v>
      </c>
      <c r="C72" s="3" t="s">
        <v>2629</v>
      </c>
      <c r="D72" s="3" t="s">
        <v>860</v>
      </c>
      <c r="E72" s="3" t="s">
        <v>1770</v>
      </c>
      <c r="F72" s="3" t="s">
        <v>942</v>
      </c>
      <c r="G72" s="3" t="s">
        <v>3479</v>
      </c>
      <c r="H72" s="6">
        <v>14658.88</v>
      </c>
    </row>
    <row r="73" spans="1:8" ht="15.75" hidden="1" customHeight="1" x14ac:dyDescent="0.35">
      <c r="A73" s="15"/>
      <c r="B73" s="3" t="s">
        <v>82</v>
      </c>
      <c r="C73" s="3" t="s">
        <v>2630</v>
      </c>
      <c r="D73" s="3" t="s">
        <v>861</v>
      </c>
      <c r="E73" s="3" t="s">
        <v>1771</v>
      </c>
      <c r="F73" s="3" t="s">
        <v>943</v>
      </c>
      <c r="G73" s="3" t="s">
        <v>3479</v>
      </c>
      <c r="H73" s="6">
        <v>12307.744000000001</v>
      </c>
    </row>
    <row r="74" spans="1:8" ht="15.75" hidden="1" customHeight="1" x14ac:dyDescent="0.35">
      <c r="A74" s="15"/>
      <c r="B74" s="3" t="s">
        <v>84</v>
      </c>
      <c r="C74" s="3" t="s">
        <v>2632</v>
      </c>
      <c r="D74" s="3" t="s">
        <v>861</v>
      </c>
      <c r="E74" s="3" t="s">
        <v>1773</v>
      </c>
      <c r="F74" s="3" t="s">
        <v>945</v>
      </c>
      <c r="G74" s="3" t="s">
        <v>3480</v>
      </c>
      <c r="H74" s="6">
        <v>38009.119999999995</v>
      </c>
    </row>
    <row r="75" spans="1:8" ht="15.75" hidden="1" customHeight="1" x14ac:dyDescent="0.35">
      <c r="A75" s="15"/>
      <c r="B75" s="3" t="s">
        <v>85</v>
      </c>
      <c r="C75" s="3" t="s">
        <v>2633</v>
      </c>
      <c r="D75" s="3" t="s">
        <v>860</v>
      </c>
      <c r="E75" s="3" t="s">
        <v>1774</v>
      </c>
      <c r="F75" s="3" t="s">
        <v>946</v>
      </c>
      <c r="G75" s="3" t="s">
        <v>3481</v>
      </c>
      <c r="H75" s="6">
        <v>32754.784</v>
      </c>
    </row>
    <row r="76" spans="1:8" ht="15.75" hidden="1" customHeight="1" x14ac:dyDescent="0.35">
      <c r="A76" s="15"/>
      <c r="B76" s="3" t="s">
        <v>86</v>
      </c>
      <c r="C76" s="3" t="s">
        <v>2634</v>
      </c>
      <c r="D76" s="3" t="s">
        <v>861</v>
      </c>
      <c r="E76" s="3" t="s">
        <v>1775</v>
      </c>
      <c r="F76" s="3" t="s">
        <v>947</v>
      </c>
      <c r="G76" s="3" t="s">
        <v>3482</v>
      </c>
      <c r="H76" s="6">
        <v>16628.191999999999</v>
      </c>
    </row>
    <row r="77" spans="1:8" ht="15.75" hidden="1" customHeight="1" x14ac:dyDescent="0.35">
      <c r="A77" s="15"/>
      <c r="B77" s="3" t="s">
        <v>87</v>
      </c>
      <c r="C77" s="3" t="s">
        <v>2635</v>
      </c>
      <c r="D77" s="3" t="s">
        <v>861</v>
      </c>
      <c r="E77" s="3" t="s">
        <v>1776</v>
      </c>
      <c r="F77" s="3" t="s">
        <v>948</v>
      </c>
      <c r="G77" s="3" t="s">
        <v>3483</v>
      </c>
      <c r="H77" s="6">
        <v>11129.44</v>
      </c>
    </row>
    <row r="78" spans="1:8" ht="15.75" hidden="1" customHeight="1" x14ac:dyDescent="0.35">
      <c r="A78" s="15"/>
      <c r="B78" s="3" t="s">
        <v>88</v>
      </c>
      <c r="C78" s="3" t="s">
        <v>2636</v>
      </c>
      <c r="D78" s="3" t="s">
        <v>861</v>
      </c>
      <c r="E78" s="3" t="s">
        <v>1777</v>
      </c>
      <c r="F78" s="3" t="s">
        <v>949</v>
      </c>
      <c r="G78" s="3" t="s">
        <v>3484</v>
      </c>
      <c r="H78" s="6">
        <v>13486.655999999999</v>
      </c>
    </row>
    <row r="79" spans="1:8" ht="15.75" hidden="1" customHeight="1" x14ac:dyDescent="0.35">
      <c r="A79" s="15"/>
      <c r="B79" s="3" t="s">
        <v>89</v>
      </c>
      <c r="C79" s="3" t="s">
        <v>2637</v>
      </c>
      <c r="D79" s="3" t="s">
        <v>860</v>
      </c>
      <c r="E79" s="3" t="s">
        <v>1778</v>
      </c>
      <c r="F79" s="3" t="s">
        <v>950</v>
      </c>
      <c r="G79" s="3" t="s">
        <v>3485</v>
      </c>
      <c r="H79" s="6">
        <v>84577.66399999999</v>
      </c>
    </row>
    <row r="80" spans="1:8" ht="15.75" hidden="1" customHeight="1" x14ac:dyDescent="0.35">
      <c r="A80" s="15"/>
      <c r="B80" s="3" t="s">
        <v>90</v>
      </c>
      <c r="C80" s="3" t="s">
        <v>2638</v>
      </c>
      <c r="D80" s="3" t="s">
        <v>861</v>
      </c>
      <c r="E80" s="3" t="s">
        <v>1779</v>
      </c>
      <c r="F80" s="3" t="s">
        <v>951</v>
      </c>
      <c r="G80" s="3" t="s">
        <v>3486</v>
      </c>
      <c r="H80" s="6">
        <v>111792.352</v>
      </c>
    </row>
    <row r="81" spans="1:8" ht="15.75" hidden="1" customHeight="1" x14ac:dyDescent="0.35">
      <c r="A81" s="15"/>
      <c r="B81" s="3" t="s">
        <v>91</v>
      </c>
      <c r="C81" s="3" t="s">
        <v>2639</v>
      </c>
      <c r="D81" s="3" t="s">
        <v>860</v>
      </c>
      <c r="E81" s="3" t="s">
        <v>1780</v>
      </c>
      <c r="F81" s="3" t="s">
        <v>952</v>
      </c>
      <c r="G81" s="3" t="s">
        <v>3486</v>
      </c>
      <c r="H81" s="6">
        <v>41562.271999999997</v>
      </c>
    </row>
    <row r="82" spans="1:8" ht="15.75" hidden="1" customHeight="1" x14ac:dyDescent="0.35">
      <c r="A82" s="15"/>
      <c r="B82" s="3" t="s">
        <v>92</v>
      </c>
      <c r="C82" s="3" t="s">
        <v>2640</v>
      </c>
      <c r="D82" s="3" t="s">
        <v>860</v>
      </c>
      <c r="E82" s="3" t="s">
        <v>1781</v>
      </c>
      <c r="F82" s="3" t="s">
        <v>953</v>
      </c>
      <c r="G82" s="3" t="s">
        <v>6017</v>
      </c>
      <c r="H82" s="6">
        <v>28284.767999999996</v>
      </c>
    </row>
    <row r="83" spans="1:8" ht="15.75" hidden="1" customHeight="1" x14ac:dyDescent="0.35">
      <c r="A83" s="15"/>
      <c r="B83" s="3" t="s">
        <v>93</v>
      </c>
      <c r="C83" s="3" t="s">
        <v>2641</v>
      </c>
      <c r="D83" s="3" t="s">
        <v>860</v>
      </c>
      <c r="E83" s="3" t="s">
        <v>1782</v>
      </c>
      <c r="F83" s="3" t="s">
        <v>954</v>
      </c>
      <c r="G83" s="3" t="s">
        <v>3487</v>
      </c>
      <c r="H83" s="6">
        <v>19262.047999999999</v>
      </c>
    </row>
    <row r="84" spans="1:8" ht="15.75" hidden="1" customHeight="1" x14ac:dyDescent="0.35">
      <c r="A84" s="15"/>
      <c r="B84" s="3" t="s">
        <v>94</v>
      </c>
      <c r="C84" s="3" t="s">
        <v>2642</v>
      </c>
      <c r="D84" s="3" t="s">
        <v>861</v>
      </c>
      <c r="E84" s="3" t="s">
        <v>1783</v>
      </c>
      <c r="F84" s="3" t="s">
        <v>955</v>
      </c>
      <c r="G84" s="3" t="s">
        <v>3488</v>
      </c>
      <c r="H84" s="6">
        <v>20449.471999999998</v>
      </c>
    </row>
    <row r="85" spans="1:8" ht="15.75" hidden="1" customHeight="1" x14ac:dyDescent="0.35">
      <c r="A85" s="15"/>
      <c r="B85" s="3" t="s">
        <v>95</v>
      </c>
      <c r="C85" s="3" t="s">
        <v>2643</v>
      </c>
      <c r="D85" s="3" t="s">
        <v>861</v>
      </c>
      <c r="E85" s="3" t="s">
        <v>1784</v>
      </c>
      <c r="F85" s="3" t="s">
        <v>956</v>
      </c>
      <c r="G85" s="3" t="s">
        <v>3489</v>
      </c>
      <c r="H85" s="6">
        <v>58329.695999999996</v>
      </c>
    </row>
    <row r="86" spans="1:8" ht="15.75" hidden="1" customHeight="1" x14ac:dyDescent="0.35">
      <c r="A86" s="15"/>
      <c r="B86" s="3" t="s">
        <v>96</v>
      </c>
      <c r="C86" s="3" t="s">
        <v>2644</v>
      </c>
      <c r="D86" s="3" t="s">
        <v>861</v>
      </c>
      <c r="E86" s="3" t="s">
        <v>1785</v>
      </c>
      <c r="F86" s="3" t="s">
        <v>957</v>
      </c>
      <c r="G86" s="3" t="s">
        <v>3490</v>
      </c>
      <c r="H86" s="6">
        <v>36364.480000000003</v>
      </c>
    </row>
    <row r="87" spans="1:8" ht="15.75" hidden="1" customHeight="1" x14ac:dyDescent="0.35">
      <c r="A87" s="15"/>
      <c r="B87" s="3" t="s">
        <v>99</v>
      </c>
      <c r="C87" s="3" t="s">
        <v>2647</v>
      </c>
      <c r="D87" s="3" t="s">
        <v>861</v>
      </c>
      <c r="E87" s="3" t="s">
        <v>1788</v>
      </c>
      <c r="F87" s="3" t="s">
        <v>951</v>
      </c>
      <c r="G87" s="3" t="s">
        <v>3491</v>
      </c>
      <c r="H87" s="6">
        <v>38564.223999999995</v>
      </c>
    </row>
    <row r="88" spans="1:8" ht="15.75" hidden="1" customHeight="1" x14ac:dyDescent="0.35">
      <c r="A88" s="15"/>
      <c r="B88" s="3" t="s">
        <v>100</v>
      </c>
      <c r="C88" s="3" t="s">
        <v>2648</v>
      </c>
      <c r="D88" s="3" t="s">
        <v>861</v>
      </c>
      <c r="E88" s="3" t="s">
        <v>1789</v>
      </c>
      <c r="F88" s="3" t="s">
        <v>960</v>
      </c>
      <c r="G88" s="3" t="s">
        <v>3492</v>
      </c>
      <c r="H88" s="6">
        <v>26515.488000000001</v>
      </c>
    </row>
    <row r="89" spans="1:8" ht="15.75" hidden="1" customHeight="1" x14ac:dyDescent="0.35">
      <c r="A89" s="15"/>
      <c r="B89" s="3" t="s">
        <v>102</v>
      </c>
      <c r="C89" s="3" t="s">
        <v>2650</v>
      </c>
      <c r="D89" s="3" t="s">
        <v>861</v>
      </c>
      <c r="E89" s="3" t="s">
        <v>1791</v>
      </c>
      <c r="F89" s="3" t="s">
        <v>962</v>
      </c>
      <c r="G89" s="3" t="s">
        <v>3493</v>
      </c>
      <c r="H89" s="6">
        <v>48205.279999999999</v>
      </c>
    </row>
    <row r="90" spans="1:8" ht="15.75" hidden="1" customHeight="1" x14ac:dyDescent="0.35">
      <c r="A90" s="15"/>
      <c r="B90" s="3" t="s">
        <v>103</v>
      </c>
      <c r="C90" s="3" t="s">
        <v>2651</v>
      </c>
      <c r="D90" s="3" t="s">
        <v>861</v>
      </c>
      <c r="E90" s="3" t="s">
        <v>1792</v>
      </c>
      <c r="F90" s="3" t="s">
        <v>963</v>
      </c>
      <c r="G90" s="3" t="s">
        <v>3494</v>
      </c>
      <c r="H90" s="6">
        <v>22001.696</v>
      </c>
    </row>
    <row r="91" spans="1:8" ht="15.75" hidden="1" customHeight="1" x14ac:dyDescent="0.35">
      <c r="A91" s="15"/>
      <c r="B91" s="3" t="s">
        <v>104</v>
      </c>
      <c r="C91" s="3" t="s">
        <v>2652</v>
      </c>
      <c r="D91" s="3" t="s">
        <v>861</v>
      </c>
      <c r="E91" s="3" t="s">
        <v>1793</v>
      </c>
      <c r="F91" s="3" t="s">
        <v>964</v>
      </c>
      <c r="G91" s="3" t="s">
        <v>3495</v>
      </c>
      <c r="H91" s="6">
        <v>37557.983999999997</v>
      </c>
    </row>
    <row r="92" spans="1:8" ht="15.75" hidden="1" customHeight="1" x14ac:dyDescent="0.35">
      <c r="A92" s="15"/>
      <c r="B92" s="3" t="s">
        <v>105</v>
      </c>
      <c r="C92" s="3" t="s">
        <v>2653</v>
      </c>
      <c r="D92" s="3" t="s">
        <v>861</v>
      </c>
      <c r="E92" s="3" t="s">
        <v>1794</v>
      </c>
      <c r="F92" s="3" t="s">
        <v>965</v>
      </c>
      <c r="G92" s="3" t="s">
        <v>3496</v>
      </c>
      <c r="H92" s="6">
        <v>11129.44</v>
      </c>
    </row>
    <row r="93" spans="1:8" ht="15.75" hidden="1" customHeight="1" x14ac:dyDescent="0.35">
      <c r="A93" s="15"/>
      <c r="B93" s="3" t="s">
        <v>106</v>
      </c>
      <c r="C93" s="3" t="s">
        <v>2654</v>
      </c>
      <c r="D93" s="3" t="s">
        <v>861</v>
      </c>
      <c r="E93" s="3" t="s">
        <v>1795</v>
      </c>
      <c r="F93" s="3" t="s">
        <v>966</v>
      </c>
      <c r="G93" s="3" t="s">
        <v>3497</v>
      </c>
      <c r="H93" s="6">
        <v>28157.088</v>
      </c>
    </row>
    <row r="94" spans="1:8" ht="15.75" hidden="1" customHeight="1" x14ac:dyDescent="0.35">
      <c r="A94" s="15"/>
      <c r="B94" s="3" t="s">
        <v>107</v>
      </c>
      <c r="C94" s="3" t="s">
        <v>2655</v>
      </c>
      <c r="D94" s="3" t="s">
        <v>861</v>
      </c>
      <c r="E94" s="3" t="s">
        <v>1796</v>
      </c>
      <c r="F94" s="3" t="s">
        <v>967</v>
      </c>
      <c r="G94" s="3" t="s">
        <v>3497</v>
      </c>
      <c r="H94" s="6">
        <v>25713.536</v>
      </c>
    </row>
    <row r="95" spans="1:8" ht="15.75" hidden="1" customHeight="1" x14ac:dyDescent="0.35">
      <c r="A95" s="15"/>
      <c r="B95" s="3" t="s">
        <v>108</v>
      </c>
      <c r="C95" s="3" t="s">
        <v>2656</v>
      </c>
      <c r="D95" s="3" t="s">
        <v>861</v>
      </c>
      <c r="E95" s="3" t="s">
        <v>1797</v>
      </c>
      <c r="F95" s="3" t="s">
        <v>968</v>
      </c>
      <c r="G95" s="3" t="s">
        <v>3498</v>
      </c>
      <c r="H95" s="6">
        <v>25713.536</v>
      </c>
    </row>
    <row r="96" spans="1:8" ht="15.75" hidden="1" customHeight="1" x14ac:dyDescent="0.35">
      <c r="A96" s="15"/>
      <c r="B96" s="3" t="s">
        <v>109</v>
      </c>
      <c r="C96" s="3" t="s">
        <v>2657</v>
      </c>
      <c r="D96" s="3" t="s">
        <v>861</v>
      </c>
      <c r="E96" s="3" t="s">
        <v>1798</v>
      </c>
      <c r="F96" s="3" t="s">
        <v>969</v>
      </c>
      <c r="G96" s="3" t="s">
        <v>3499</v>
      </c>
      <c r="H96" s="6">
        <v>33080.063999999998</v>
      </c>
    </row>
    <row r="97" spans="1:8" ht="15.75" hidden="1" customHeight="1" x14ac:dyDescent="0.35">
      <c r="A97" s="15"/>
      <c r="B97" s="3" t="s">
        <v>110</v>
      </c>
      <c r="C97" s="3" t="s">
        <v>2658</v>
      </c>
      <c r="D97" s="3" t="s">
        <v>861</v>
      </c>
      <c r="E97" s="3" t="s">
        <v>1799</v>
      </c>
      <c r="F97" s="3" t="s">
        <v>970</v>
      </c>
      <c r="G97" s="3" t="s">
        <v>3499</v>
      </c>
      <c r="H97" s="6">
        <v>32455.647999999994</v>
      </c>
    </row>
    <row r="98" spans="1:8" ht="15.75" hidden="1" customHeight="1" x14ac:dyDescent="0.35">
      <c r="A98" s="15"/>
      <c r="B98" s="3" t="s">
        <v>111</v>
      </c>
      <c r="C98" s="3" t="s">
        <v>2659</v>
      </c>
      <c r="D98" s="3" t="s">
        <v>861</v>
      </c>
      <c r="E98" s="3" t="s">
        <v>1800</v>
      </c>
      <c r="F98" s="3" t="s">
        <v>971</v>
      </c>
      <c r="G98" s="3" t="s">
        <v>3500</v>
      </c>
      <c r="H98" s="6">
        <v>34464.480000000003</v>
      </c>
    </row>
    <row r="99" spans="1:8" ht="15.75" hidden="1" customHeight="1" x14ac:dyDescent="0.35">
      <c r="A99" s="15"/>
      <c r="B99" s="3" t="s">
        <v>112</v>
      </c>
      <c r="C99" s="3" t="s">
        <v>2660</v>
      </c>
      <c r="D99" s="3" t="s">
        <v>860</v>
      </c>
      <c r="E99" s="3" t="s">
        <v>1801</v>
      </c>
      <c r="F99" s="3" t="s">
        <v>972</v>
      </c>
      <c r="G99" s="3" t="s">
        <v>3501</v>
      </c>
      <c r="H99" s="6">
        <v>22483.84</v>
      </c>
    </row>
    <row r="100" spans="1:8" ht="15.75" hidden="1" customHeight="1" x14ac:dyDescent="0.35">
      <c r="A100" s="15"/>
      <c r="B100" s="3" t="s">
        <v>113</v>
      </c>
      <c r="C100" s="3" t="s">
        <v>2661</v>
      </c>
      <c r="D100" s="3" t="s">
        <v>861</v>
      </c>
      <c r="E100" s="3" t="s">
        <v>1802</v>
      </c>
      <c r="F100" s="3" t="s">
        <v>973</v>
      </c>
      <c r="G100" s="3" t="s">
        <v>3502</v>
      </c>
      <c r="H100" s="6">
        <v>30031.552</v>
      </c>
    </row>
    <row r="101" spans="1:8" ht="15.75" hidden="1" customHeight="1" x14ac:dyDescent="0.35">
      <c r="A101" s="15"/>
      <c r="B101" s="3" t="s">
        <v>114</v>
      </c>
      <c r="C101" s="3" t="s">
        <v>2662</v>
      </c>
      <c r="D101" s="3" t="s">
        <v>861</v>
      </c>
      <c r="E101" s="3" t="s">
        <v>1803</v>
      </c>
      <c r="F101" s="3" t="s">
        <v>974</v>
      </c>
      <c r="G101" s="3" t="s">
        <v>3502</v>
      </c>
      <c r="H101" s="6">
        <v>16628.191999999999</v>
      </c>
    </row>
    <row r="102" spans="1:8" ht="15.75" hidden="1" customHeight="1" x14ac:dyDescent="0.35">
      <c r="A102" s="15"/>
      <c r="B102" s="3" t="s">
        <v>115</v>
      </c>
      <c r="C102" s="3" t="s">
        <v>2663</v>
      </c>
      <c r="D102" s="3" t="s">
        <v>861</v>
      </c>
      <c r="E102" s="3" t="s">
        <v>1804</v>
      </c>
      <c r="F102" s="3" t="s">
        <v>975</v>
      </c>
      <c r="G102" s="3" t="s">
        <v>3503</v>
      </c>
      <c r="H102" s="6">
        <v>16454.304</v>
      </c>
    </row>
    <row r="103" spans="1:8" ht="15.75" hidden="1" customHeight="1" x14ac:dyDescent="0.35">
      <c r="A103" s="15"/>
      <c r="B103" s="3" t="s">
        <v>116</v>
      </c>
      <c r="C103" s="3" t="s">
        <v>2664</v>
      </c>
      <c r="D103" s="3" t="s">
        <v>861</v>
      </c>
      <c r="E103" s="3" t="s">
        <v>1805</v>
      </c>
      <c r="F103" s="3" t="s">
        <v>976</v>
      </c>
      <c r="G103" s="3" t="s">
        <v>3504</v>
      </c>
      <c r="H103" s="6">
        <v>24257.984</v>
      </c>
    </row>
    <row r="104" spans="1:8" ht="15.75" customHeight="1" x14ac:dyDescent="0.35">
      <c r="A104" s="15"/>
      <c r="B104" s="3" t="s">
        <v>5974</v>
      </c>
      <c r="C104" s="3" t="s">
        <v>6018</v>
      </c>
      <c r="D104" s="3" t="s">
        <v>861</v>
      </c>
      <c r="E104" s="3" t="s">
        <v>5975</v>
      </c>
      <c r="F104" s="3" t="s">
        <v>5976</v>
      </c>
      <c r="G104" s="3" t="s">
        <v>3947</v>
      </c>
      <c r="H104" s="6">
        <v>33722.719999999994</v>
      </c>
    </row>
    <row r="105" spans="1:8" ht="15.75" hidden="1" customHeight="1" x14ac:dyDescent="0.35">
      <c r="A105" s="15"/>
      <c r="B105" s="3" t="s">
        <v>117</v>
      </c>
      <c r="C105" s="3" t="s">
        <v>2665</v>
      </c>
      <c r="D105" s="3" t="s">
        <v>860</v>
      </c>
      <c r="E105" s="3" t="s">
        <v>1806</v>
      </c>
      <c r="F105" s="3" t="s">
        <v>977</v>
      </c>
      <c r="G105" s="3" t="s">
        <v>5708</v>
      </c>
      <c r="H105" s="6">
        <v>28827.712</v>
      </c>
    </row>
    <row r="106" spans="1:8" ht="15.75" hidden="1" customHeight="1" x14ac:dyDescent="0.35">
      <c r="A106" s="15"/>
      <c r="B106" s="3" t="s">
        <v>119</v>
      </c>
      <c r="C106" s="3" t="s">
        <v>2667</v>
      </c>
      <c r="D106" s="3" t="s">
        <v>860</v>
      </c>
      <c r="E106" s="3" t="s">
        <v>1808</v>
      </c>
      <c r="F106" s="3" t="s">
        <v>979</v>
      </c>
      <c r="G106" s="3" t="s">
        <v>5750</v>
      </c>
      <c r="H106" s="6">
        <v>36734.143999999993</v>
      </c>
    </row>
    <row r="107" spans="1:8" ht="15.75" hidden="1" customHeight="1" x14ac:dyDescent="0.35">
      <c r="A107" s="15"/>
      <c r="B107" s="3" t="s">
        <v>120</v>
      </c>
      <c r="C107" s="3" t="s">
        <v>2668</v>
      </c>
      <c r="D107" s="3" t="s">
        <v>860</v>
      </c>
      <c r="E107" s="3" t="s">
        <v>1809</v>
      </c>
      <c r="F107" s="3" t="s">
        <v>980</v>
      </c>
      <c r="G107" s="3" t="s">
        <v>3505</v>
      </c>
      <c r="H107" s="6">
        <v>22566.528000000002</v>
      </c>
    </row>
    <row r="108" spans="1:8" ht="15.75" hidden="1" customHeight="1" x14ac:dyDescent="0.35">
      <c r="A108" s="15"/>
      <c r="B108" s="3" t="s">
        <v>121</v>
      </c>
      <c r="C108" s="3" t="s">
        <v>2669</v>
      </c>
      <c r="D108" s="3" t="s">
        <v>861</v>
      </c>
      <c r="E108" s="3" t="s">
        <v>1810</v>
      </c>
      <c r="F108" s="3" t="s">
        <v>981</v>
      </c>
      <c r="G108" s="3" t="s">
        <v>3506</v>
      </c>
      <c r="H108" s="6">
        <v>11129.44</v>
      </c>
    </row>
    <row r="109" spans="1:8" ht="15.75" hidden="1" customHeight="1" x14ac:dyDescent="0.35">
      <c r="A109" s="15"/>
      <c r="B109" s="3" t="s">
        <v>122</v>
      </c>
      <c r="C109" s="3" t="s">
        <v>2670</v>
      </c>
      <c r="D109" s="3" t="s">
        <v>861</v>
      </c>
      <c r="E109" s="3" t="s">
        <v>1811</v>
      </c>
      <c r="F109" s="3" t="s">
        <v>982</v>
      </c>
      <c r="G109" s="3" t="s">
        <v>3506</v>
      </c>
      <c r="H109" s="6">
        <v>10915.423999999999</v>
      </c>
    </row>
    <row r="110" spans="1:8" ht="15.75" hidden="1" customHeight="1" x14ac:dyDescent="0.35">
      <c r="A110" s="15"/>
      <c r="B110" s="3" t="s">
        <v>123</v>
      </c>
      <c r="C110" s="3" t="s">
        <v>2671</v>
      </c>
      <c r="D110" s="3" t="s">
        <v>861</v>
      </c>
      <c r="E110" s="3" t="s">
        <v>1812</v>
      </c>
      <c r="F110" s="3" t="s">
        <v>983</v>
      </c>
      <c r="G110" s="3" t="s">
        <v>3507</v>
      </c>
      <c r="H110" s="6">
        <v>16366.751999999999</v>
      </c>
    </row>
    <row r="111" spans="1:8" ht="15.75" hidden="1" customHeight="1" x14ac:dyDescent="0.35">
      <c r="A111" s="15"/>
      <c r="B111" s="3" t="s">
        <v>124</v>
      </c>
      <c r="C111" s="3" t="s">
        <v>2672</v>
      </c>
      <c r="D111" s="3" t="s">
        <v>861</v>
      </c>
      <c r="E111" s="3" t="s">
        <v>1813</v>
      </c>
      <c r="F111" s="3" t="s">
        <v>984</v>
      </c>
      <c r="G111" s="3" t="s">
        <v>3508</v>
      </c>
      <c r="H111" s="6">
        <v>19468.767999999996</v>
      </c>
    </row>
    <row r="112" spans="1:8" ht="15.75" hidden="1" customHeight="1" x14ac:dyDescent="0.35">
      <c r="A112" s="15"/>
      <c r="B112" s="3" t="s">
        <v>126</v>
      </c>
      <c r="C112" s="3" t="s">
        <v>2674</v>
      </c>
      <c r="D112" s="3" t="s">
        <v>860</v>
      </c>
      <c r="E112" s="3" t="s">
        <v>1815</v>
      </c>
      <c r="F112" s="3" t="s">
        <v>986</v>
      </c>
      <c r="G112" s="3" t="s">
        <v>5951</v>
      </c>
      <c r="H112" s="6">
        <v>69740.639999999999</v>
      </c>
    </row>
    <row r="113" spans="1:8" ht="15.75" hidden="1" customHeight="1" x14ac:dyDescent="0.35">
      <c r="A113" s="15"/>
      <c r="B113" s="3" t="s">
        <v>129</v>
      </c>
      <c r="C113" s="3" t="s">
        <v>2677</v>
      </c>
      <c r="D113" s="3" t="s">
        <v>860</v>
      </c>
      <c r="E113" s="3" t="s">
        <v>1818</v>
      </c>
      <c r="F113" s="3" t="s">
        <v>989</v>
      </c>
      <c r="G113" s="3" t="s">
        <v>3509</v>
      </c>
      <c r="H113" s="6">
        <v>23071.167999999998</v>
      </c>
    </row>
    <row r="114" spans="1:8" ht="15.75" hidden="1" customHeight="1" x14ac:dyDescent="0.35">
      <c r="A114" s="15"/>
      <c r="B114" s="3" t="s">
        <v>130</v>
      </c>
      <c r="C114" s="3" t="s">
        <v>2678</v>
      </c>
      <c r="D114" s="3" t="s">
        <v>861</v>
      </c>
      <c r="E114" s="3" t="s">
        <v>1819</v>
      </c>
      <c r="F114" s="3" t="s">
        <v>990</v>
      </c>
      <c r="G114" s="3" t="s">
        <v>3510</v>
      </c>
      <c r="H114" s="6">
        <v>25712.319999999996</v>
      </c>
    </row>
    <row r="115" spans="1:8" ht="15.75" hidden="1" customHeight="1" x14ac:dyDescent="0.35">
      <c r="A115" s="15"/>
      <c r="B115" s="3" t="s">
        <v>131</v>
      </c>
      <c r="C115" s="3" t="s">
        <v>2679</v>
      </c>
      <c r="D115" s="3" t="s">
        <v>861</v>
      </c>
      <c r="E115" s="3" t="s">
        <v>1820</v>
      </c>
      <c r="F115" s="3" t="s">
        <v>991</v>
      </c>
      <c r="G115" s="3" t="s">
        <v>3511</v>
      </c>
      <c r="H115" s="6">
        <v>46447.552000000003</v>
      </c>
    </row>
    <row r="116" spans="1:8" ht="15.75" hidden="1" customHeight="1" x14ac:dyDescent="0.35">
      <c r="A116" s="15"/>
      <c r="B116" s="3" t="s">
        <v>132</v>
      </c>
      <c r="C116" s="3" t="s">
        <v>2680</v>
      </c>
      <c r="D116" s="3" t="s">
        <v>860</v>
      </c>
      <c r="E116" s="3" t="s">
        <v>1821</v>
      </c>
      <c r="F116" s="3" t="s">
        <v>992</v>
      </c>
      <c r="G116" s="3" t="s">
        <v>5686</v>
      </c>
      <c r="H116" s="6">
        <v>23454.815999999999</v>
      </c>
    </row>
    <row r="117" spans="1:8" ht="15.75" hidden="1" customHeight="1" x14ac:dyDescent="0.35">
      <c r="A117" s="15"/>
      <c r="B117" s="3" t="s">
        <v>133</v>
      </c>
      <c r="C117" s="3" t="s">
        <v>2681</v>
      </c>
      <c r="D117" s="3" t="s">
        <v>860</v>
      </c>
      <c r="E117" s="3" t="s">
        <v>1822</v>
      </c>
      <c r="F117" s="3" t="s">
        <v>993</v>
      </c>
      <c r="G117" s="3" t="s">
        <v>3512</v>
      </c>
      <c r="H117" s="6">
        <v>29093.407999999999</v>
      </c>
    </row>
    <row r="118" spans="1:8" ht="15.75" hidden="1" customHeight="1" x14ac:dyDescent="0.35">
      <c r="A118" s="15"/>
      <c r="B118" s="3" t="s">
        <v>134</v>
      </c>
      <c r="C118" s="3" t="s">
        <v>2682</v>
      </c>
      <c r="D118" s="3" t="s">
        <v>861</v>
      </c>
      <c r="E118" s="3" t="s">
        <v>1823</v>
      </c>
      <c r="F118" s="3" t="s">
        <v>994</v>
      </c>
      <c r="G118" s="3" t="s">
        <v>3513</v>
      </c>
      <c r="H118" s="6">
        <v>35512.063999999998</v>
      </c>
    </row>
    <row r="119" spans="1:8" ht="15.75" hidden="1" customHeight="1" x14ac:dyDescent="0.35">
      <c r="A119" s="15"/>
      <c r="B119" s="3" t="s">
        <v>135</v>
      </c>
      <c r="C119" s="3" t="s">
        <v>2683</v>
      </c>
      <c r="D119" s="3" t="s">
        <v>861</v>
      </c>
      <c r="E119" s="3" t="s">
        <v>1824</v>
      </c>
      <c r="F119" s="3" t="s">
        <v>995</v>
      </c>
      <c r="G119" s="3" t="s">
        <v>3514</v>
      </c>
      <c r="H119" s="6">
        <v>36364.480000000003</v>
      </c>
    </row>
    <row r="120" spans="1:8" ht="15.75" hidden="1" customHeight="1" x14ac:dyDescent="0.35">
      <c r="A120" s="15"/>
      <c r="B120" s="3" t="s">
        <v>138</v>
      </c>
      <c r="C120" s="3" t="s">
        <v>2686</v>
      </c>
      <c r="D120" s="3" t="s">
        <v>860</v>
      </c>
      <c r="E120" s="3" t="s">
        <v>1827</v>
      </c>
      <c r="F120" s="3" t="s">
        <v>998</v>
      </c>
      <c r="G120" s="3" t="s">
        <v>3515</v>
      </c>
      <c r="H120" s="6">
        <v>20017.792000000001</v>
      </c>
    </row>
    <row r="121" spans="1:8" ht="15.75" hidden="1" customHeight="1" x14ac:dyDescent="0.35">
      <c r="A121" s="15"/>
      <c r="B121" s="3" t="s">
        <v>140</v>
      </c>
      <c r="C121" s="3" t="s">
        <v>2688</v>
      </c>
      <c r="D121" s="3" t="s">
        <v>861</v>
      </c>
      <c r="E121" s="3" t="s">
        <v>1829</v>
      </c>
      <c r="F121" s="3" t="s">
        <v>1000</v>
      </c>
      <c r="G121" s="3" t="s">
        <v>3516</v>
      </c>
      <c r="H121" s="6">
        <v>19262.047999999999</v>
      </c>
    </row>
    <row r="122" spans="1:8" ht="15.75" hidden="1" customHeight="1" x14ac:dyDescent="0.35">
      <c r="A122" s="15"/>
      <c r="B122" s="3" t="s">
        <v>141</v>
      </c>
      <c r="C122" s="3" t="s">
        <v>2689</v>
      </c>
      <c r="D122" s="3" t="s">
        <v>860</v>
      </c>
      <c r="E122" s="3" t="s">
        <v>1830</v>
      </c>
      <c r="F122" s="3" t="s">
        <v>1001</v>
      </c>
      <c r="G122" s="3" t="s">
        <v>3516</v>
      </c>
      <c r="H122" s="6">
        <v>27215.903999999999</v>
      </c>
    </row>
    <row r="123" spans="1:8" ht="15.75" hidden="1" customHeight="1" x14ac:dyDescent="0.35">
      <c r="A123" s="15"/>
      <c r="B123" s="3" t="s">
        <v>142</v>
      </c>
      <c r="C123" s="3" t="s">
        <v>2690</v>
      </c>
      <c r="D123" s="3" t="s">
        <v>861</v>
      </c>
      <c r="E123" s="3" t="s">
        <v>1831</v>
      </c>
      <c r="F123" s="3" t="s">
        <v>1002</v>
      </c>
      <c r="G123" s="3" t="s">
        <v>3517</v>
      </c>
      <c r="H123" s="6">
        <v>26461.984</v>
      </c>
    </row>
    <row r="124" spans="1:8" ht="15.75" hidden="1" customHeight="1" x14ac:dyDescent="0.35">
      <c r="A124" s="15"/>
      <c r="B124" s="3" t="s">
        <v>143</v>
      </c>
      <c r="C124" s="3" t="s">
        <v>2691</v>
      </c>
      <c r="D124" s="3" t="s">
        <v>860</v>
      </c>
      <c r="E124" s="3" t="s">
        <v>1832</v>
      </c>
      <c r="F124" s="3" t="s">
        <v>1003</v>
      </c>
      <c r="G124" s="3" t="s">
        <v>3518</v>
      </c>
      <c r="H124" s="6">
        <v>13092.672</v>
      </c>
    </row>
    <row r="125" spans="1:8" ht="15.75" hidden="1" customHeight="1" x14ac:dyDescent="0.35">
      <c r="A125" s="15"/>
      <c r="B125" s="3" t="s">
        <v>144</v>
      </c>
      <c r="C125" s="3" t="s">
        <v>2692</v>
      </c>
      <c r="D125" s="3" t="s">
        <v>860</v>
      </c>
      <c r="E125" s="3" t="s">
        <v>1833</v>
      </c>
      <c r="F125" s="3" t="s">
        <v>1004</v>
      </c>
      <c r="G125" s="3" t="s">
        <v>3519</v>
      </c>
      <c r="H125" s="6">
        <v>22539.167999999998</v>
      </c>
    </row>
    <row r="126" spans="1:8" ht="15.75" hidden="1" customHeight="1" x14ac:dyDescent="0.35">
      <c r="A126" s="15"/>
      <c r="B126" s="3" t="s">
        <v>145</v>
      </c>
      <c r="C126" s="3" t="s">
        <v>2693</v>
      </c>
      <c r="D126" s="3" t="s">
        <v>860</v>
      </c>
      <c r="E126" s="3" t="s">
        <v>1834</v>
      </c>
      <c r="F126" s="3" t="s">
        <v>1005</v>
      </c>
      <c r="G126" s="3" t="s">
        <v>3520</v>
      </c>
      <c r="H126" s="6">
        <v>17296.991999999998</v>
      </c>
    </row>
    <row r="127" spans="1:8" ht="15.75" hidden="1" customHeight="1" x14ac:dyDescent="0.35">
      <c r="A127" s="15"/>
      <c r="B127" s="3" t="s">
        <v>147</v>
      </c>
      <c r="C127" s="3" t="s">
        <v>2695</v>
      </c>
      <c r="D127" s="3" t="s">
        <v>861</v>
      </c>
      <c r="E127" s="3" t="s">
        <v>1836</v>
      </c>
      <c r="F127" s="3" t="s">
        <v>1007</v>
      </c>
      <c r="G127" s="3" t="s">
        <v>3521</v>
      </c>
      <c r="H127" s="6">
        <v>24836.799999999999</v>
      </c>
    </row>
    <row r="128" spans="1:8" ht="15.75" hidden="1" customHeight="1" x14ac:dyDescent="0.35">
      <c r="A128" s="15"/>
      <c r="B128" s="3" t="s">
        <v>148</v>
      </c>
      <c r="C128" s="3" t="s">
        <v>2696</v>
      </c>
      <c r="D128" s="3" t="s">
        <v>861</v>
      </c>
      <c r="E128" s="3" t="s">
        <v>1837</v>
      </c>
      <c r="F128" s="3" t="s">
        <v>1008</v>
      </c>
      <c r="G128" s="3" t="s">
        <v>6019</v>
      </c>
      <c r="H128" s="6">
        <v>16291.967999999997</v>
      </c>
    </row>
    <row r="129" spans="1:8" ht="15.75" hidden="1" customHeight="1" x14ac:dyDescent="0.35">
      <c r="A129" s="15"/>
      <c r="B129" s="3" t="s">
        <v>149</v>
      </c>
      <c r="C129" s="3" t="s">
        <v>2697</v>
      </c>
      <c r="D129" s="3" t="s">
        <v>861</v>
      </c>
      <c r="E129" s="3" t="s">
        <v>1838</v>
      </c>
      <c r="F129" s="3" t="s">
        <v>1009</v>
      </c>
      <c r="G129" s="3" t="s">
        <v>3522</v>
      </c>
      <c r="H129" s="6">
        <v>33080.063999999998</v>
      </c>
    </row>
    <row r="130" spans="1:8" ht="15.75" hidden="1" customHeight="1" x14ac:dyDescent="0.35">
      <c r="A130" s="15"/>
      <c r="B130" s="3" t="s">
        <v>150</v>
      </c>
      <c r="C130" s="3" t="s">
        <v>2698</v>
      </c>
      <c r="D130" s="3" t="s">
        <v>860</v>
      </c>
      <c r="E130" s="3" t="s">
        <v>1839</v>
      </c>
      <c r="F130" s="3" t="s">
        <v>1010</v>
      </c>
      <c r="G130" s="3" t="s">
        <v>3523</v>
      </c>
      <c r="H130" s="6">
        <v>37423.615999999995</v>
      </c>
    </row>
    <row r="131" spans="1:8" ht="15.75" hidden="1" customHeight="1" x14ac:dyDescent="0.35">
      <c r="A131" s="15"/>
      <c r="B131" s="3" t="s">
        <v>151</v>
      </c>
      <c r="C131" s="3" t="s">
        <v>2699</v>
      </c>
      <c r="D131" s="3" t="s">
        <v>860</v>
      </c>
      <c r="E131" s="3" t="s">
        <v>1840</v>
      </c>
      <c r="F131" s="3" t="s">
        <v>1011</v>
      </c>
      <c r="G131" s="3" t="s">
        <v>3524</v>
      </c>
      <c r="H131" s="6">
        <v>57101.535999999993</v>
      </c>
    </row>
    <row r="132" spans="1:8" ht="15.75" hidden="1" customHeight="1" x14ac:dyDescent="0.35">
      <c r="A132" s="15"/>
      <c r="B132" s="3" t="s">
        <v>152</v>
      </c>
      <c r="C132" s="3" t="s">
        <v>2700</v>
      </c>
      <c r="D132" s="3" t="s">
        <v>861</v>
      </c>
      <c r="E132" s="3" t="s">
        <v>1841</v>
      </c>
      <c r="F132" s="3" t="s">
        <v>1012</v>
      </c>
      <c r="G132" s="3" t="s">
        <v>3525</v>
      </c>
      <c r="H132" s="6">
        <v>43009.311999999998</v>
      </c>
    </row>
    <row r="133" spans="1:8" ht="15.75" hidden="1" customHeight="1" x14ac:dyDescent="0.35">
      <c r="A133" s="15"/>
      <c r="B133" s="3" t="s">
        <v>153</v>
      </c>
      <c r="C133" s="3" t="s">
        <v>2701</v>
      </c>
      <c r="D133" s="3" t="s">
        <v>860</v>
      </c>
      <c r="E133" s="3" t="s">
        <v>1842</v>
      </c>
      <c r="F133" s="3" t="s">
        <v>1013</v>
      </c>
      <c r="G133" s="3" t="s">
        <v>3526</v>
      </c>
      <c r="H133" s="6">
        <v>26690.592000000001</v>
      </c>
    </row>
    <row r="134" spans="1:8" ht="15.75" hidden="1" customHeight="1" x14ac:dyDescent="0.35">
      <c r="A134" s="15"/>
      <c r="B134" s="3" t="s">
        <v>154</v>
      </c>
      <c r="C134" s="3" t="s">
        <v>2702</v>
      </c>
      <c r="D134" s="3" t="s">
        <v>861</v>
      </c>
      <c r="E134" s="3" t="s">
        <v>1843</v>
      </c>
      <c r="F134" s="3" t="s">
        <v>1014</v>
      </c>
      <c r="G134" s="3" t="s">
        <v>3527</v>
      </c>
      <c r="H134" s="6">
        <v>19116.128000000001</v>
      </c>
    </row>
    <row r="135" spans="1:8" ht="15.75" hidden="1" customHeight="1" x14ac:dyDescent="0.35">
      <c r="A135" s="15"/>
      <c r="B135" s="3" t="s">
        <v>156</v>
      </c>
      <c r="C135" s="3" t="s">
        <v>2704</v>
      </c>
      <c r="D135" s="3" t="s">
        <v>861</v>
      </c>
      <c r="E135" s="3" t="s">
        <v>1845</v>
      </c>
      <c r="F135" s="3" t="s">
        <v>1016</v>
      </c>
      <c r="G135" s="3" t="s">
        <v>3528</v>
      </c>
      <c r="H135" s="6">
        <v>41607.872000000003</v>
      </c>
    </row>
    <row r="136" spans="1:8" ht="15.75" hidden="1" customHeight="1" x14ac:dyDescent="0.35">
      <c r="A136" s="15"/>
      <c r="B136" s="3" t="s">
        <v>157</v>
      </c>
      <c r="C136" s="3" t="s">
        <v>2705</v>
      </c>
      <c r="D136" s="3" t="s">
        <v>861</v>
      </c>
      <c r="E136" s="3" t="s">
        <v>1846</v>
      </c>
      <c r="F136" s="3" t="s">
        <v>1017</v>
      </c>
      <c r="G136" s="3" t="s">
        <v>3529</v>
      </c>
      <c r="H136" s="6">
        <v>14526.944</v>
      </c>
    </row>
    <row r="137" spans="1:8" ht="15.75" hidden="1" customHeight="1" x14ac:dyDescent="0.35">
      <c r="A137" s="15"/>
      <c r="B137" s="3" t="s">
        <v>158</v>
      </c>
      <c r="C137" s="3" t="s">
        <v>2706</v>
      </c>
      <c r="D137" s="3" t="s">
        <v>860</v>
      </c>
      <c r="E137" s="3" t="s">
        <v>1847</v>
      </c>
      <c r="F137" s="3" t="s">
        <v>1018</v>
      </c>
      <c r="G137" s="3" t="s">
        <v>3530</v>
      </c>
      <c r="H137" s="6">
        <v>30981.248</v>
      </c>
    </row>
    <row r="138" spans="1:8" ht="15.75" hidden="1" customHeight="1" x14ac:dyDescent="0.35">
      <c r="A138" s="15"/>
      <c r="B138" s="3" t="s">
        <v>159</v>
      </c>
      <c r="C138" s="3" t="s">
        <v>2707</v>
      </c>
      <c r="D138" s="3" t="s">
        <v>861</v>
      </c>
      <c r="E138" s="3" t="s">
        <v>1848</v>
      </c>
      <c r="F138" s="3" t="s">
        <v>1019</v>
      </c>
      <c r="G138" s="3" t="s">
        <v>3531</v>
      </c>
      <c r="H138" s="6">
        <v>21667.295999999998</v>
      </c>
    </row>
    <row r="139" spans="1:8" ht="15.75" hidden="1" customHeight="1" x14ac:dyDescent="0.35">
      <c r="A139" s="15"/>
      <c r="B139" s="3" t="s">
        <v>160</v>
      </c>
      <c r="C139" s="3" t="s">
        <v>2708</v>
      </c>
      <c r="D139" s="3" t="s">
        <v>861</v>
      </c>
      <c r="E139" s="3" t="s">
        <v>1849</v>
      </c>
      <c r="F139" s="3" t="s">
        <v>1020</v>
      </c>
      <c r="G139" s="3" t="s">
        <v>3532</v>
      </c>
      <c r="H139" s="6">
        <v>11129.44</v>
      </c>
    </row>
    <row r="140" spans="1:8" ht="15.75" hidden="1" customHeight="1" x14ac:dyDescent="0.35">
      <c r="A140" s="15"/>
      <c r="B140" s="3" t="s">
        <v>161</v>
      </c>
      <c r="C140" s="3" t="s">
        <v>2709</v>
      </c>
      <c r="D140" s="3" t="s">
        <v>860</v>
      </c>
      <c r="E140" s="3" t="s">
        <v>1850</v>
      </c>
      <c r="F140" s="3" t="s">
        <v>1021</v>
      </c>
      <c r="G140" s="3" t="s">
        <v>3533</v>
      </c>
      <c r="H140" s="6">
        <v>29002.815999999999</v>
      </c>
    </row>
    <row r="141" spans="1:8" ht="15.75" hidden="1" customHeight="1" x14ac:dyDescent="0.35">
      <c r="A141" s="15"/>
      <c r="B141" s="3" t="s">
        <v>162</v>
      </c>
      <c r="C141" s="3" t="s">
        <v>2710</v>
      </c>
      <c r="D141" s="3" t="s">
        <v>861</v>
      </c>
      <c r="E141" s="3" t="s">
        <v>1851</v>
      </c>
      <c r="F141" s="3" t="s">
        <v>1022</v>
      </c>
      <c r="G141" s="3" t="s">
        <v>3534</v>
      </c>
      <c r="H141" s="6">
        <v>34108.799999999996</v>
      </c>
    </row>
    <row r="142" spans="1:8" ht="15.75" hidden="1" customHeight="1" x14ac:dyDescent="0.35">
      <c r="A142" s="15"/>
      <c r="B142" s="3" t="s">
        <v>163</v>
      </c>
      <c r="C142" s="3" t="s">
        <v>2711</v>
      </c>
      <c r="D142" s="3" t="s">
        <v>861</v>
      </c>
      <c r="E142" s="3" t="s">
        <v>1852</v>
      </c>
      <c r="F142" s="3" t="s">
        <v>1023</v>
      </c>
      <c r="G142" s="3" t="s">
        <v>3535</v>
      </c>
      <c r="H142" s="6">
        <v>37139.68</v>
      </c>
    </row>
    <row r="143" spans="1:8" ht="15.75" hidden="1" customHeight="1" x14ac:dyDescent="0.35">
      <c r="A143" s="15"/>
      <c r="B143" s="3" t="s">
        <v>164</v>
      </c>
      <c r="C143" s="3" t="s">
        <v>2712</v>
      </c>
      <c r="D143" s="3" t="s">
        <v>860</v>
      </c>
      <c r="E143" s="3" t="s">
        <v>1853</v>
      </c>
      <c r="F143" s="3" t="s">
        <v>1024</v>
      </c>
      <c r="G143" s="3" t="s">
        <v>3536</v>
      </c>
      <c r="H143" s="6">
        <v>15459.616</v>
      </c>
    </row>
    <row r="144" spans="1:8" ht="15.75" hidden="1" customHeight="1" x14ac:dyDescent="0.35">
      <c r="A144" s="15"/>
      <c r="B144" s="3" t="s">
        <v>167</v>
      </c>
      <c r="C144" s="3" t="s">
        <v>2715</v>
      </c>
      <c r="D144" s="3" t="s">
        <v>860</v>
      </c>
      <c r="E144" s="3" t="s">
        <v>1856</v>
      </c>
      <c r="F144" s="3" t="s">
        <v>1027</v>
      </c>
      <c r="G144" s="3" t="s">
        <v>3537</v>
      </c>
      <c r="H144" s="6">
        <v>36364.480000000003</v>
      </c>
    </row>
    <row r="145" spans="1:8" ht="15.75" hidden="1" customHeight="1" x14ac:dyDescent="0.35">
      <c r="A145" s="15"/>
      <c r="B145" s="3" t="s">
        <v>168</v>
      </c>
      <c r="C145" s="3" t="s">
        <v>2716</v>
      </c>
      <c r="D145" s="3" t="s">
        <v>860</v>
      </c>
      <c r="E145" s="3" t="s">
        <v>1857</v>
      </c>
      <c r="F145" s="3" t="s">
        <v>1028</v>
      </c>
      <c r="G145" s="3" t="s">
        <v>3538</v>
      </c>
      <c r="H145" s="6">
        <v>16406.271999999997</v>
      </c>
    </row>
    <row r="146" spans="1:8" ht="15.75" hidden="1" customHeight="1" x14ac:dyDescent="0.35">
      <c r="A146" s="15"/>
      <c r="B146" s="3" t="s">
        <v>169</v>
      </c>
      <c r="C146" s="3" t="s">
        <v>2717</v>
      </c>
      <c r="D146" s="3" t="s">
        <v>861</v>
      </c>
      <c r="E146" s="3" t="s">
        <v>1858</v>
      </c>
      <c r="F146" s="3" t="s">
        <v>1029</v>
      </c>
      <c r="G146" s="3" t="s">
        <v>3539</v>
      </c>
      <c r="H146" s="6">
        <v>15376.32</v>
      </c>
    </row>
    <row r="147" spans="1:8" ht="15.75" hidden="1" customHeight="1" x14ac:dyDescent="0.35">
      <c r="A147" s="15"/>
      <c r="B147" s="3" t="s">
        <v>170</v>
      </c>
      <c r="C147" s="3" t="s">
        <v>2718</v>
      </c>
      <c r="D147" s="3" t="s">
        <v>861</v>
      </c>
      <c r="E147" s="3" t="s">
        <v>1859</v>
      </c>
      <c r="F147" s="3" t="s">
        <v>1030</v>
      </c>
      <c r="G147" s="3" t="s">
        <v>3540</v>
      </c>
      <c r="H147" s="6">
        <v>11129.44</v>
      </c>
    </row>
    <row r="148" spans="1:8" ht="15.75" hidden="1" customHeight="1" x14ac:dyDescent="0.35">
      <c r="A148" s="15"/>
      <c r="B148" s="3" t="s">
        <v>171</v>
      </c>
      <c r="C148" s="3" t="s">
        <v>2719</v>
      </c>
      <c r="D148" s="3" t="s">
        <v>861</v>
      </c>
      <c r="E148" s="3" t="s">
        <v>1860</v>
      </c>
      <c r="F148" s="3" t="s">
        <v>1031</v>
      </c>
      <c r="G148" s="3" t="s">
        <v>3541</v>
      </c>
      <c r="H148" s="6">
        <v>32028.831999999995</v>
      </c>
    </row>
    <row r="149" spans="1:8" ht="15.75" hidden="1" customHeight="1" x14ac:dyDescent="0.35">
      <c r="A149" s="15"/>
      <c r="B149" s="3" t="s">
        <v>172</v>
      </c>
      <c r="C149" s="3" t="s">
        <v>2720</v>
      </c>
      <c r="D149" s="3" t="s">
        <v>860</v>
      </c>
      <c r="E149" s="3" t="s">
        <v>1861</v>
      </c>
      <c r="F149" s="3" t="s">
        <v>1032</v>
      </c>
      <c r="G149" s="3" t="s">
        <v>3541</v>
      </c>
      <c r="H149" s="6">
        <v>22918.559999999998</v>
      </c>
    </row>
    <row r="150" spans="1:8" ht="15.75" hidden="1" customHeight="1" x14ac:dyDescent="0.35">
      <c r="A150" s="15"/>
      <c r="B150" s="3" t="s">
        <v>174</v>
      </c>
      <c r="C150" s="3" t="s">
        <v>2722</v>
      </c>
      <c r="D150" s="3" t="s">
        <v>860</v>
      </c>
      <c r="E150" s="3" t="s">
        <v>1863</v>
      </c>
      <c r="F150" s="3" t="s">
        <v>1034</v>
      </c>
      <c r="G150" s="3" t="s">
        <v>3542</v>
      </c>
      <c r="H150" s="6">
        <v>20953.807999999997</v>
      </c>
    </row>
    <row r="151" spans="1:8" ht="15.75" hidden="1" customHeight="1" x14ac:dyDescent="0.35">
      <c r="A151" s="15"/>
      <c r="B151" s="3" t="s">
        <v>175</v>
      </c>
      <c r="C151" s="3" t="s">
        <v>2723</v>
      </c>
      <c r="D151" s="3" t="s">
        <v>861</v>
      </c>
      <c r="E151" s="3" t="s">
        <v>1864</v>
      </c>
      <c r="F151" s="3" t="s">
        <v>1035</v>
      </c>
      <c r="G151" s="3" t="s">
        <v>3543</v>
      </c>
      <c r="H151" s="6">
        <v>22145.792000000001</v>
      </c>
    </row>
    <row r="152" spans="1:8" ht="15.75" hidden="1" customHeight="1" x14ac:dyDescent="0.35">
      <c r="A152" s="15"/>
      <c r="B152" s="3" t="s">
        <v>176</v>
      </c>
      <c r="C152" s="3" t="s">
        <v>2724</v>
      </c>
      <c r="D152" s="3" t="s">
        <v>860</v>
      </c>
      <c r="E152" s="3" t="s">
        <v>1865</v>
      </c>
      <c r="F152" s="3" t="s">
        <v>1036</v>
      </c>
      <c r="G152" s="3" t="s">
        <v>3543</v>
      </c>
      <c r="H152" s="6">
        <v>18656.48</v>
      </c>
    </row>
    <row r="153" spans="1:8" ht="15.75" hidden="1" customHeight="1" x14ac:dyDescent="0.35">
      <c r="A153" s="15"/>
      <c r="B153" s="3" t="s">
        <v>178</v>
      </c>
      <c r="C153" s="3" t="s">
        <v>2726</v>
      </c>
      <c r="D153" s="3" t="s">
        <v>860</v>
      </c>
      <c r="E153" s="3" t="s">
        <v>1867</v>
      </c>
      <c r="F153" s="3" t="s">
        <v>929</v>
      </c>
      <c r="G153" s="3" t="s">
        <v>3544</v>
      </c>
      <c r="H153" s="6">
        <v>35112</v>
      </c>
    </row>
    <row r="154" spans="1:8" ht="15.75" hidden="1" customHeight="1" x14ac:dyDescent="0.35">
      <c r="A154" s="15"/>
      <c r="B154" s="3" t="s">
        <v>179</v>
      </c>
      <c r="C154" s="3" t="s">
        <v>2727</v>
      </c>
      <c r="D154" s="3" t="s">
        <v>860</v>
      </c>
      <c r="E154" s="3" t="s">
        <v>1868</v>
      </c>
      <c r="F154" s="3" t="s">
        <v>1038</v>
      </c>
      <c r="G154" s="3" t="s">
        <v>3545</v>
      </c>
      <c r="H154" s="6">
        <v>17183.903999999999</v>
      </c>
    </row>
    <row r="155" spans="1:8" ht="15.75" hidden="1" customHeight="1" x14ac:dyDescent="0.35">
      <c r="A155" s="15"/>
      <c r="B155" s="3" t="s">
        <v>183</v>
      </c>
      <c r="C155" s="3" t="s">
        <v>2731</v>
      </c>
      <c r="D155" s="3" t="s">
        <v>860</v>
      </c>
      <c r="E155" s="3" t="s">
        <v>1872</v>
      </c>
      <c r="F155" s="3" t="s">
        <v>1042</v>
      </c>
      <c r="G155" s="3" t="s">
        <v>3546</v>
      </c>
      <c r="H155" s="6">
        <v>40942.111999999994</v>
      </c>
    </row>
    <row r="156" spans="1:8" ht="15.75" hidden="1" customHeight="1" x14ac:dyDescent="0.35">
      <c r="A156" s="15"/>
      <c r="B156" s="3" t="s">
        <v>184</v>
      </c>
      <c r="C156" s="3" t="s">
        <v>2732</v>
      </c>
      <c r="D156" s="3" t="s">
        <v>861</v>
      </c>
      <c r="E156" s="3" t="s">
        <v>1873</v>
      </c>
      <c r="F156" s="3" t="s">
        <v>1043</v>
      </c>
      <c r="G156" s="3" t="s">
        <v>3547</v>
      </c>
      <c r="H156" s="6">
        <v>10900.831999999999</v>
      </c>
    </row>
    <row r="157" spans="1:8" ht="15.75" hidden="1" customHeight="1" x14ac:dyDescent="0.35">
      <c r="A157" s="15"/>
      <c r="B157" s="3" t="s">
        <v>185</v>
      </c>
      <c r="C157" s="3" t="s">
        <v>2733</v>
      </c>
      <c r="D157" s="3" t="s">
        <v>861</v>
      </c>
      <c r="E157" s="3" t="s">
        <v>1874</v>
      </c>
      <c r="F157" s="3" t="s">
        <v>1044</v>
      </c>
      <c r="G157" s="3" t="s">
        <v>3548</v>
      </c>
      <c r="H157" s="6">
        <v>24476.863999999998</v>
      </c>
    </row>
    <row r="158" spans="1:8" ht="15.75" hidden="1" customHeight="1" x14ac:dyDescent="0.35">
      <c r="A158" s="15"/>
      <c r="B158" s="3" t="s">
        <v>187</v>
      </c>
      <c r="C158" s="3" t="s">
        <v>2735</v>
      </c>
      <c r="D158" s="3" t="s">
        <v>861</v>
      </c>
      <c r="E158" s="3" t="s">
        <v>1876</v>
      </c>
      <c r="F158" s="3" t="s">
        <v>1046</v>
      </c>
      <c r="G158" s="3" t="s">
        <v>3549</v>
      </c>
      <c r="H158" s="6">
        <v>35625.152000000002</v>
      </c>
    </row>
    <row r="159" spans="1:8" ht="15.75" hidden="1" customHeight="1" x14ac:dyDescent="0.35">
      <c r="A159" s="15"/>
      <c r="B159" s="3" t="s">
        <v>188</v>
      </c>
      <c r="C159" s="3" t="s">
        <v>2736</v>
      </c>
      <c r="D159" s="3" t="s">
        <v>861</v>
      </c>
      <c r="E159" s="3" t="s">
        <v>1877</v>
      </c>
      <c r="F159" s="3" t="s">
        <v>1047</v>
      </c>
      <c r="G159" s="3" t="s">
        <v>3550</v>
      </c>
      <c r="H159" s="6">
        <v>35433.631999999998</v>
      </c>
    </row>
    <row r="160" spans="1:8" ht="15.75" hidden="1" customHeight="1" x14ac:dyDescent="0.35">
      <c r="A160" s="15"/>
      <c r="B160" s="3" t="s">
        <v>190</v>
      </c>
      <c r="C160" s="3" t="s">
        <v>2738</v>
      </c>
      <c r="D160" s="3" t="s">
        <v>861</v>
      </c>
      <c r="E160" s="3" t="s">
        <v>1879</v>
      </c>
      <c r="F160" s="3" t="s">
        <v>1049</v>
      </c>
      <c r="G160" s="3" t="s">
        <v>3551</v>
      </c>
      <c r="H160" s="6">
        <v>48884.415999999997</v>
      </c>
    </row>
    <row r="161" spans="1:8" ht="15.75" hidden="1" customHeight="1" x14ac:dyDescent="0.35">
      <c r="A161" s="15"/>
      <c r="B161" s="3" t="s">
        <v>192</v>
      </c>
      <c r="C161" s="3" t="s">
        <v>2740</v>
      </c>
      <c r="D161" s="3" t="s">
        <v>861</v>
      </c>
      <c r="E161" s="3" t="s">
        <v>1881</v>
      </c>
      <c r="F161" s="3" t="s">
        <v>1051</v>
      </c>
      <c r="G161" s="3" t="s">
        <v>3552</v>
      </c>
      <c r="H161" s="6">
        <v>15389.696</v>
      </c>
    </row>
    <row r="162" spans="1:8" ht="15.75" hidden="1" customHeight="1" x14ac:dyDescent="0.35">
      <c r="A162" s="15"/>
      <c r="B162" s="3" t="s">
        <v>193</v>
      </c>
      <c r="C162" s="3" t="s">
        <v>2741</v>
      </c>
      <c r="D162" s="3" t="s">
        <v>860</v>
      </c>
      <c r="E162" s="3" t="s">
        <v>1882</v>
      </c>
      <c r="F162" s="3" t="s">
        <v>1052</v>
      </c>
      <c r="G162" s="3" t="s">
        <v>3553</v>
      </c>
      <c r="H162" s="6">
        <v>20312.063999999998</v>
      </c>
    </row>
    <row r="163" spans="1:8" ht="15.75" hidden="1" customHeight="1" x14ac:dyDescent="0.35">
      <c r="A163" s="15"/>
      <c r="B163" s="3" t="s">
        <v>195</v>
      </c>
      <c r="C163" s="3" t="s">
        <v>2743</v>
      </c>
      <c r="D163" s="3" t="s">
        <v>861</v>
      </c>
      <c r="E163" s="3" t="s">
        <v>1884</v>
      </c>
      <c r="F163" s="3" t="s">
        <v>1054</v>
      </c>
      <c r="G163" s="3" t="s">
        <v>3553</v>
      </c>
      <c r="H163" s="6">
        <v>38280.896000000001</v>
      </c>
    </row>
    <row r="164" spans="1:8" ht="15.75" customHeight="1" x14ac:dyDescent="0.35">
      <c r="A164" s="15"/>
      <c r="B164" s="3" t="s">
        <v>197</v>
      </c>
      <c r="C164" s="3" t="s">
        <v>2745</v>
      </c>
      <c r="D164" s="3" t="s">
        <v>861</v>
      </c>
      <c r="E164" s="3" t="s">
        <v>1886</v>
      </c>
      <c r="F164" s="3" t="s">
        <v>1056</v>
      </c>
      <c r="G164" s="3" t="s">
        <v>3554</v>
      </c>
      <c r="H164" s="6">
        <v>46562.16</v>
      </c>
    </row>
    <row r="165" spans="1:8" ht="15.75" hidden="1" customHeight="1" x14ac:dyDescent="0.35">
      <c r="A165" s="15"/>
      <c r="B165" s="3" t="s">
        <v>198</v>
      </c>
      <c r="C165" s="3" t="s">
        <v>2746</v>
      </c>
      <c r="D165" s="3" t="s">
        <v>861</v>
      </c>
      <c r="E165" s="3" t="s">
        <v>1887</v>
      </c>
      <c r="F165" s="3" t="s">
        <v>1057</v>
      </c>
      <c r="G165" s="3" t="s">
        <v>3555</v>
      </c>
      <c r="H165" s="6">
        <v>20921.28</v>
      </c>
    </row>
    <row r="166" spans="1:8" ht="15.75" hidden="1" customHeight="1" x14ac:dyDescent="0.35">
      <c r="A166" s="15"/>
      <c r="B166" s="3" t="s">
        <v>199</v>
      </c>
      <c r="C166" s="3" t="s">
        <v>2747</v>
      </c>
      <c r="D166" s="3" t="s">
        <v>861</v>
      </c>
      <c r="E166" s="3" t="s">
        <v>1888</v>
      </c>
      <c r="F166" s="3" t="s">
        <v>1058</v>
      </c>
      <c r="G166" s="3" t="s">
        <v>3556</v>
      </c>
      <c r="H166" s="6">
        <v>49050.399999999994</v>
      </c>
    </row>
    <row r="167" spans="1:8" ht="15.75" hidden="1" customHeight="1" x14ac:dyDescent="0.35">
      <c r="A167" s="15"/>
      <c r="B167" s="3" t="s">
        <v>200</v>
      </c>
      <c r="C167" s="3" t="s">
        <v>2748</v>
      </c>
      <c r="D167" s="3" t="s">
        <v>861</v>
      </c>
      <c r="E167" s="3" t="s">
        <v>1889</v>
      </c>
      <c r="F167" s="3" t="s">
        <v>1059</v>
      </c>
      <c r="G167" s="3" t="s">
        <v>3557</v>
      </c>
      <c r="H167" s="6">
        <v>47885.472000000002</v>
      </c>
    </row>
    <row r="168" spans="1:8" ht="15.75" hidden="1" customHeight="1" x14ac:dyDescent="0.35">
      <c r="A168" s="15"/>
      <c r="B168" s="3" t="s">
        <v>201</v>
      </c>
      <c r="C168" s="3" t="s">
        <v>2749</v>
      </c>
      <c r="D168" s="3" t="s">
        <v>860</v>
      </c>
      <c r="E168" s="3" t="s">
        <v>1890</v>
      </c>
      <c r="F168" s="3" t="s">
        <v>1060</v>
      </c>
      <c r="G168" s="3" t="s">
        <v>3558</v>
      </c>
      <c r="H168" s="6">
        <v>35439.103999999999</v>
      </c>
    </row>
    <row r="169" spans="1:8" ht="15.75" hidden="1" customHeight="1" x14ac:dyDescent="0.35">
      <c r="A169" s="15"/>
      <c r="B169" s="3" t="s">
        <v>203</v>
      </c>
      <c r="C169" s="3" t="s">
        <v>2751</v>
      </c>
      <c r="D169" s="3" t="s">
        <v>860</v>
      </c>
      <c r="E169" s="3" t="s">
        <v>1892</v>
      </c>
      <c r="F169" s="3" t="s">
        <v>1062</v>
      </c>
      <c r="G169" s="3" t="s">
        <v>3559</v>
      </c>
      <c r="H169" s="6">
        <v>69954.047999999995</v>
      </c>
    </row>
    <row r="170" spans="1:8" ht="15.75" hidden="1" customHeight="1" x14ac:dyDescent="0.35">
      <c r="A170" s="15"/>
      <c r="B170" s="3" t="s">
        <v>204</v>
      </c>
      <c r="C170" s="3" t="s">
        <v>2752</v>
      </c>
      <c r="D170" s="3" t="s">
        <v>861</v>
      </c>
      <c r="E170" s="3" t="s">
        <v>1893</v>
      </c>
      <c r="F170" s="3" t="s">
        <v>1063</v>
      </c>
      <c r="G170" s="3" t="s">
        <v>3560</v>
      </c>
      <c r="H170" s="6">
        <v>11114.848</v>
      </c>
    </row>
    <row r="171" spans="1:8" ht="15.75" hidden="1" customHeight="1" x14ac:dyDescent="0.35">
      <c r="A171" s="15"/>
      <c r="B171" s="3" t="s">
        <v>205</v>
      </c>
      <c r="C171" s="3" t="s">
        <v>2753</v>
      </c>
      <c r="D171" s="3" t="s">
        <v>861</v>
      </c>
      <c r="E171" s="3" t="s">
        <v>1894</v>
      </c>
      <c r="F171" s="3" t="s">
        <v>1064</v>
      </c>
      <c r="G171" s="3" t="s">
        <v>3561</v>
      </c>
      <c r="H171" s="6">
        <v>19148.96</v>
      </c>
    </row>
    <row r="172" spans="1:8" ht="15.75" hidden="1" customHeight="1" x14ac:dyDescent="0.35">
      <c r="A172" s="15"/>
      <c r="B172" s="3" t="s">
        <v>206</v>
      </c>
      <c r="C172" s="3" t="s">
        <v>2754</v>
      </c>
      <c r="D172" s="3" t="s">
        <v>860</v>
      </c>
      <c r="E172" s="3" t="s">
        <v>1895</v>
      </c>
      <c r="F172" s="3" t="s">
        <v>1065</v>
      </c>
      <c r="G172" s="3" t="s">
        <v>3562</v>
      </c>
      <c r="H172" s="6">
        <v>19571.519999999997</v>
      </c>
    </row>
    <row r="173" spans="1:8" ht="15.75" hidden="1" customHeight="1" x14ac:dyDescent="0.35">
      <c r="A173" s="15"/>
      <c r="B173" s="3" t="s">
        <v>207</v>
      </c>
      <c r="C173" s="3" t="s">
        <v>2755</v>
      </c>
      <c r="D173" s="3" t="s">
        <v>860</v>
      </c>
      <c r="E173" s="3" t="s">
        <v>1896</v>
      </c>
      <c r="F173" s="3" t="s">
        <v>1066</v>
      </c>
      <c r="G173" s="3" t="s">
        <v>3563</v>
      </c>
      <c r="H173" s="6">
        <v>13229.472</v>
      </c>
    </row>
    <row r="174" spans="1:8" ht="15.75" hidden="1" customHeight="1" x14ac:dyDescent="0.35">
      <c r="A174" s="15"/>
      <c r="B174" s="3" t="s">
        <v>208</v>
      </c>
      <c r="C174" s="3" t="s">
        <v>2756</v>
      </c>
      <c r="D174" s="3" t="s">
        <v>860</v>
      </c>
      <c r="E174" s="3" t="s">
        <v>1897</v>
      </c>
      <c r="F174" s="3" t="s">
        <v>1067</v>
      </c>
      <c r="G174" s="3" t="s">
        <v>3564</v>
      </c>
      <c r="H174" s="6">
        <v>15879.743999999999</v>
      </c>
    </row>
    <row r="175" spans="1:8" ht="15.75" hidden="1" customHeight="1" x14ac:dyDescent="0.35">
      <c r="A175" s="15"/>
      <c r="B175" s="3" t="s">
        <v>209</v>
      </c>
      <c r="C175" s="3" t="s">
        <v>2757</v>
      </c>
      <c r="D175" s="3" t="s">
        <v>861</v>
      </c>
      <c r="E175" s="3" t="s">
        <v>1898</v>
      </c>
      <c r="F175" s="3" t="s">
        <v>1068</v>
      </c>
      <c r="G175" s="3" t="s">
        <v>3565</v>
      </c>
      <c r="H175" s="6">
        <v>49993.407999999996</v>
      </c>
    </row>
    <row r="176" spans="1:8" ht="15.75" hidden="1" customHeight="1" x14ac:dyDescent="0.35">
      <c r="A176" s="15"/>
      <c r="B176" s="3" t="s">
        <v>211</v>
      </c>
      <c r="C176" s="3" t="s">
        <v>2759</v>
      </c>
      <c r="D176" s="3" t="s">
        <v>861</v>
      </c>
      <c r="E176" s="3" t="s">
        <v>1900</v>
      </c>
      <c r="F176" s="3" t="s">
        <v>1070</v>
      </c>
      <c r="G176" s="3" t="s">
        <v>3566</v>
      </c>
      <c r="H176" s="6">
        <v>19255.359999999997</v>
      </c>
    </row>
    <row r="177" spans="1:8" ht="15.75" hidden="1" customHeight="1" x14ac:dyDescent="0.35">
      <c r="A177" s="15"/>
      <c r="B177" s="3" t="s">
        <v>212</v>
      </c>
      <c r="C177" s="3" t="s">
        <v>2760</v>
      </c>
      <c r="D177" s="3" t="s">
        <v>860</v>
      </c>
      <c r="E177" s="3" t="s">
        <v>1901</v>
      </c>
      <c r="F177" s="3" t="s">
        <v>1071</v>
      </c>
      <c r="G177" s="3" t="s">
        <v>3567</v>
      </c>
      <c r="H177" s="6">
        <v>14814.527999999998</v>
      </c>
    </row>
    <row r="178" spans="1:8" ht="15.75" hidden="1" customHeight="1" x14ac:dyDescent="0.35">
      <c r="A178" s="15"/>
      <c r="B178" s="3" t="s">
        <v>213</v>
      </c>
      <c r="C178" s="3" t="s">
        <v>2761</v>
      </c>
      <c r="D178" s="3" t="s">
        <v>861</v>
      </c>
      <c r="E178" s="3" t="s">
        <v>1902</v>
      </c>
      <c r="F178" s="3" t="s">
        <v>1072</v>
      </c>
      <c r="G178" s="3" t="s">
        <v>3568</v>
      </c>
      <c r="H178" s="6">
        <v>50076.703999999998</v>
      </c>
    </row>
    <row r="179" spans="1:8" ht="15.75" hidden="1" customHeight="1" x14ac:dyDescent="0.35">
      <c r="A179" s="15"/>
      <c r="B179" s="3" t="s">
        <v>215</v>
      </c>
      <c r="C179" s="3" t="s">
        <v>2763</v>
      </c>
      <c r="D179" s="3" t="s">
        <v>861</v>
      </c>
      <c r="E179" s="3" t="s">
        <v>1904</v>
      </c>
      <c r="F179" s="3" t="s">
        <v>1051</v>
      </c>
      <c r="G179" s="3" t="s">
        <v>3569</v>
      </c>
      <c r="H179" s="6">
        <v>10795.04</v>
      </c>
    </row>
    <row r="180" spans="1:8" ht="15.75" hidden="1" customHeight="1" x14ac:dyDescent="0.35">
      <c r="A180" s="15"/>
      <c r="B180" s="3" t="s">
        <v>217</v>
      </c>
      <c r="C180" s="3" t="s">
        <v>2765</v>
      </c>
      <c r="D180" s="3" t="s">
        <v>860</v>
      </c>
      <c r="E180" s="3" t="s">
        <v>1906</v>
      </c>
      <c r="F180" s="3" t="s">
        <v>1075</v>
      </c>
      <c r="G180" s="3" t="s">
        <v>5846</v>
      </c>
      <c r="H180" s="6">
        <v>13759.647999999999</v>
      </c>
    </row>
    <row r="181" spans="1:8" ht="15.75" hidden="1" customHeight="1" x14ac:dyDescent="0.35">
      <c r="A181" s="15"/>
      <c r="B181" s="3" t="s">
        <v>219</v>
      </c>
      <c r="C181" s="3" t="s">
        <v>2767</v>
      </c>
      <c r="D181" s="3" t="s">
        <v>860</v>
      </c>
      <c r="E181" s="3" t="s">
        <v>1908</v>
      </c>
      <c r="F181" s="3" t="s">
        <v>1077</v>
      </c>
      <c r="G181" s="3" t="s">
        <v>3570</v>
      </c>
      <c r="H181" s="6">
        <v>17450.207999999999</v>
      </c>
    </row>
    <row r="182" spans="1:8" ht="15.75" hidden="1" customHeight="1" x14ac:dyDescent="0.35">
      <c r="A182" s="15"/>
      <c r="B182" s="3" t="s">
        <v>220</v>
      </c>
      <c r="C182" s="3" t="s">
        <v>2768</v>
      </c>
      <c r="D182" s="3" t="s">
        <v>861</v>
      </c>
      <c r="E182" s="3" t="s">
        <v>1909</v>
      </c>
      <c r="F182" s="3" t="s">
        <v>1078</v>
      </c>
      <c r="G182" s="3" t="s">
        <v>3571</v>
      </c>
      <c r="H182" s="6">
        <v>33531.199999999997</v>
      </c>
    </row>
    <row r="183" spans="1:8" ht="15.75" hidden="1" customHeight="1" x14ac:dyDescent="0.35">
      <c r="A183" s="15"/>
      <c r="B183" s="3" t="s">
        <v>222</v>
      </c>
      <c r="C183" s="3" t="s">
        <v>2770</v>
      </c>
      <c r="D183" s="3" t="s">
        <v>861</v>
      </c>
      <c r="E183" s="3" t="s">
        <v>1911</v>
      </c>
      <c r="F183" s="3" t="s">
        <v>1080</v>
      </c>
      <c r="G183" s="3" t="s">
        <v>3572</v>
      </c>
      <c r="H183" s="6">
        <v>11917.407999999999</v>
      </c>
    </row>
    <row r="184" spans="1:8" ht="15.75" hidden="1" customHeight="1" x14ac:dyDescent="0.35">
      <c r="A184" s="15"/>
      <c r="B184" s="3" t="s">
        <v>223</v>
      </c>
      <c r="C184" s="3" t="s">
        <v>2771</v>
      </c>
      <c r="D184" s="3" t="s">
        <v>861</v>
      </c>
      <c r="E184" s="3" t="s">
        <v>1912</v>
      </c>
      <c r="F184" s="3" t="s">
        <v>1081</v>
      </c>
      <c r="G184" s="3" t="s">
        <v>5693</v>
      </c>
      <c r="H184" s="6">
        <v>21549.951999999997</v>
      </c>
    </row>
    <row r="185" spans="1:8" ht="15.75" hidden="1" customHeight="1" x14ac:dyDescent="0.35">
      <c r="A185" s="15"/>
      <c r="B185" s="3" t="s">
        <v>224</v>
      </c>
      <c r="C185" s="3" t="s">
        <v>2772</v>
      </c>
      <c r="D185" s="3" t="s">
        <v>861</v>
      </c>
      <c r="E185" s="3" t="s">
        <v>1913</v>
      </c>
      <c r="F185" s="3" t="s">
        <v>1082</v>
      </c>
      <c r="G185" s="3" t="s">
        <v>3573</v>
      </c>
      <c r="H185" s="6">
        <v>11114.848</v>
      </c>
    </row>
    <row r="186" spans="1:8" ht="15.75" hidden="1" customHeight="1" x14ac:dyDescent="0.35">
      <c r="A186" s="15"/>
      <c r="B186" s="3" t="s">
        <v>226</v>
      </c>
      <c r="C186" s="3" t="s">
        <v>2774</v>
      </c>
      <c r="D186" s="3" t="s">
        <v>860</v>
      </c>
      <c r="E186" s="3" t="s">
        <v>1915</v>
      </c>
      <c r="F186" s="3" t="s">
        <v>1084</v>
      </c>
      <c r="G186" s="3" t="s">
        <v>3574</v>
      </c>
      <c r="H186" s="6">
        <v>10921.503999999999</v>
      </c>
    </row>
    <row r="187" spans="1:8" ht="15.75" hidden="1" customHeight="1" x14ac:dyDescent="0.35">
      <c r="A187" s="15"/>
      <c r="B187" s="3" t="s">
        <v>227</v>
      </c>
      <c r="C187" s="3" t="s">
        <v>2775</v>
      </c>
      <c r="D187" s="3" t="s">
        <v>861</v>
      </c>
      <c r="E187" s="3" t="s">
        <v>1916</v>
      </c>
      <c r="F187" s="3" t="s">
        <v>1085</v>
      </c>
      <c r="G187" s="3" t="s">
        <v>3575</v>
      </c>
      <c r="H187" s="6">
        <v>37615.743999999999</v>
      </c>
    </row>
    <row r="188" spans="1:8" ht="15.75" hidden="1" customHeight="1" x14ac:dyDescent="0.35">
      <c r="A188" s="15"/>
      <c r="B188" s="3" t="s">
        <v>228</v>
      </c>
      <c r="C188" s="3" t="s">
        <v>2776</v>
      </c>
      <c r="D188" s="3" t="s">
        <v>860</v>
      </c>
      <c r="E188" s="3" t="s">
        <v>1917</v>
      </c>
      <c r="F188" s="3" t="s">
        <v>1086</v>
      </c>
      <c r="G188" s="3" t="s">
        <v>3576</v>
      </c>
      <c r="H188" s="6">
        <v>20413.599999999999</v>
      </c>
    </row>
    <row r="189" spans="1:8" ht="15.75" hidden="1" customHeight="1" x14ac:dyDescent="0.35">
      <c r="A189" s="15"/>
      <c r="B189" s="3" t="s">
        <v>229</v>
      </c>
      <c r="C189" s="3" t="s">
        <v>2777</v>
      </c>
      <c r="D189" s="3" t="s">
        <v>861</v>
      </c>
      <c r="E189" s="3" t="s">
        <v>1918</v>
      </c>
      <c r="F189" s="3" t="s">
        <v>1087</v>
      </c>
      <c r="G189" s="3" t="s">
        <v>3577</v>
      </c>
      <c r="H189" s="6">
        <v>36316.447999999997</v>
      </c>
    </row>
    <row r="190" spans="1:8" ht="15.75" hidden="1" customHeight="1" x14ac:dyDescent="0.35">
      <c r="A190" s="15"/>
      <c r="B190" s="3" t="s">
        <v>230</v>
      </c>
      <c r="C190" s="3" t="s">
        <v>2778</v>
      </c>
      <c r="D190" s="3" t="s">
        <v>861</v>
      </c>
      <c r="E190" s="3" t="s">
        <v>1919</v>
      </c>
      <c r="F190" s="3" t="s">
        <v>1088</v>
      </c>
      <c r="G190" s="3" t="s">
        <v>3577</v>
      </c>
      <c r="H190" s="6">
        <v>51974.271999999997</v>
      </c>
    </row>
    <row r="191" spans="1:8" ht="15.75" hidden="1" customHeight="1" x14ac:dyDescent="0.35">
      <c r="A191" s="15"/>
      <c r="B191" s="3" t="s">
        <v>233</v>
      </c>
      <c r="C191" s="3" t="s">
        <v>2781</v>
      </c>
      <c r="D191" s="3" t="s">
        <v>861</v>
      </c>
      <c r="E191" s="3" t="s">
        <v>1922</v>
      </c>
      <c r="F191" s="3" t="s">
        <v>1091</v>
      </c>
      <c r="G191" s="3" t="s">
        <v>3578</v>
      </c>
      <c r="H191" s="6">
        <v>28097.503999999997</v>
      </c>
    </row>
    <row r="192" spans="1:8" ht="15.75" hidden="1" customHeight="1" x14ac:dyDescent="0.35">
      <c r="A192" s="15"/>
      <c r="B192" s="3" t="s">
        <v>234</v>
      </c>
      <c r="C192" s="3" t="s">
        <v>2782</v>
      </c>
      <c r="D192" s="3" t="s">
        <v>860</v>
      </c>
      <c r="E192" s="3" t="s">
        <v>1923</v>
      </c>
      <c r="F192" s="3" t="s">
        <v>1092</v>
      </c>
      <c r="G192" s="3" t="s">
        <v>3579</v>
      </c>
      <c r="H192" s="6">
        <v>15691.263999999997</v>
      </c>
    </row>
    <row r="193" spans="1:8" ht="15.75" hidden="1" customHeight="1" x14ac:dyDescent="0.35">
      <c r="A193" s="15"/>
      <c r="B193" s="3" t="s">
        <v>235</v>
      </c>
      <c r="C193" s="3" t="s">
        <v>2783</v>
      </c>
      <c r="D193" s="3" t="s">
        <v>861</v>
      </c>
      <c r="E193" s="3" t="s">
        <v>1924</v>
      </c>
      <c r="F193" s="3" t="s">
        <v>1093</v>
      </c>
      <c r="G193" s="3" t="s">
        <v>5816</v>
      </c>
      <c r="H193" s="6">
        <v>18941.023999999998</v>
      </c>
    </row>
    <row r="194" spans="1:8" ht="15.75" hidden="1" customHeight="1" x14ac:dyDescent="0.35">
      <c r="A194" s="15"/>
      <c r="B194" s="3" t="s">
        <v>236</v>
      </c>
      <c r="C194" s="3" t="s">
        <v>2784</v>
      </c>
      <c r="D194" s="3" t="s">
        <v>861</v>
      </c>
      <c r="E194" s="3" t="s">
        <v>1925</v>
      </c>
      <c r="F194" s="3" t="s">
        <v>1094</v>
      </c>
      <c r="G194" s="3" t="s">
        <v>3580</v>
      </c>
      <c r="H194" s="6">
        <v>25378.528000000002</v>
      </c>
    </row>
    <row r="195" spans="1:8" ht="15.75" customHeight="1" x14ac:dyDescent="0.35">
      <c r="A195" s="15"/>
      <c r="B195" s="3" t="s">
        <v>3581</v>
      </c>
      <c r="C195" s="3" t="s">
        <v>3582</v>
      </c>
      <c r="D195" s="3" t="s">
        <v>860</v>
      </c>
      <c r="E195" s="3" t="s">
        <v>3583</v>
      </c>
      <c r="F195" s="3" t="s">
        <v>3584</v>
      </c>
      <c r="G195" s="3" t="s">
        <v>3585</v>
      </c>
      <c r="H195" s="6">
        <v>43715.807999999997</v>
      </c>
    </row>
    <row r="196" spans="1:8" ht="15.75" hidden="1" customHeight="1" x14ac:dyDescent="0.35">
      <c r="A196" s="15"/>
      <c r="B196" s="3" t="s">
        <v>237</v>
      </c>
      <c r="C196" s="3" t="s">
        <v>2785</v>
      </c>
      <c r="D196" s="3" t="s">
        <v>861</v>
      </c>
      <c r="E196" s="3" t="s">
        <v>1926</v>
      </c>
      <c r="F196" s="3" t="s">
        <v>1095</v>
      </c>
      <c r="G196" s="3" t="s">
        <v>3591</v>
      </c>
      <c r="H196" s="6">
        <v>30468.095999999998</v>
      </c>
    </row>
    <row r="197" spans="1:8" ht="15.75" hidden="1" customHeight="1" x14ac:dyDescent="0.35">
      <c r="A197" s="15"/>
      <c r="B197" s="3" t="s">
        <v>238</v>
      </c>
      <c r="C197" s="3" t="s">
        <v>2786</v>
      </c>
      <c r="D197" s="3" t="s">
        <v>861</v>
      </c>
      <c r="E197" s="3" t="s">
        <v>1927</v>
      </c>
      <c r="F197" s="3" t="s">
        <v>1096</v>
      </c>
      <c r="G197" s="3" t="s">
        <v>3592</v>
      </c>
      <c r="H197" s="6">
        <v>26231.552</v>
      </c>
    </row>
    <row r="198" spans="1:8" ht="15.75" hidden="1" customHeight="1" x14ac:dyDescent="0.35">
      <c r="A198" s="15"/>
      <c r="B198" s="3" t="s">
        <v>241</v>
      </c>
      <c r="C198" s="3" t="s">
        <v>2789</v>
      </c>
      <c r="D198" s="3" t="s">
        <v>861</v>
      </c>
      <c r="E198" s="3" t="s">
        <v>1930</v>
      </c>
      <c r="F198" s="3" t="s">
        <v>1099</v>
      </c>
      <c r="G198" s="3" t="s">
        <v>3593</v>
      </c>
      <c r="H198" s="6">
        <v>25553.023999999998</v>
      </c>
    </row>
    <row r="199" spans="1:8" ht="15.75" hidden="1" customHeight="1" x14ac:dyDescent="0.35">
      <c r="A199" s="15"/>
      <c r="B199" s="3" t="s">
        <v>242</v>
      </c>
      <c r="C199" s="3" t="s">
        <v>2790</v>
      </c>
      <c r="D199" s="3" t="s">
        <v>861</v>
      </c>
      <c r="E199" s="3" t="s">
        <v>1931</v>
      </c>
      <c r="F199" s="3" t="s">
        <v>1100</v>
      </c>
      <c r="G199" s="3" t="s">
        <v>3594</v>
      </c>
      <c r="H199" s="6">
        <v>22755.007999999998</v>
      </c>
    </row>
    <row r="200" spans="1:8" ht="15.75" hidden="1" customHeight="1" x14ac:dyDescent="0.35">
      <c r="A200" s="15"/>
      <c r="B200" s="3" t="s">
        <v>243</v>
      </c>
      <c r="C200" s="3" t="s">
        <v>2791</v>
      </c>
      <c r="D200" s="3" t="s">
        <v>861</v>
      </c>
      <c r="E200" s="3" t="s">
        <v>1932</v>
      </c>
      <c r="F200" s="3" t="s">
        <v>1101</v>
      </c>
      <c r="G200" s="3" t="s">
        <v>3595</v>
      </c>
      <c r="H200" s="6">
        <v>33044.799999999996</v>
      </c>
    </row>
    <row r="201" spans="1:8" ht="15.75" hidden="1" customHeight="1" x14ac:dyDescent="0.35">
      <c r="A201" s="15"/>
      <c r="B201" s="3" t="s">
        <v>244</v>
      </c>
      <c r="C201" s="3" t="s">
        <v>2792</v>
      </c>
      <c r="D201" s="3" t="s">
        <v>861</v>
      </c>
      <c r="E201" s="3" t="s">
        <v>1933</v>
      </c>
      <c r="F201" s="3" t="s">
        <v>1102</v>
      </c>
      <c r="G201" s="3" t="s">
        <v>6020</v>
      </c>
      <c r="H201" s="6">
        <v>21125.567999999999</v>
      </c>
    </row>
    <row r="202" spans="1:8" ht="15.75" hidden="1" customHeight="1" x14ac:dyDescent="0.35">
      <c r="A202" s="15"/>
      <c r="B202" s="3" t="s">
        <v>246</v>
      </c>
      <c r="C202" s="3" t="s">
        <v>2794</v>
      </c>
      <c r="D202" s="3" t="s">
        <v>861</v>
      </c>
      <c r="E202" s="3" t="s">
        <v>1935</v>
      </c>
      <c r="F202" s="3" t="s">
        <v>1104</v>
      </c>
      <c r="G202" s="3" t="s">
        <v>3596</v>
      </c>
      <c r="H202" s="6">
        <v>15419.487999999999</v>
      </c>
    </row>
    <row r="203" spans="1:8" ht="15.75" hidden="1" customHeight="1" x14ac:dyDescent="0.35">
      <c r="A203" s="15"/>
      <c r="B203" s="3" t="s">
        <v>247</v>
      </c>
      <c r="C203" s="3" t="s">
        <v>2795</v>
      </c>
      <c r="D203" s="3" t="s">
        <v>861</v>
      </c>
      <c r="E203" s="3" t="s">
        <v>1936</v>
      </c>
      <c r="F203" s="3" t="s">
        <v>1105</v>
      </c>
      <c r="G203" s="3" t="s">
        <v>3597</v>
      </c>
      <c r="H203" s="6">
        <v>12001.311999999998</v>
      </c>
    </row>
    <row r="204" spans="1:8" ht="15.75" hidden="1" customHeight="1" x14ac:dyDescent="0.35">
      <c r="A204" s="15"/>
      <c r="B204" s="3" t="s">
        <v>248</v>
      </c>
      <c r="C204" s="3" t="s">
        <v>2796</v>
      </c>
      <c r="D204" s="3" t="s">
        <v>861</v>
      </c>
      <c r="E204" s="3" t="s">
        <v>1937</v>
      </c>
      <c r="F204" s="3" t="s">
        <v>1106</v>
      </c>
      <c r="G204" s="3" t="s">
        <v>3598</v>
      </c>
      <c r="H204" s="6">
        <v>40672.160000000003</v>
      </c>
    </row>
    <row r="205" spans="1:8" ht="15.75" hidden="1" customHeight="1" x14ac:dyDescent="0.35">
      <c r="A205" s="15"/>
      <c r="B205" s="3" t="s">
        <v>249</v>
      </c>
      <c r="C205" s="3" t="s">
        <v>2797</v>
      </c>
      <c r="D205" s="3" t="s">
        <v>860</v>
      </c>
      <c r="E205" s="3" t="s">
        <v>1938</v>
      </c>
      <c r="F205" s="3" t="s">
        <v>1107</v>
      </c>
      <c r="G205" s="3" t="s">
        <v>3599</v>
      </c>
      <c r="H205" s="6">
        <v>19442.623999999996</v>
      </c>
    </row>
    <row r="206" spans="1:8" ht="15.75" hidden="1" customHeight="1" x14ac:dyDescent="0.35">
      <c r="A206" s="15"/>
      <c r="B206" s="3" t="s">
        <v>250</v>
      </c>
      <c r="C206" s="3" t="s">
        <v>2798</v>
      </c>
      <c r="D206" s="3" t="s">
        <v>861</v>
      </c>
      <c r="E206" s="3" t="s">
        <v>1939</v>
      </c>
      <c r="F206" s="3" t="s">
        <v>1108</v>
      </c>
      <c r="G206" s="3" t="s">
        <v>3600</v>
      </c>
      <c r="H206" s="6">
        <v>16999.071999999996</v>
      </c>
    </row>
    <row r="207" spans="1:8" ht="15.75" hidden="1" customHeight="1" x14ac:dyDescent="0.35">
      <c r="A207" s="15"/>
      <c r="B207" s="3" t="s">
        <v>252</v>
      </c>
      <c r="C207" s="3" t="s">
        <v>2800</v>
      </c>
      <c r="D207" s="3" t="s">
        <v>860</v>
      </c>
      <c r="E207" s="3" t="s">
        <v>1941</v>
      </c>
      <c r="F207" s="3" t="s">
        <v>1110</v>
      </c>
      <c r="G207" s="3" t="s">
        <v>3601</v>
      </c>
      <c r="H207" s="6">
        <v>28896.415999999997</v>
      </c>
    </row>
    <row r="208" spans="1:8" ht="15.75" hidden="1" customHeight="1" x14ac:dyDescent="0.35">
      <c r="A208" s="15"/>
      <c r="B208" s="3" t="s">
        <v>253</v>
      </c>
      <c r="C208" s="3" t="s">
        <v>2801</v>
      </c>
      <c r="D208" s="3" t="s">
        <v>860</v>
      </c>
      <c r="E208" s="3" t="s">
        <v>1942</v>
      </c>
      <c r="F208" s="3" t="s">
        <v>1111</v>
      </c>
      <c r="G208" s="3" t="s">
        <v>3602</v>
      </c>
      <c r="H208" s="6">
        <v>13759.647999999999</v>
      </c>
    </row>
    <row r="209" spans="1:8" ht="15.75" hidden="1" customHeight="1" x14ac:dyDescent="0.35">
      <c r="A209" s="15"/>
      <c r="B209" s="3" t="s">
        <v>254</v>
      </c>
      <c r="C209" s="3" t="s">
        <v>2802</v>
      </c>
      <c r="D209" s="3" t="s">
        <v>861</v>
      </c>
      <c r="E209" s="3" t="s">
        <v>1943</v>
      </c>
      <c r="F209" s="3" t="s">
        <v>1112</v>
      </c>
      <c r="G209" s="3" t="s">
        <v>3602</v>
      </c>
      <c r="H209" s="6">
        <v>37014.431999999993</v>
      </c>
    </row>
    <row r="210" spans="1:8" ht="15.75" hidden="1" customHeight="1" x14ac:dyDescent="0.35">
      <c r="A210" s="15"/>
      <c r="B210" s="3" t="s">
        <v>255</v>
      </c>
      <c r="C210" s="3" t="s">
        <v>2803</v>
      </c>
      <c r="D210" s="3" t="s">
        <v>861</v>
      </c>
      <c r="E210" s="3" t="s">
        <v>1944</v>
      </c>
      <c r="F210" s="3" t="s">
        <v>1113</v>
      </c>
      <c r="G210" s="3" t="s">
        <v>3603</v>
      </c>
      <c r="H210" s="6">
        <v>11114.848</v>
      </c>
    </row>
    <row r="211" spans="1:8" ht="15.75" hidden="1" customHeight="1" x14ac:dyDescent="0.35">
      <c r="A211" s="15"/>
      <c r="B211" s="3" t="s">
        <v>256</v>
      </c>
      <c r="C211" s="3" t="s">
        <v>2804</v>
      </c>
      <c r="D211" s="3" t="s">
        <v>860</v>
      </c>
      <c r="E211" s="3" t="s">
        <v>1945</v>
      </c>
      <c r="F211" s="3" t="s">
        <v>1114</v>
      </c>
      <c r="G211" s="3" t="s">
        <v>3604</v>
      </c>
      <c r="H211" s="6">
        <v>36316.447999999997</v>
      </c>
    </row>
    <row r="212" spans="1:8" ht="15.75" hidden="1" customHeight="1" x14ac:dyDescent="0.35">
      <c r="A212" s="15"/>
      <c r="B212" s="3" t="s">
        <v>257</v>
      </c>
      <c r="C212" s="3" t="s">
        <v>2805</v>
      </c>
      <c r="D212" s="3" t="s">
        <v>860</v>
      </c>
      <c r="E212" s="3" t="s">
        <v>1946</v>
      </c>
      <c r="F212" s="3" t="s">
        <v>1115</v>
      </c>
      <c r="G212" s="3" t="s">
        <v>3605</v>
      </c>
      <c r="H212" s="6">
        <v>14574.975999999999</v>
      </c>
    </row>
    <row r="213" spans="1:8" ht="15.75" hidden="1" customHeight="1" x14ac:dyDescent="0.35">
      <c r="A213" s="15"/>
      <c r="B213" s="3" t="s">
        <v>258</v>
      </c>
      <c r="C213" s="3" t="s">
        <v>2806</v>
      </c>
      <c r="D213" s="3" t="s">
        <v>860</v>
      </c>
      <c r="E213" s="3" t="s">
        <v>1947</v>
      </c>
      <c r="F213" s="3" t="s">
        <v>1116</v>
      </c>
      <c r="G213" s="3" t="s">
        <v>3605</v>
      </c>
      <c r="H213" s="6">
        <v>24477.471999999998</v>
      </c>
    </row>
    <row r="214" spans="1:8" ht="15.75" hidden="1" customHeight="1" x14ac:dyDescent="0.35">
      <c r="A214" s="15"/>
      <c r="B214" s="3" t="s">
        <v>259</v>
      </c>
      <c r="C214" s="3" t="s">
        <v>2807</v>
      </c>
      <c r="D214" s="3" t="s">
        <v>861</v>
      </c>
      <c r="E214" s="3" t="s">
        <v>1948</v>
      </c>
      <c r="F214" s="3" t="s">
        <v>1117</v>
      </c>
      <c r="G214" s="3" t="s">
        <v>3606</v>
      </c>
      <c r="H214" s="6">
        <v>33902.080000000002</v>
      </c>
    </row>
    <row r="215" spans="1:8" ht="15.75" hidden="1" customHeight="1" x14ac:dyDescent="0.35">
      <c r="A215" s="15"/>
      <c r="B215" s="3" t="s">
        <v>260</v>
      </c>
      <c r="C215" s="3" t="s">
        <v>2808</v>
      </c>
      <c r="D215" s="3" t="s">
        <v>861</v>
      </c>
      <c r="E215" s="3" t="s">
        <v>1949</v>
      </c>
      <c r="F215" s="3" t="s">
        <v>1118</v>
      </c>
      <c r="G215" s="3" t="s">
        <v>3607</v>
      </c>
      <c r="H215" s="6">
        <v>13759.04</v>
      </c>
    </row>
    <row r="216" spans="1:8" ht="15.75" hidden="1" customHeight="1" x14ac:dyDescent="0.35">
      <c r="A216" s="15"/>
      <c r="B216" s="3" t="s">
        <v>261</v>
      </c>
      <c r="C216" s="3" t="s">
        <v>2809</v>
      </c>
      <c r="D216" s="3" t="s">
        <v>861</v>
      </c>
      <c r="E216" s="3" t="s">
        <v>1950</v>
      </c>
      <c r="F216" s="3" t="s">
        <v>1119</v>
      </c>
      <c r="G216" s="3" t="s">
        <v>3608</v>
      </c>
      <c r="H216" s="6">
        <v>21878.271999999997</v>
      </c>
    </row>
    <row r="217" spans="1:8" ht="15.75" hidden="1" customHeight="1" x14ac:dyDescent="0.35">
      <c r="A217" s="15"/>
      <c r="B217" s="3" t="s">
        <v>262</v>
      </c>
      <c r="C217" s="3" t="s">
        <v>2810</v>
      </c>
      <c r="D217" s="3" t="s">
        <v>861</v>
      </c>
      <c r="E217" s="3" t="s">
        <v>1951</v>
      </c>
      <c r="F217" s="3" t="s">
        <v>1120</v>
      </c>
      <c r="G217" s="3" t="s">
        <v>3609</v>
      </c>
      <c r="H217" s="6">
        <v>37213.247999999992</v>
      </c>
    </row>
    <row r="218" spans="1:8" ht="15.75" hidden="1" customHeight="1" x14ac:dyDescent="0.35">
      <c r="A218" s="15"/>
      <c r="B218" s="3" t="s">
        <v>264</v>
      </c>
      <c r="C218" s="3" t="s">
        <v>2812</v>
      </c>
      <c r="D218" s="3" t="s">
        <v>861</v>
      </c>
      <c r="E218" s="3" t="s">
        <v>1953</v>
      </c>
      <c r="F218" s="3" t="s">
        <v>1122</v>
      </c>
      <c r="G218" s="3" t="s">
        <v>3610</v>
      </c>
      <c r="H218" s="6">
        <v>11222.464</v>
      </c>
    </row>
    <row r="219" spans="1:8" ht="15.75" hidden="1" customHeight="1" x14ac:dyDescent="0.35">
      <c r="A219" s="15"/>
      <c r="B219" s="3" t="s">
        <v>265</v>
      </c>
      <c r="C219" s="3" t="s">
        <v>2813</v>
      </c>
      <c r="D219" s="3" t="s">
        <v>861</v>
      </c>
      <c r="E219" s="3" t="s">
        <v>1954</v>
      </c>
      <c r="F219" s="3" t="s">
        <v>1123</v>
      </c>
      <c r="G219" s="3" t="s">
        <v>3611</v>
      </c>
      <c r="H219" s="6">
        <v>16087.68</v>
      </c>
    </row>
    <row r="220" spans="1:8" ht="15.75" hidden="1" customHeight="1" x14ac:dyDescent="0.35">
      <c r="A220" s="15"/>
      <c r="B220" s="3" t="s">
        <v>266</v>
      </c>
      <c r="C220" s="3" t="s">
        <v>2814</v>
      </c>
      <c r="D220" s="3" t="s">
        <v>861</v>
      </c>
      <c r="E220" s="3" t="s">
        <v>1955</v>
      </c>
      <c r="F220" s="3" t="s">
        <v>1124</v>
      </c>
      <c r="G220" s="3" t="s">
        <v>3612</v>
      </c>
      <c r="H220" s="6">
        <v>16509.023999999998</v>
      </c>
    </row>
    <row r="221" spans="1:8" ht="15.75" hidden="1" customHeight="1" x14ac:dyDescent="0.35">
      <c r="A221" s="15"/>
      <c r="B221" s="3" t="s">
        <v>267</v>
      </c>
      <c r="C221" s="3" t="s">
        <v>2815</v>
      </c>
      <c r="D221" s="3" t="s">
        <v>861</v>
      </c>
      <c r="E221" s="3" t="s">
        <v>1956</v>
      </c>
      <c r="F221" s="3" t="s">
        <v>1125</v>
      </c>
      <c r="G221" s="3" t="s">
        <v>3613</v>
      </c>
      <c r="H221" s="6">
        <v>32186.911999999997</v>
      </c>
    </row>
    <row r="222" spans="1:8" ht="15.75" hidden="1" customHeight="1" x14ac:dyDescent="0.35">
      <c r="A222" s="15"/>
      <c r="B222" s="3" t="s">
        <v>268</v>
      </c>
      <c r="C222" s="3" t="s">
        <v>2816</v>
      </c>
      <c r="D222" s="3" t="s">
        <v>861</v>
      </c>
      <c r="E222" s="3" t="s">
        <v>1957</v>
      </c>
      <c r="F222" s="3" t="s">
        <v>1126</v>
      </c>
      <c r="G222" s="3" t="s">
        <v>3613</v>
      </c>
      <c r="H222" s="6">
        <v>77789.343999999997</v>
      </c>
    </row>
    <row r="223" spans="1:8" ht="15.75" hidden="1" customHeight="1" x14ac:dyDescent="0.35">
      <c r="A223" s="15"/>
      <c r="B223" s="3" t="s">
        <v>269</v>
      </c>
      <c r="C223" s="3" t="s">
        <v>2817</v>
      </c>
      <c r="D223" s="3" t="s">
        <v>860</v>
      </c>
      <c r="E223" s="3" t="s">
        <v>1958</v>
      </c>
      <c r="F223" s="3" t="s">
        <v>1127</v>
      </c>
      <c r="G223" s="3" t="s">
        <v>3614</v>
      </c>
      <c r="H223" s="6">
        <v>56899.072</v>
      </c>
    </row>
    <row r="224" spans="1:8" ht="15.75" hidden="1" customHeight="1" x14ac:dyDescent="0.35">
      <c r="A224" s="15"/>
      <c r="B224" s="3" t="s">
        <v>271</v>
      </c>
      <c r="C224" s="3" t="s">
        <v>2819</v>
      </c>
      <c r="D224" s="3" t="s">
        <v>860</v>
      </c>
      <c r="E224" s="3" t="s">
        <v>1960</v>
      </c>
      <c r="F224" s="3" t="s">
        <v>1129</v>
      </c>
      <c r="G224" s="3" t="s">
        <v>3615</v>
      </c>
      <c r="H224" s="6">
        <v>40432.608</v>
      </c>
    </row>
    <row r="225" spans="1:8" ht="15.75" hidden="1" customHeight="1" x14ac:dyDescent="0.35">
      <c r="A225" s="15"/>
      <c r="B225" s="3" t="s">
        <v>272</v>
      </c>
      <c r="C225" s="3" t="s">
        <v>2820</v>
      </c>
      <c r="D225" s="3" t="s">
        <v>860</v>
      </c>
      <c r="E225" s="3" t="s">
        <v>1961</v>
      </c>
      <c r="F225" s="3" t="s">
        <v>1130</v>
      </c>
      <c r="G225" s="3" t="s">
        <v>3615</v>
      </c>
      <c r="H225" s="6">
        <v>23955.807999999997</v>
      </c>
    </row>
    <row r="226" spans="1:8" ht="15.75" hidden="1" customHeight="1" x14ac:dyDescent="0.35">
      <c r="A226" s="15"/>
      <c r="B226" s="3" t="s">
        <v>273</v>
      </c>
      <c r="C226" s="3" t="s">
        <v>2821</v>
      </c>
      <c r="D226" s="3" t="s">
        <v>860</v>
      </c>
      <c r="E226" s="3" t="s">
        <v>1962</v>
      </c>
      <c r="F226" s="3" t="s">
        <v>1131</v>
      </c>
      <c r="G226" s="3" t="s">
        <v>3616</v>
      </c>
      <c r="H226" s="6">
        <v>40545.695999999996</v>
      </c>
    </row>
    <row r="227" spans="1:8" ht="15.75" hidden="1" customHeight="1" x14ac:dyDescent="0.35">
      <c r="A227" s="15"/>
      <c r="B227" s="3" t="s">
        <v>274</v>
      </c>
      <c r="C227" s="3" t="s">
        <v>2822</v>
      </c>
      <c r="D227" s="3" t="s">
        <v>861</v>
      </c>
      <c r="E227" s="3" t="s">
        <v>1963</v>
      </c>
      <c r="F227" s="3" t="s">
        <v>1132</v>
      </c>
      <c r="G227" s="3" t="s">
        <v>3616</v>
      </c>
      <c r="H227" s="6">
        <v>15269.92</v>
      </c>
    </row>
    <row r="228" spans="1:8" ht="15.75" hidden="1" customHeight="1" x14ac:dyDescent="0.35">
      <c r="A228" s="15"/>
      <c r="B228" s="3" t="s">
        <v>275</v>
      </c>
      <c r="C228" s="3" t="s">
        <v>2823</v>
      </c>
      <c r="D228" s="3" t="s">
        <v>860</v>
      </c>
      <c r="E228" s="3" t="s">
        <v>1964</v>
      </c>
      <c r="F228" s="3" t="s">
        <v>1133</v>
      </c>
      <c r="G228" s="3" t="s">
        <v>3616</v>
      </c>
      <c r="H228" s="6">
        <v>36625.919999999998</v>
      </c>
    </row>
    <row r="229" spans="1:8" ht="15.75" hidden="1" customHeight="1" x14ac:dyDescent="0.35">
      <c r="A229" s="15"/>
      <c r="B229" s="3" t="s">
        <v>276</v>
      </c>
      <c r="C229" s="3" t="s">
        <v>2824</v>
      </c>
      <c r="D229" s="3" t="s">
        <v>861</v>
      </c>
      <c r="E229" s="3" t="s">
        <v>1965</v>
      </c>
      <c r="F229" s="3" t="s">
        <v>1134</v>
      </c>
      <c r="G229" s="3" t="s">
        <v>3617</v>
      </c>
      <c r="H229" s="6">
        <v>35905.439999999995</v>
      </c>
    </row>
    <row r="230" spans="1:8" ht="15.75" hidden="1" customHeight="1" x14ac:dyDescent="0.35">
      <c r="A230" s="15"/>
      <c r="B230" s="3" t="s">
        <v>277</v>
      </c>
      <c r="C230" s="3" t="s">
        <v>2825</v>
      </c>
      <c r="D230" s="3" t="s">
        <v>861</v>
      </c>
      <c r="E230" s="3" t="s">
        <v>1966</v>
      </c>
      <c r="F230" s="3" t="s">
        <v>1135</v>
      </c>
      <c r="G230" s="3" t="s">
        <v>3618</v>
      </c>
      <c r="H230" s="6">
        <v>34324.031999999999</v>
      </c>
    </row>
    <row r="231" spans="1:8" ht="15.75" hidden="1" customHeight="1" x14ac:dyDescent="0.35">
      <c r="A231" s="15"/>
      <c r="B231" s="3" t="s">
        <v>278</v>
      </c>
      <c r="C231" s="3" t="s">
        <v>2826</v>
      </c>
      <c r="D231" s="3" t="s">
        <v>861</v>
      </c>
      <c r="E231" s="3" t="s">
        <v>1967</v>
      </c>
      <c r="F231" s="3" t="s">
        <v>1136</v>
      </c>
      <c r="G231" s="3" t="s">
        <v>3619</v>
      </c>
      <c r="H231" s="6">
        <v>15419.487999999999</v>
      </c>
    </row>
    <row r="232" spans="1:8" ht="15.75" hidden="1" customHeight="1" x14ac:dyDescent="0.35">
      <c r="A232" s="15"/>
      <c r="B232" s="3" t="s">
        <v>280</v>
      </c>
      <c r="C232" s="3" t="s">
        <v>2828</v>
      </c>
      <c r="D232" s="3" t="s">
        <v>861</v>
      </c>
      <c r="E232" s="3" t="s">
        <v>1969</v>
      </c>
      <c r="F232" s="3" t="s">
        <v>1138</v>
      </c>
      <c r="G232" s="3" t="s">
        <v>3620</v>
      </c>
      <c r="H232" s="6">
        <v>21924.48</v>
      </c>
    </row>
    <row r="233" spans="1:8" ht="15.75" hidden="1" customHeight="1" x14ac:dyDescent="0.35">
      <c r="A233" s="15"/>
      <c r="B233" s="3" t="s">
        <v>281</v>
      </c>
      <c r="C233" s="3" t="s">
        <v>2829</v>
      </c>
      <c r="D233" s="3" t="s">
        <v>860</v>
      </c>
      <c r="E233" s="3" t="s">
        <v>1970</v>
      </c>
      <c r="F233" s="3" t="s">
        <v>1139</v>
      </c>
      <c r="G233" s="3" t="s">
        <v>3621</v>
      </c>
      <c r="H233" s="6">
        <v>17300.64</v>
      </c>
    </row>
    <row r="234" spans="1:8" ht="15.75" hidden="1" customHeight="1" x14ac:dyDescent="0.35">
      <c r="A234" s="15"/>
      <c r="B234" s="3" t="s">
        <v>283</v>
      </c>
      <c r="C234" s="3" t="s">
        <v>2831</v>
      </c>
      <c r="D234" s="3" t="s">
        <v>861</v>
      </c>
      <c r="E234" s="3" t="s">
        <v>1972</v>
      </c>
      <c r="F234" s="3" t="s">
        <v>1141</v>
      </c>
      <c r="G234" s="3" t="s">
        <v>3622</v>
      </c>
      <c r="H234" s="6">
        <v>11239.488000000001</v>
      </c>
    </row>
    <row r="235" spans="1:8" ht="15.75" hidden="1" customHeight="1" x14ac:dyDescent="0.35">
      <c r="A235" s="15"/>
      <c r="B235" s="3" t="s">
        <v>286</v>
      </c>
      <c r="C235" s="3" t="s">
        <v>2834</v>
      </c>
      <c r="D235" s="3" t="s">
        <v>860</v>
      </c>
      <c r="E235" s="3" t="s">
        <v>1975</v>
      </c>
      <c r="F235" s="3" t="s">
        <v>1144</v>
      </c>
      <c r="G235" s="3" t="s">
        <v>3623</v>
      </c>
      <c r="H235" s="6">
        <v>21872.799999999999</v>
      </c>
    </row>
    <row r="236" spans="1:8" ht="15.75" hidden="1" customHeight="1" x14ac:dyDescent="0.35">
      <c r="A236" s="15"/>
      <c r="B236" s="3" t="s">
        <v>288</v>
      </c>
      <c r="C236" s="3" t="s">
        <v>2836</v>
      </c>
      <c r="D236" s="3" t="s">
        <v>860</v>
      </c>
      <c r="E236" s="3" t="s">
        <v>1977</v>
      </c>
      <c r="F236" s="3" t="s">
        <v>1146</v>
      </c>
      <c r="G236" s="3" t="s">
        <v>3625</v>
      </c>
      <c r="H236" s="6">
        <v>19169.632000000001</v>
      </c>
    </row>
    <row r="237" spans="1:8" ht="15.75" hidden="1" customHeight="1" x14ac:dyDescent="0.35">
      <c r="A237" s="15"/>
      <c r="B237" s="3" t="s">
        <v>289</v>
      </c>
      <c r="C237" s="3" t="s">
        <v>2837</v>
      </c>
      <c r="D237" s="3" t="s">
        <v>860</v>
      </c>
      <c r="E237" s="3" t="s">
        <v>1978</v>
      </c>
      <c r="F237" s="3" t="s">
        <v>1147</v>
      </c>
      <c r="G237" s="3" t="s">
        <v>3626</v>
      </c>
      <c r="H237" s="6">
        <v>16514.495999999999</v>
      </c>
    </row>
    <row r="238" spans="1:8" ht="15.75" hidden="1" customHeight="1" x14ac:dyDescent="0.35">
      <c r="A238" s="15"/>
      <c r="B238" s="3" t="s">
        <v>290</v>
      </c>
      <c r="C238" s="3" t="s">
        <v>2838</v>
      </c>
      <c r="D238" s="3" t="s">
        <v>860</v>
      </c>
      <c r="E238" s="3" t="s">
        <v>1979</v>
      </c>
      <c r="F238" s="3" t="s">
        <v>1148</v>
      </c>
      <c r="G238" s="3" t="s">
        <v>3626</v>
      </c>
      <c r="H238" s="6">
        <v>13599.135999999999</v>
      </c>
    </row>
    <row r="239" spans="1:8" ht="15.75" hidden="1" customHeight="1" x14ac:dyDescent="0.35">
      <c r="A239" s="15"/>
      <c r="B239" s="3" t="s">
        <v>292</v>
      </c>
      <c r="C239" s="3" t="s">
        <v>2840</v>
      </c>
      <c r="D239" s="3" t="s">
        <v>861</v>
      </c>
      <c r="E239" s="3" t="s">
        <v>1981</v>
      </c>
      <c r="F239" s="3" t="s">
        <v>1150</v>
      </c>
      <c r="G239" s="3" t="s">
        <v>5796</v>
      </c>
      <c r="H239" s="6">
        <v>27093.088</v>
      </c>
    </row>
    <row r="240" spans="1:8" ht="15.75" hidden="1" customHeight="1" x14ac:dyDescent="0.35">
      <c r="A240" s="15"/>
      <c r="B240" s="3" t="s">
        <v>293</v>
      </c>
      <c r="C240" s="3" t="s">
        <v>2841</v>
      </c>
      <c r="D240" s="3" t="s">
        <v>860</v>
      </c>
      <c r="E240" s="3" t="s">
        <v>1982</v>
      </c>
      <c r="F240" s="3" t="s">
        <v>1151</v>
      </c>
      <c r="G240" s="3" t="s">
        <v>5940</v>
      </c>
      <c r="H240" s="6">
        <v>27285.823999999997</v>
      </c>
    </row>
    <row r="241" spans="1:8" ht="15.75" hidden="1" customHeight="1" x14ac:dyDescent="0.35">
      <c r="A241" s="15"/>
      <c r="B241" s="3" t="s">
        <v>294</v>
      </c>
      <c r="C241" s="3" t="s">
        <v>2842</v>
      </c>
      <c r="D241" s="3" t="s">
        <v>860</v>
      </c>
      <c r="E241" s="3" t="s">
        <v>1983</v>
      </c>
      <c r="F241" s="3" t="s">
        <v>1152</v>
      </c>
      <c r="G241" s="3" t="s">
        <v>3627</v>
      </c>
      <c r="H241" s="6">
        <v>111794.784</v>
      </c>
    </row>
    <row r="242" spans="1:8" ht="15.75" hidden="1" customHeight="1" x14ac:dyDescent="0.35">
      <c r="A242" s="15"/>
      <c r="B242" s="3" t="s">
        <v>297</v>
      </c>
      <c r="C242" s="3" t="s">
        <v>2845</v>
      </c>
      <c r="D242" s="3" t="s">
        <v>860</v>
      </c>
      <c r="E242" s="3" t="s">
        <v>1986</v>
      </c>
      <c r="F242" s="3" t="s">
        <v>1155</v>
      </c>
      <c r="G242" s="3" t="s">
        <v>3628</v>
      </c>
      <c r="H242" s="6">
        <v>35608.735999999997</v>
      </c>
    </row>
    <row r="243" spans="1:8" ht="15.75" hidden="1" customHeight="1" x14ac:dyDescent="0.35">
      <c r="A243" s="15"/>
      <c r="B243" s="3" t="s">
        <v>299</v>
      </c>
      <c r="C243" s="3" t="s">
        <v>2847</v>
      </c>
      <c r="D243" s="3" t="s">
        <v>861</v>
      </c>
      <c r="E243" s="3" t="s">
        <v>1988</v>
      </c>
      <c r="F243" s="3" t="s">
        <v>1157</v>
      </c>
      <c r="G243" s="3" t="s">
        <v>3629</v>
      </c>
      <c r="H243" s="6">
        <v>11114.848</v>
      </c>
    </row>
    <row r="244" spans="1:8" ht="15.75" hidden="1" customHeight="1" x14ac:dyDescent="0.35">
      <c r="A244" s="15"/>
      <c r="B244" s="3" t="s">
        <v>300</v>
      </c>
      <c r="C244" s="3" t="s">
        <v>2848</v>
      </c>
      <c r="D244" s="3" t="s">
        <v>861</v>
      </c>
      <c r="E244" s="3" t="s">
        <v>1989</v>
      </c>
      <c r="F244" s="3" t="s">
        <v>1158</v>
      </c>
      <c r="G244" s="3" t="s">
        <v>3630</v>
      </c>
      <c r="H244" s="6">
        <v>10795.04</v>
      </c>
    </row>
    <row r="245" spans="1:8" ht="15.75" hidden="1" customHeight="1" x14ac:dyDescent="0.35">
      <c r="A245" s="15"/>
      <c r="B245" s="3" t="s">
        <v>301</v>
      </c>
      <c r="C245" s="3" t="s">
        <v>2849</v>
      </c>
      <c r="D245" s="3" t="s">
        <v>861</v>
      </c>
      <c r="E245" s="3" t="s">
        <v>1990</v>
      </c>
      <c r="F245" s="3" t="s">
        <v>1159</v>
      </c>
      <c r="G245" s="3" t="s">
        <v>3631</v>
      </c>
      <c r="H245" s="6">
        <v>20044.543999999998</v>
      </c>
    </row>
    <row r="246" spans="1:8" ht="15.75" hidden="1" customHeight="1" x14ac:dyDescent="0.35">
      <c r="A246" s="15"/>
      <c r="B246" s="3" t="s">
        <v>304</v>
      </c>
      <c r="C246" s="3" t="s">
        <v>2852</v>
      </c>
      <c r="D246" s="3" t="s">
        <v>861</v>
      </c>
      <c r="E246" s="3" t="s">
        <v>1993</v>
      </c>
      <c r="F246" s="3" t="s">
        <v>1162</v>
      </c>
      <c r="G246" s="3" t="s">
        <v>3632</v>
      </c>
      <c r="H246" s="6">
        <v>10795.04</v>
      </c>
    </row>
    <row r="247" spans="1:8" ht="15.75" hidden="1" customHeight="1" x14ac:dyDescent="0.35">
      <c r="A247" s="15"/>
      <c r="B247" s="3" t="s">
        <v>305</v>
      </c>
      <c r="C247" s="3" t="s">
        <v>2853</v>
      </c>
      <c r="D247" s="3" t="s">
        <v>860</v>
      </c>
      <c r="E247" s="3" t="s">
        <v>1994</v>
      </c>
      <c r="F247" s="3" t="s">
        <v>1163</v>
      </c>
      <c r="G247" s="3" t="s">
        <v>3633</v>
      </c>
      <c r="H247" s="6">
        <v>39862.911999999997</v>
      </c>
    </row>
    <row r="248" spans="1:8" ht="15.75" hidden="1" customHeight="1" x14ac:dyDescent="0.35">
      <c r="A248" s="15"/>
      <c r="B248" s="3" t="s">
        <v>306</v>
      </c>
      <c r="C248" s="3" t="s">
        <v>2854</v>
      </c>
      <c r="D248" s="3" t="s">
        <v>861</v>
      </c>
      <c r="E248" s="3" t="s">
        <v>1995</v>
      </c>
      <c r="F248" s="3" t="s">
        <v>1164</v>
      </c>
      <c r="G248" s="3" t="s">
        <v>3634</v>
      </c>
      <c r="H248" s="6">
        <v>16671.967999999997</v>
      </c>
    </row>
    <row r="249" spans="1:8" ht="15.75" hidden="1" customHeight="1" x14ac:dyDescent="0.35">
      <c r="A249" s="15"/>
      <c r="B249" s="3" t="s">
        <v>307</v>
      </c>
      <c r="C249" s="3" t="s">
        <v>2855</v>
      </c>
      <c r="D249" s="3" t="s">
        <v>861</v>
      </c>
      <c r="E249" s="3" t="s">
        <v>1996</v>
      </c>
      <c r="F249" s="3" t="s">
        <v>1165</v>
      </c>
      <c r="G249" s="3" t="s">
        <v>3635</v>
      </c>
      <c r="H249" s="6">
        <v>39885.407999999996</v>
      </c>
    </row>
    <row r="250" spans="1:8" ht="15.75" hidden="1" customHeight="1" x14ac:dyDescent="0.35">
      <c r="A250" s="15"/>
      <c r="B250" s="3" t="s">
        <v>308</v>
      </c>
      <c r="C250" s="3" t="s">
        <v>2856</v>
      </c>
      <c r="D250" s="3" t="s">
        <v>861</v>
      </c>
      <c r="E250" s="3" t="s">
        <v>1997</v>
      </c>
      <c r="F250" s="3" t="s">
        <v>1166</v>
      </c>
      <c r="G250" s="3" t="s">
        <v>3635</v>
      </c>
      <c r="H250" s="6">
        <v>11328.255999999999</v>
      </c>
    </row>
    <row r="251" spans="1:8" ht="15.75" hidden="1" customHeight="1" x14ac:dyDescent="0.35">
      <c r="A251" s="15"/>
      <c r="B251" s="3" t="s">
        <v>309</v>
      </c>
      <c r="C251" s="3" t="s">
        <v>2857</v>
      </c>
      <c r="D251" s="3" t="s">
        <v>860</v>
      </c>
      <c r="E251" s="3" t="s">
        <v>1998</v>
      </c>
      <c r="F251" s="3" t="s">
        <v>1167</v>
      </c>
      <c r="G251" s="3" t="s">
        <v>5709</v>
      </c>
      <c r="H251" s="6">
        <v>24909.151999999998</v>
      </c>
    </row>
    <row r="252" spans="1:8" ht="15.75" hidden="1" customHeight="1" x14ac:dyDescent="0.35">
      <c r="A252" s="15"/>
      <c r="B252" s="3" t="s">
        <v>311</v>
      </c>
      <c r="C252" s="3" t="s">
        <v>2859</v>
      </c>
      <c r="D252" s="3" t="s">
        <v>861</v>
      </c>
      <c r="E252" s="3" t="s">
        <v>2000</v>
      </c>
      <c r="F252" s="3" t="s">
        <v>1169</v>
      </c>
      <c r="G252" s="3" t="s">
        <v>5710</v>
      </c>
      <c r="H252" s="6">
        <v>26171.967999999997</v>
      </c>
    </row>
    <row r="253" spans="1:8" ht="15.75" hidden="1" customHeight="1" x14ac:dyDescent="0.35">
      <c r="A253" s="15"/>
      <c r="B253" s="3" t="s">
        <v>313</v>
      </c>
      <c r="C253" s="3" t="s">
        <v>2861</v>
      </c>
      <c r="D253" s="3" t="s">
        <v>861</v>
      </c>
      <c r="E253" s="3" t="s">
        <v>2002</v>
      </c>
      <c r="F253" s="3" t="s">
        <v>1171</v>
      </c>
      <c r="G253" s="3" t="s">
        <v>6021</v>
      </c>
      <c r="H253" s="6">
        <v>10675.264000000001</v>
      </c>
    </row>
    <row r="254" spans="1:8" ht="15.75" hidden="1" customHeight="1" x14ac:dyDescent="0.35">
      <c r="A254" s="15"/>
      <c r="B254" s="3" t="s">
        <v>315</v>
      </c>
      <c r="C254" s="3" t="s">
        <v>2863</v>
      </c>
      <c r="D254" s="3" t="s">
        <v>861</v>
      </c>
      <c r="E254" s="3" t="s">
        <v>2004</v>
      </c>
      <c r="F254" s="3" t="s">
        <v>1173</v>
      </c>
      <c r="G254" s="3" t="s">
        <v>3636</v>
      </c>
      <c r="H254" s="6">
        <v>31446.975999999999</v>
      </c>
    </row>
    <row r="255" spans="1:8" ht="15.75" hidden="1" customHeight="1" x14ac:dyDescent="0.35">
      <c r="A255" s="15"/>
      <c r="B255" s="3" t="s">
        <v>316</v>
      </c>
      <c r="C255" s="3" t="s">
        <v>2864</v>
      </c>
      <c r="D255" s="3" t="s">
        <v>861</v>
      </c>
      <c r="E255" s="3" t="s">
        <v>2005</v>
      </c>
      <c r="F255" s="3" t="s">
        <v>1174</v>
      </c>
      <c r="G255" s="3" t="s">
        <v>3637</v>
      </c>
      <c r="H255" s="6">
        <v>56140.896000000001</v>
      </c>
    </row>
    <row r="256" spans="1:8" ht="15.75" hidden="1" customHeight="1" x14ac:dyDescent="0.35">
      <c r="A256" s="15"/>
      <c r="B256" s="3" t="s">
        <v>317</v>
      </c>
      <c r="C256" s="3" t="s">
        <v>2865</v>
      </c>
      <c r="D256" s="3" t="s">
        <v>860</v>
      </c>
      <c r="E256" s="3" t="s">
        <v>2006</v>
      </c>
      <c r="F256" s="3" t="s">
        <v>1175</v>
      </c>
      <c r="G256" s="3" t="s">
        <v>3638</v>
      </c>
      <c r="H256" s="6">
        <v>23722.944</v>
      </c>
    </row>
    <row r="257" spans="1:8" ht="15.75" hidden="1" customHeight="1" x14ac:dyDescent="0.35">
      <c r="A257" s="15"/>
      <c r="B257" s="3" t="s">
        <v>318</v>
      </c>
      <c r="C257" s="3" t="s">
        <v>2866</v>
      </c>
      <c r="D257" s="3" t="s">
        <v>861</v>
      </c>
      <c r="E257" s="3" t="s">
        <v>2007</v>
      </c>
      <c r="F257" s="3" t="s">
        <v>1176</v>
      </c>
      <c r="G257" s="3" t="s">
        <v>3639</v>
      </c>
      <c r="H257" s="6">
        <v>38415.872000000003</v>
      </c>
    </row>
    <row r="258" spans="1:8" ht="15.75" hidden="1" customHeight="1" x14ac:dyDescent="0.35">
      <c r="A258" s="15"/>
      <c r="B258" s="3" t="s">
        <v>320</v>
      </c>
      <c r="C258" s="3" t="s">
        <v>2868</v>
      </c>
      <c r="D258" s="3" t="s">
        <v>860</v>
      </c>
      <c r="E258" s="3" t="s">
        <v>2009</v>
      </c>
      <c r="F258" s="3" t="s">
        <v>1178</v>
      </c>
      <c r="G258" s="3" t="s">
        <v>3640</v>
      </c>
      <c r="H258" s="6">
        <v>13838.079999999998</v>
      </c>
    </row>
    <row r="259" spans="1:8" ht="15.75" hidden="1" customHeight="1" x14ac:dyDescent="0.35">
      <c r="A259" s="15"/>
      <c r="B259" s="3" t="s">
        <v>321</v>
      </c>
      <c r="C259" s="3" t="s">
        <v>2869</v>
      </c>
      <c r="D259" s="3" t="s">
        <v>861</v>
      </c>
      <c r="E259" s="3" t="s">
        <v>2010</v>
      </c>
      <c r="F259" s="3" t="s">
        <v>1179</v>
      </c>
      <c r="G259" s="3" t="s">
        <v>3641</v>
      </c>
      <c r="H259" s="6">
        <v>10176.704</v>
      </c>
    </row>
    <row r="260" spans="1:8" ht="15.75" hidden="1" customHeight="1" x14ac:dyDescent="0.35">
      <c r="A260" s="15"/>
      <c r="B260" s="3" t="s">
        <v>322</v>
      </c>
      <c r="C260" s="3" t="s">
        <v>2870</v>
      </c>
      <c r="D260" s="3" t="s">
        <v>861</v>
      </c>
      <c r="E260" s="3" t="s">
        <v>2011</v>
      </c>
      <c r="F260" s="3" t="s">
        <v>1180</v>
      </c>
      <c r="G260" s="3" t="s">
        <v>3642</v>
      </c>
      <c r="H260" s="6">
        <v>19255.967999999997</v>
      </c>
    </row>
    <row r="261" spans="1:8" ht="15.75" hidden="1" customHeight="1" x14ac:dyDescent="0.35">
      <c r="A261" s="15"/>
      <c r="B261" s="3" t="s">
        <v>323</v>
      </c>
      <c r="C261" s="3" t="s">
        <v>2871</v>
      </c>
      <c r="D261" s="3" t="s">
        <v>861</v>
      </c>
      <c r="E261" s="3" t="s">
        <v>2012</v>
      </c>
      <c r="F261" s="3" t="s">
        <v>1181</v>
      </c>
      <c r="G261" s="3" t="s">
        <v>3643</v>
      </c>
      <c r="H261" s="6">
        <v>15419.487999999999</v>
      </c>
    </row>
    <row r="262" spans="1:8" ht="15.75" hidden="1" customHeight="1" x14ac:dyDescent="0.35">
      <c r="A262" s="15"/>
      <c r="B262" s="3" t="s">
        <v>325</v>
      </c>
      <c r="C262" s="3" t="s">
        <v>2873</v>
      </c>
      <c r="D262" s="3" t="s">
        <v>861</v>
      </c>
      <c r="E262" s="3" t="s">
        <v>2014</v>
      </c>
      <c r="F262" s="3" t="s">
        <v>1183</v>
      </c>
      <c r="G262" s="3" t="s">
        <v>3644</v>
      </c>
      <c r="H262" s="6">
        <v>37014.431999999993</v>
      </c>
    </row>
    <row r="263" spans="1:8" ht="15.75" hidden="1" customHeight="1" x14ac:dyDescent="0.35">
      <c r="A263" s="15"/>
      <c r="B263" s="3" t="s">
        <v>327</v>
      </c>
      <c r="C263" s="3" t="s">
        <v>2875</v>
      </c>
      <c r="D263" s="3" t="s">
        <v>861</v>
      </c>
      <c r="E263" s="3" t="s">
        <v>2016</v>
      </c>
      <c r="F263" s="3" t="s">
        <v>1185</v>
      </c>
      <c r="G263" s="3" t="s">
        <v>3645</v>
      </c>
      <c r="H263" s="6">
        <v>11113.632</v>
      </c>
    </row>
    <row r="264" spans="1:8" ht="15.75" hidden="1" customHeight="1" x14ac:dyDescent="0.35">
      <c r="A264" s="15"/>
      <c r="B264" s="3" t="s">
        <v>328</v>
      </c>
      <c r="C264" s="3" t="s">
        <v>2876</v>
      </c>
      <c r="D264" s="3" t="s">
        <v>861</v>
      </c>
      <c r="E264" s="3" t="s">
        <v>2017</v>
      </c>
      <c r="F264" s="3" t="s">
        <v>1186</v>
      </c>
      <c r="G264" s="3" t="s">
        <v>3646</v>
      </c>
      <c r="H264" s="6">
        <v>28467.167999999998</v>
      </c>
    </row>
    <row r="265" spans="1:8" ht="15.75" hidden="1" customHeight="1" x14ac:dyDescent="0.35">
      <c r="A265" s="15"/>
      <c r="B265" s="3" t="s">
        <v>329</v>
      </c>
      <c r="C265" s="3" t="s">
        <v>2877</v>
      </c>
      <c r="D265" s="3" t="s">
        <v>860</v>
      </c>
      <c r="E265" s="3" t="s">
        <v>2018</v>
      </c>
      <c r="F265" s="3" t="s">
        <v>1187</v>
      </c>
      <c r="G265" s="3" t="s">
        <v>3646</v>
      </c>
      <c r="H265" s="6">
        <v>19612.255999999998</v>
      </c>
    </row>
    <row r="266" spans="1:8" ht="15.75" hidden="1" customHeight="1" x14ac:dyDescent="0.35">
      <c r="A266" s="15"/>
      <c r="B266" s="3" t="s">
        <v>330</v>
      </c>
      <c r="C266" s="3" t="s">
        <v>2878</v>
      </c>
      <c r="D266" s="3" t="s">
        <v>860</v>
      </c>
      <c r="E266" s="3" t="s">
        <v>2019</v>
      </c>
      <c r="F266" s="3" t="s">
        <v>1188</v>
      </c>
      <c r="G266" s="3" t="s">
        <v>3647</v>
      </c>
      <c r="H266" s="6">
        <v>56472.256000000001</v>
      </c>
    </row>
    <row r="267" spans="1:8" ht="15.75" hidden="1" customHeight="1" x14ac:dyDescent="0.35">
      <c r="A267" s="15"/>
      <c r="B267" s="3" t="s">
        <v>331</v>
      </c>
      <c r="C267" s="3" t="s">
        <v>2879</v>
      </c>
      <c r="D267" s="3" t="s">
        <v>861</v>
      </c>
      <c r="E267" s="3" t="s">
        <v>2020</v>
      </c>
      <c r="F267" s="3" t="s">
        <v>1189</v>
      </c>
      <c r="G267" s="3" t="s">
        <v>3648</v>
      </c>
      <c r="H267" s="6">
        <v>29140.831999999999</v>
      </c>
    </row>
    <row r="268" spans="1:8" ht="15.75" hidden="1" customHeight="1" x14ac:dyDescent="0.35">
      <c r="A268" s="15"/>
      <c r="B268" s="3" t="s">
        <v>332</v>
      </c>
      <c r="C268" s="3" t="s">
        <v>2880</v>
      </c>
      <c r="D268" s="3" t="s">
        <v>860</v>
      </c>
      <c r="E268" s="3" t="s">
        <v>2021</v>
      </c>
      <c r="F268" s="3" t="s">
        <v>1190</v>
      </c>
      <c r="G268" s="3" t="s">
        <v>3649</v>
      </c>
      <c r="H268" s="6">
        <v>45253.439999999995</v>
      </c>
    </row>
    <row r="269" spans="1:8" ht="15.75" hidden="1" customHeight="1" x14ac:dyDescent="0.35">
      <c r="A269" s="15"/>
      <c r="B269" s="3" t="s">
        <v>333</v>
      </c>
      <c r="C269" s="3" t="s">
        <v>2881</v>
      </c>
      <c r="D269" s="3" t="s">
        <v>861</v>
      </c>
      <c r="E269" s="3" t="s">
        <v>2022</v>
      </c>
      <c r="F269" s="3" t="s">
        <v>1191</v>
      </c>
      <c r="G269" s="3" t="s">
        <v>3649</v>
      </c>
      <c r="H269" s="6">
        <v>15691.263999999997</v>
      </c>
    </row>
    <row r="270" spans="1:8" ht="15.75" hidden="1" customHeight="1" x14ac:dyDescent="0.35">
      <c r="A270" s="15"/>
      <c r="B270" s="3" t="s">
        <v>334</v>
      </c>
      <c r="C270" s="3" t="s">
        <v>2882</v>
      </c>
      <c r="D270" s="3" t="s">
        <v>861</v>
      </c>
      <c r="E270" s="3" t="s">
        <v>2023</v>
      </c>
      <c r="F270" s="3" t="s">
        <v>1192</v>
      </c>
      <c r="G270" s="3" t="s">
        <v>3650</v>
      </c>
      <c r="H270" s="6">
        <v>45978.784</v>
      </c>
    </row>
    <row r="271" spans="1:8" ht="15.75" hidden="1" customHeight="1" x14ac:dyDescent="0.35">
      <c r="A271" s="15"/>
      <c r="B271" s="3" t="s">
        <v>335</v>
      </c>
      <c r="C271" s="3" t="s">
        <v>2883</v>
      </c>
      <c r="D271" s="3" t="s">
        <v>860</v>
      </c>
      <c r="E271" s="3" t="s">
        <v>2024</v>
      </c>
      <c r="F271" s="3" t="s">
        <v>1193</v>
      </c>
      <c r="G271" s="3" t="s">
        <v>6022</v>
      </c>
      <c r="H271" s="6">
        <v>20218.432000000001</v>
      </c>
    </row>
    <row r="272" spans="1:8" ht="15.75" hidden="1" customHeight="1" x14ac:dyDescent="0.35">
      <c r="A272" s="15"/>
      <c r="B272" s="3" t="s">
        <v>336</v>
      </c>
      <c r="C272" s="3" t="s">
        <v>2884</v>
      </c>
      <c r="D272" s="3" t="s">
        <v>861</v>
      </c>
      <c r="E272" s="3" t="s">
        <v>2025</v>
      </c>
      <c r="F272" s="3" t="s">
        <v>1194</v>
      </c>
      <c r="G272" s="3" t="s">
        <v>3651</v>
      </c>
      <c r="H272" s="6">
        <v>10900.831999999999</v>
      </c>
    </row>
    <row r="273" spans="1:8" ht="15.75" hidden="1" customHeight="1" x14ac:dyDescent="0.35">
      <c r="A273" s="15"/>
      <c r="B273" s="3" t="s">
        <v>337</v>
      </c>
      <c r="C273" s="3" t="s">
        <v>2885</v>
      </c>
      <c r="D273" s="3" t="s">
        <v>861</v>
      </c>
      <c r="E273" s="3" t="s">
        <v>2026</v>
      </c>
      <c r="F273" s="3" t="s">
        <v>1195</v>
      </c>
      <c r="G273" s="3" t="s">
        <v>3652</v>
      </c>
      <c r="H273" s="6">
        <v>19531.392</v>
      </c>
    </row>
    <row r="274" spans="1:8" ht="15.75" hidden="1" customHeight="1" x14ac:dyDescent="0.35">
      <c r="A274" s="15"/>
      <c r="B274" s="3" t="s">
        <v>338</v>
      </c>
      <c r="C274" s="3" t="s">
        <v>2886</v>
      </c>
      <c r="D274" s="3" t="s">
        <v>861</v>
      </c>
      <c r="E274" s="3" t="s">
        <v>2027</v>
      </c>
      <c r="F274" s="3" t="s">
        <v>1196</v>
      </c>
      <c r="G274" s="3" t="s">
        <v>3653</v>
      </c>
      <c r="H274" s="6">
        <v>11114.848</v>
      </c>
    </row>
    <row r="275" spans="1:8" ht="15.75" hidden="1" customHeight="1" x14ac:dyDescent="0.35">
      <c r="A275" s="15"/>
      <c r="B275" s="3" t="s">
        <v>339</v>
      </c>
      <c r="C275" s="3" t="s">
        <v>2887</v>
      </c>
      <c r="D275" s="3" t="s">
        <v>861</v>
      </c>
      <c r="E275" s="3" t="s">
        <v>2028</v>
      </c>
      <c r="F275" s="3" t="s">
        <v>1197</v>
      </c>
      <c r="G275" s="3" t="s">
        <v>3654</v>
      </c>
      <c r="H275" s="6">
        <v>11222.464</v>
      </c>
    </row>
    <row r="276" spans="1:8" ht="15.75" hidden="1" customHeight="1" x14ac:dyDescent="0.35">
      <c r="A276" s="15"/>
      <c r="B276" s="3" t="s">
        <v>341</v>
      </c>
      <c r="C276" s="3" t="s">
        <v>2889</v>
      </c>
      <c r="D276" s="3" t="s">
        <v>860</v>
      </c>
      <c r="E276" s="3" t="s">
        <v>2030</v>
      </c>
      <c r="F276" s="3" t="s">
        <v>1199</v>
      </c>
      <c r="G276" s="3" t="s">
        <v>3655</v>
      </c>
      <c r="H276" s="6">
        <v>25390.687999999998</v>
      </c>
    </row>
    <row r="277" spans="1:8" ht="15.75" hidden="1" customHeight="1" x14ac:dyDescent="0.35">
      <c r="A277" s="15"/>
      <c r="B277" s="3" t="s">
        <v>342</v>
      </c>
      <c r="C277" s="3" t="s">
        <v>2890</v>
      </c>
      <c r="D277" s="3" t="s">
        <v>861</v>
      </c>
      <c r="E277" s="3" t="s">
        <v>2031</v>
      </c>
      <c r="F277" s="3" t="s">
        <v>1200</v>
      </c>
      <c r="G277" s="3" t="s">
        <v>3656</v>
      </c>
      <c r="H277" s="6">
        <v>33211.392</v>
      </c>
    </row>
    <row r="278" spans="1:8" ht="15.75" hidden="1" customHeight="1" x14ac:dyDescent="0.35">
      <c r="A278" s="15"/>
      <c r="B278" s="3" t="s">
        <v>343</v>
      </c>
      <c r="C278" s="3" t="s">
        <v>2891</v>
      </c>
      <c r="D278" s="3" t="s">
        <v>861</v>
      </c>
      <c r="E278" s="3" t="s">
        <v>2032</v>
      </c>
      <c r="F278" s="3" t="s">
        <v>1201</v>
      </c>
      <c r="G278" s="3" t="s">
        <v>3656</v>
      </c>
      <c r="H278" s="6">
        <v>19968.543999999998</v>
      </c>
    </row>
    <row r="279" spans="1:8" ht="15.75" hidden="1" customHeight="1" x14ac:dyDescent="0.35">
      <c r="A279" s="15"/>
      <c r="B279" s="3" t="s">
        <v>346</v>
      </c>
      <c r="C279" s="3" t="s">
        <v>2894</v>
      </c>
      <c r="D279" s="3" t="s">
        <v>861</v>
      </c>
      <c r="E279" s="3" t="s">
        <v>2035</v>
      </c>
      <c r="F279" s="3" t="s">
        <v>1189</v>
      </c>
      <c r="G279" s="3" t="s">
        <v>3657</v>
      </c>
      <c r="H279" s="6">
        <v>25495.263999999999</v>
      </c>
    </row>
    <row r="280" spans="1:8" ht="15.75" hidden="1" customHeight="1" x14ac:dyDescent="0.35">
      <c r="A280" s="15"/>
      <c r="B280" s="3" t="s">
        <v>347</v>
      </c>
      <c r="C280" s="3" t="s">
        <v>2895</v>
      </c>
      <c r="D280" s="3" t="s">
        <v>861</v>
      </c>
      <c r="E280" s="3" t="s">
        <v>2036</v>
      </c>
      <c r="F280" s="3" t="s">
        <v>1204</v>
      </c>
      <c r="G280" s="3" t="s">
        <v>3658</v>
      </c>
      <c r="H280" s="6">
        <v>19157.471999999998</v>
      </c>
    </row>
    <row r="281" spans="1:8" ht="15.75" hidden="1" customHeight="1" x14ac:dyDescent="0.35">
      <c r="A281" s="15"/>
      <c r="B281" s="3" t="s">
        <v>349</v>
      </c>
      <c r="C281" s="3" t="s">
        <v>2897</v>
      </c>
      <c r="D281" s="3" t="s">
        <v>860</v>
      </c>
      <c r="E281" s="3" t="s">
        <v>2038</v>
      </c>
      <c r="F281" s="3" t="s">
        <v>1206</v>
      </c>
      <c r="G281" s="3" t="s">
        <v>3659</v>
      </c>
      <c r="H281" s="6">
        <v>15234.047999999999</v>
      </c>
    </row>
    <row r="282" spans="1:8" ht="15.75" hidden="1" customHeight="1" x14ac:dyDescent="0.35">
      <c r="A282" s="15"/>
      <c r="B282" s="3" t="s">
        <v>350</v>
      </c>
      <c r="C282" s="3" t="s">
        <v>2898</v>
      </c>
      <c r="D282" s="3" t="s">
        <v>861</v>
      </c>
      <c r="E282" s="3" t="s">
        <v>2039</v>
      </c>
      <c r="F282" s="3" t="s">
        <v>1207</v>
      </c>
      <c r="G282" s="3" t="s">
        <v>3659</v>
      </c>
      <c r="H282" s="6">
        <v>18157.919999999998</v>
      </c>
    </row>
    <row r="283" spans="1:8" ht="15.75" hidden="1" customHeight="1" x14ac:dyDescent="0.35">
      <c r="A283" s="15"/>
      <c r="B283" s="3" t="s">
        <v>352</v>
      </c>
      <c r="C283" s="3" t="s">
        <v>2900</v>
      </c>
      <c r="D283" s="3" t="s">
        <v>861</v>
      </c>
      <c r="E283" s="3" t="s">
        <v>2041</v>
      </c>
      <c r="F283" s="3" t="s">
        <v>1209</v>
      </c>
      <c r="G283" s="3" t="s">
        <v>3660</v>
      </c>
      <c r="H283" s="6">
        <v>38984.351999999999</v>
      </c>
    </row>
    <row r="284" spans="1:8" ht="15.75" hidden="1" customHeight="1" x14ac:dyDescent="0.35">
      <c r="A284" s="15"/>
      <c r="B284" s="3" t="s">
        <v>353</v>
      </c>
      <c r="C284" s="3" t="s">
        <v>2901</v>
      </c>
      <c r="D284" s="3" t="s">
        <v>861</v>
      </c>
      <c r="E284" s="3" t="s">
        <v>2042</v>
      </c>
      <c r="F284" s="3" t="s">
        <v>1201</v>
      </c>
      <c r="G284" s="3" t="s">
        <v>3660</v>
      </c>
      <c r="H284" s="6">
        <v>21534.752</v>
      </c>
    </row>
    <row r="285" spans="1:8" ht="15.75" hidden="1" customHeight="1" x14ac:dyDescent="0.35">
      <c r="A285" s="15"/>
      <c r="B285" s="3" t="s">
        <v>354</v>
      </c>
      <c r="C285" s="3" t="s">
        <v>2902</v>
      </c>
      <c r="D285" s="3" t="s">
        <v>861</v>
      </c>
      <c r="E285" s="3" t="s">
        <v>2043</v>
      </c>
      <c r="F285" s="3" t="s">
        <v>1210</v>
      </c>
      <c r="G285" s="3" t="s">
        <v>3661</v>
      </c>
      <c r="H285" s="6">
        <v>11006.624</v>
      </c>
    </row>
    <row r="286" spans="1:8" ht="15.75" hidden="1" customHeight="1" x14ac:dyDescent="0.35">
      <c r="A286" s="15"/>
      <c r="B286" s="3" t="s">
        <v>355</v>
      </c>
      <c r="C286" s="3" t="s">
        <v>2903</v>
      </c>
      <c r="D286" s="3" t="s">
        <v>861</v>
      </c>
      <c r="E286" s="3" t="s">
        <v>2044</v>
      </c>
      <c r="F286" s="3" t="s">
        <v>1211</v>
      </c>
      <c r="G286" s="3" t="s">
        <v>3662</v>
      </c>
      <c r="H286" s="6">
        <v>25675.232</v>
      </c>
    </row>
    <row r="287" spans="1:8" ht="15.75" hidden="1" customHeight="1" x14ac:dyDescent="0.35">
      <c r="A287" s="15"/>
      <c r="B287" s="3" t="s">
        <v>356</v>
      </c>
      <c r="C287" s="3" t="s">
        <v>2904</v>
      </c>
      <c r="D287" s="3" t="s">
        <v>860</v>
      </c>
      <c r="E287" s="3" t="s">
        <v>2045</v>
      </c>
      <c r="F287" s="3" t="s">
        <v>1212</v>
      </c>
      <c r="G287" s="3" t="s">
        <v>6009</v>
      </c>
      <c r="H287" s="6">
        <v>15663.903999999999</v>
      </c>
    </row>
    <row r="288" spans="1:8" ht="15.75" hidden="1" customHeight="1" x14ac:dyDescent="0.35">
      <c r="A288" s="15"/>
      <c r="B288" s="3" t="s">
        <v>357</v>
      </c>
      <c r="C288" s="3" t="s">
        <v>2905</v>
      </c>
      <c r="D288" s="3" t="s">
        <v>860</v>
      </c>
      <c r="E288" s="3" t="s">
        <v>2046</v>
      </c>
      <c r="F288" s="3" t="s">
        <v>1213</v>
      </c>
      <c r="G288" s="3" t="s">
        <v>3663</v>
      </c>
      <c r="H288" s="6">
        <v>21801.663999999997</v>
      </c>
    </row>
    <row r="289" spans="1:8" ht="15.75" hidden="1" customHeight="1" x14ac:dyDescent="0.35">
      <c r="A289" s="15"/>
      <c r="B289" s="3" t="s">
        <v>358</v>
      </c>
      <c r="C289" s="3" t="s">
        <v>2906</v>
      </c>
      <c r="D289" s="3" t="s">
        <v>861</v>
      </c>
      <c r="E289" s="3" t="s">
        <v>2047</v>
      </c>
      <c r="F289" s="3" t="s">
        <v>1214</v>
      </c>
      <c r="G289" s="3" t="s">
        <v>5817</v>
      </c>
      <c r="H289" s="6">
        <v>19089.984</v>
      </c>
    </row>
    <row r="290" spans="1:8" ht="15.75" hidden="1" customHeight="1" x14ac:dyDescent="0.35">
      <c r="A290" s="15"/>
      <c r="B290" s="3" t="s">
        <v>359</v>
      </c>
      <c r="C290" s="3" t="s">
        <v>2907</v>
      </c>
      <c r="D290" s="3" t="s">
        <v>860</v>
      </c>
      <c r="E290" s="3" t="s">
        <v>2048</v>
      </c>
      <c r="F290" s="3" t="s">
        <v>1215</v>
      </c>
      <c r="G290" s="3" t="s">
        <v>3664</v>
      </c>
      <c r="H290" s="6">
        <v>10675.264000000001</v>
      </c>
    </row>
    <row r="291" spans="1:8" ht="15.75" hidden="1" customHeight="1" x14ac:dyDescent="0.35">
      <c r="A291" s="15"/>
      <c r="B291" s="3" t="s">
        <v>362</v>
      </c>
      <c r="C291" s="3" t="s">
        <v>2910</v>
      </c>
      <c r="D291" s="3" t="s">
        <v>861</v>
      </c>
      <c r="E291" s="3" t="s">
        <v>2051</v>
      </c>
      <c r="F291" s="3" t="s">
        <v>1218</v>
      </c>
      <c r="G291" s="3" t="s">
        <v>3666</v>
      </c>
      <c r="H291" s="6">
        <v>11114.848</v>
      </c>
    </row>
    <row r="292" spans="1:8" ht="15.75" hidden="1" customHeight="1" x14ac:dyDescent="0.35">
      <c r="A292" s="15"/>
      <c r="B292" s="3" t="s">
        <v>363</v>
      </c>
      <c r="C292" s="3" t="s">
        <v>2911</v>
      </c>
      <c r="D292" s="3" t="s">
        <v>861</v>
      </c>
      <c r="E292" s="3" t="s">
        <v>2052</v>
      </c>
      <c r="F292" s="3" t="s">
        <v>1219</v>
      </c>
      <c r="G292" s="3" t="s">
        <v>5947</v>
      </c>
      <c r="H292" s="6">
        <v>10795.04</v>
      </c>
    </row>
    <row r="293" spans="1:8" ht="15.75" hidden="1" customHeight="1" x14ac:dyDescent="0.35">
      <c r="A293" s="15"/>
      <c r="B293" s="3" t="s">
        <v>364</v>
      </c>
      <c r="C293" s="3" t="s">
        <v>2912</v>
      </c>
      <c r="D293" s="3" t="s">
        <v>860</v>
      </c>
      <c r="E293" s="3" t="s">
        <v>2053</v>
      </c>
      <c r="F293" s="3" t="s">
        <v>1220</v>
      </c>
      <c r="G293" s="3" t="s">
        <v>3667</v>
      </c>
      <c r="H293" s="6">
        <v>20921.28</v>
      </c>
    </row>
    <row r="294" spans="1:8" ht="15.75" hidden="1" customHeight="1" x14ac:dyDescent="0.35">
      <c r="A294" s="15"/>
      <c r="B294" s="3" t="s">
        <v>365</v>
      </c>
      <c r="C294" s="3" t="s">
        <v>2913</v>
      </c>
      <c r="D294" s="3" t="s">
        <v>860</v>
      </c>
      <c r="E294" s="3" t="s">
        <v>2054</v>
      </c>
      <c r="F294" s="3" t="s">
        <v>1221</v>
      </c>
      <c r="G294" s="3" t="s">
        <v>3668</v>
      </c>
      <c r="H294" s="6">
        <v>36315.839999999997</v>
      </c>
    </row>
    <row r="295" spans="1:8" ht="15.75" hidden="1" customHeight="1" x14ac:dyDescent="0.35">
      <c r="A295" s="15"/>
      <c r="B295" s="3" t="s">
        <v>366</v>
      </c>
      <c r="C295" s="3" t="s">
        <v>2914</v>
      </c>
      <c r="D295" s="3" t="s">
        <v>861</v>
      </c>
      <c r="E295" s="3" t="s">
        <v>2055</v>
      </c>
      <c r="F295" s="3" t="s">
        <v>1222</v>
      </c>
      <c r="G295" s="3" t="s">
        <v>3669</v>
      </c>
      <c r="H295" s="6">
        <v>42544.191999999995</v>
      </c>
    </row>
    <row r="296" spans="1:8" ht="15.75" hidden="1" customHeight="1" x14ac:dyDescent="0.35">
      <c r="A296" s="15"/>
      <c r="B296" s="3" t="s">
        <v>367</v>
      </c>
      <c r="C296" s="3" t="s">
        <v>2915</v>
      </c>
      <c r="D296" s="3" t="s">
        <v>860</v>
      </c>
      <c r="E296" s="3" t="s">
        <v>2056</v>
      </c>
      <c r="F296" s="3" t="s">
        <v>1223</v>
      </c>
      <c r="G296" s="3" t="s">
        <v>3670</v>
      </c>
      <c r="H296" s="6">
        <v>15419.487999999999</v>
      </c>
    </row>
    <row r="297" spans="1:8" ht="15.75" hidden="1" customHeight="1" x14ac:dyDescent="0.35">
      <c r="A297" s="15"/>
      <c r="B297" s="3" t="s">
        <v>369</v>
      </c>
      <c r="C297" s="3" t="s">
        <v>2917</v>
      </c>
      <c r="D297" s="3" t="s">
        <v>861</v>
      </c>
      <c r="E297" s="3" t="s">
        <v>2058</v>
      </c>
      <c r="F297" s="3" t="s">
        <v>1225</v>
      </c>
      <c r="G297" s="3" t="s">
        <v>3671</v>
      </c>
      <c r="H297" s="6">
        <v>13625.279999999999</v>
      </c>
    </row>
    <row r="298" spans="1:8" ht="15.75" hidden="1" customHeight="1" x14ac:dyDescent="0.35">
      <c r="A298" s="15"/>
      <c r="B298" s="3" t="s">
        <v>370</v>
      </c>
      <c r="C298" s="3" t="s">
        <v>2918</v>
      </c>
      <c r="D298" s="3" t="s">
        <v>860</v>
      </c>
      <c r="E298" s="3" t="s">
        <v>2059</v>
      </c>
      <c r="F298" s="3" t="s">
        <v>1226</v>
      </c>
      <c r="G298" s="3" t="s">
        <v>3672</v>
      </c>
      <c r="H298" s="6">
        <v>14571.328</v>
      </c>
    </row>
    <row r="299" spans="1:8" ht="15.75" hidden="1" customHeight="1" x14ac:dyDescent="0.35">
      <c r="A299" s="15"/>
      <c r="B299" s="3" t="s">
        <v>371</v>
      </c>
      <c r="C299" s="3" t="s">
        <v>2919</v>
      </c>
      <c r="D299" s="3" t="s">
        <v>861</v>
      </c>
      <c r="E299" s="3" t="s">
        <v>2060</v>
      </c>
      <c r="F299" s="3" t="s">
        <v>1227</v>
      </c>
      <c r="G299" s="3" t="s">
        <v>3673</v>
      </c>
      <c r="H299" s="6">
        <v>31382.527999999995</v>
      </c>
    </row>
    <row r="300" spans="1:8" ht="15.75" hidden="1" customHeight="1" x14ac:dyDescent="0.35">
      <c r="A300" s="15"/>
      <c r="B300" s="3" t="s">
        <v>372</v>
      </c>
      <c r="C300" s="3" t="s">
        <v>2920</v>
      </c>
      <c r="D300" s="3" t="s">
        <v>861</v>
      </c>
      <c r="E300" s="3" t="s">
        <v>2061</v>
      </c>
      <c r="F300" s="3" t="s">
        <v>1228</v>
      </c>
      <c r="G300" s="3" t="s">
        <v>3674</v>
      </c>
      <c r="H300" s="6">
        <v>19624.415999999997</v>
      </c>
    </row>
    <row r="301" spans="1:8" ht="15.75" hidden="1" customHeight="1" x14ac:dyDescent="0.35">
      <c r="A301" s="15"/>
      <c r="B301" s="3" t="s">
        <v>373</v>
      </c>
      <c r="C301" s="3" t="s">
        <v>2921</v>
      </c>
      <c r="D301" s="3" t="s">
        <v>860</v>
      </c>
      <c r="E301" s="3" t="s">
        <v>2062</v>
      </c>
      <c r="F301" s="3" t="s">
        <v>1229</v>
      </c>
      <c r="G301" s="3" t="s">
        <v>3675</v>
      </c>
      <c r="H301" s="6">
        <v>13625.888000000001</v>
      </c>
    </row>
    <row r="302" spans="1:8" ht="15.75" hidden="1" customHeight="1" x14ac:dyDescent="0.35">
      <c r="A302" s="15"/>
      <c r="B302" s="3" t="s">
        <v>374</v>
      </c>
      <c r="C302" s="3" t="s">
        <v>2922</v>
      </c>
      <c r="D302" s="3" t="s">
        <v>861</v>
      </c>
      <c r="E302" s="3" t="s">
        <v>2063</v>
      </c>
      <c r="F302" s="3" t="s">
        <v>1060</v>
      </c>
      <c r="G302" s="3" t="s">
        <v>5725</v>
      </c>
      <c r="H302" s="6">
        <v>41058.847999999998</v>
      </c>
    </row>
    <row r="303" spans="1:8" ht="15.75" hidden="1" customHeight="1" x14ac:dyDescent="0.35">
      <c r="A303" s="15"/>
      <c r="B303" s="3" t="s">
        <v>375</v>
      </c>
      <c r="C303" s="3" t="s">
        <v>2923</v>
      </c>
      <c r="D303" s="3" t="s">
        <v>861</v>
      </c>
      <c r="E303" s="3" t="s">
        <v>2064</v>
      </c>
      <c r="F303" s="3" t="s">
        <v>1230</v>
      </c>
      <c r="G303" s="3" t="s">
        <v>5916</v>
      </c>
      <c r="H303" s="6">
        <v>11114.848</v>
      </c>
    </row>
    <row r="304" spans="1:8" ht="15.75" hidden="1" customHeight="1" x14ac:dyDescent="0.35">
      <c r="A304" s="15"/>
      <c r="B304" s="3" t="s">
        <v>376</v>
      </c>
      <c r="C304" s="3" t="s">
        <v>2924</v>
      </c>
      <c r="D304" s="3" t="s">
        <v>860</v>
      </c>
      <c r="E304" s="3" t="s">
        <v>2065</v>
      </c>
      <c r="F304" s="3" t="s">
        <v>1231</v>
      </c>
      <c r="G304" s="3" t="s">
        <v>3676</v>
      </c>
      <c r="H304" s="6">
        <v>13759.647999999999</v>
      </c>
    </row>
    <row r="305" spans="1:8" ht="15.75" hidden="1" customHeight="1" x14ac:dyDescent="0.35">
      <c r="A305" s="15"/>
      <c r="B305" s="3" t="s">
        <v>378</v>
      </c>
      <c r="C305" s="3" t="s">
        <v>2926</v>
      </c>
      <c r="D305" s="3" t="s">
        <v>861</v>
      </c>
      <c r="E305" s="3" t="s">
        <v>2067</v>
      </c>
      <c r="F305" s="3" t="s">
        <v>1233</v>
      </c>
      <c r="G305" s="3" t="s">
        <v>5789</v>
      </c>
      <c r="H305" s="6">
        <v>15419.487999999999</v>
      </c>
    </row>
    <row r="306" spans="1:8" ht="15.75" hidden="1" customHeight="1" x14ac:dyDescent="0.35">
      <c r="A306" s="15"/>
      <c r="B306" s="3" t="s">
        <v>380</v>
      </c>
      <c r="C306" s="3" t="s">
        <v>2928</v>
      </c>
      <c r="D306" s="3" t="s">
        <v>861</v>
      </c>
      <c r="E306" s="3" t="s">
        <v>2069</v>
      </c>
      <c r="F306" s="3" t="s">
        <v>1235</v>
      </c>
      <c r="G306" s="3" t="s">
        <v>3677</v>
      </c>
      <c r="H306" s="6">
        <v>11114.848</v>
      </c>
    </row>
    <row r="307" spans="1:8" ht="15.75" hidden="1" customHeight="1" x14ac:dyDescent="0.35">
      <c r="A307" s="15"/>
      <c r="B307" s="3" t="s">
        <v>381</v>
      </c>
      <c r="C307" s="3" t="s">
        <v>2929</v>
      </c>
      <c r="D307" s="3" t="s">
        <v>861</v>
      </c>
      <c r="E307" s="3" t="s">
        <v>2070</v>
      </c>
      <c r="F307" s="3" t="s">
        <v>1236</v>
      </c>
      <c r="G307" s="3" t="s">
        <v>3678</v>
      </c>
      <c r="H307" s="6">
        <v>15419.487999999999</v>
      </c>
    </row>
    <row r="308" spans="1:8" ht="15.75" hidden="1" customHeight="1" x14ac:dyDescent="0.35">
      <c r="A308" s="15"/>
      <c r="B308" s="3" t="s">
        <v>382</v>
      </c>
      <c r="C308" s="3" t="s">
        <v>2930</v>
      </c>
      <c r="D308" s="3" t="s">
        <v>860</v>
      </c>
      <c r="E308" s="3" t="s">
        <v>2071</v>
      </c>
      <c r="F308" s="3" t="s">
        <v>1237</v>
      </c>
      <c r="G308" s="3" t="s">
        <v>3678</v>
      </c>
      <c r="H308" s="6">
        <v>39749.823999999993</v>
      </c>
    </row>
    <row r="309" spans="1:8" ht="15.75" hidden="1" customHeight="1" x14ac:dyDescent="0.35">
      <c r="A309" s="15"/>
      <c r="B309" s="3" t="s">
        <v>383</v>
      </c>
      <c r="C309" s="3" t="s">
        <v>2931</v>
      </c>
      <c r="D309" s="3" t="s">
        <v>860</v>
      </c>
      <c r="E309" s="3" t="s">
        <v>2072</v>
      </c>
      <c r="F309" s="3" t="s">
        <v>1238</v>
      </c>
      <c r="G309" s="3" t="s">
        <v>3679</v>
      </c>
      <c r="H309" s="6">
        <v>36887.360000000001</v>
      </c>
    </row>
    <row r="310" spans="1:8" ht="15.75" hidden="1" customHeight="1" x14ac:dyDescent="0.35">
      <c r="A310" s="15"/>
      <c r="B310" s="3" t="s">
        <v>384</v>
      </c>
      <c r="C310" s="3" t="s">
        <v>2932</v>
      </c>
      <c r="D310" s="3" t="s">
        <v>861</v>
      </c>
      <c r="E310" s="3" t="s">
        <v>2073</v>
      </c>
      <c r="F310" s="3" t="s">
        <v>1239</v>
      </c>
      <c r="G310" s="3" t="s">
        <v>3679</v>
      </c>
      <c r="H310" s="6">
        <v>16606.304</v>
      </c>
    </row>
    <row r="311" spans="1:8" ht="15.75" hidden="1" customHeight="1" x14ac:dyDescent="0.35">
      <c r="A311" s="15"/>
      <c r="B311" s="3" t="s">
        <v>385</v>
      </c>
      <c r="C311" s="3" t="s">
        <v>2933</v>
      </c>
      <c r="D311" s="3" t="s">
        <v>861</v>
      </c>
      <c r="E311" s="3" t="s">
        <v>2074</v>
      </c>
      <c r="F311" s="3" t="s">
        <v>1240</v>
      </c>
      <c r="G311" s="3" t="s">
        <v>3680</v>
      </c>
      <c r="H311" s="6">
        <v>14559.168</v>
      </c>
    </row>
    <row r="312" spans="1:8" ht="15.75" hidden="1" customHeight="1" x14ac:dyDescent="0.35">
      <c r="A312" s="15"/>
      <c r="B312" s="3" t="s">
        <v>386</v>
      </c>
      <c r="C312" s="3" t="s">
        <v>2934</v>
      </c>
      <c r="D312" s="3" t="s">
        <v>860</v>
      </c>
      <c r="E312" s="3" t="s">
        <v>2075</v>
      </c>
      <c r="F312" s="3" t="s">
        <v>1241</v>
      </c>
      <c r="G312" s="3" t="s">
        <v>5711</v>
      </c>
      <c r="H312" s="6">
        <v>26171.967999999997</v>
      </c>
    </row>
    <row r="313" spans="1:8" ht="15.75" hidden="1" customHeight="1" x14ac:dyDescent="0.35">
      <c r="A313" s="15"/>
      <c r="B313" s="3" t="s">
        <v>387</v>
      </c>
      <c r="C313" s="3" t="s">
        <v>2935</v>
      </c>
      <c r="D313" s="3" t="s">
        <v>861</v>
      </c>
      <c r="E313" s="3" t="s">
        <v>2076</v>
      </c>
      <c r="F313" s="3" t="s">
        <v>1242</v>
      </c>
      <c r="G313" s="3" t="s">
        <v>3681</v>
      </c>
      <c r="H313" s="6">
        <v>42257.216</v>
      </c>
    </row>
    <row r="314" spans="1:8" ht="15.75" hidden="1" customHeight="1" x14ac:dyDescent="0.35">
      <c r="A314" s="15"/>
      <c r="B314" s="3" t="s">
        <v>389</v>
      </c>
      <c r="C314" s="3" t="s">
        <v>2937</v>
      </c>
      <c r="D314" s="3" t="s">
        <v>860</v>
      </c>
      <c r="E314" s="3" t="s">
        <v>2078</v>
      </c>
      <c r="F314" s="3" t="s">
        <v>1208</v>
      </c>
      <c r="G314" s="3" t="s">
        <v>3682</v>
      </c>
      <c r="H314" s="6">
        <v>13995.552</v>
      </c>
    </row>
    <row r="315" spans="1:8" ht="15.75" hidden="1" customHeight="1" x14ac:dyDescent="0.35">
      <c r="A315" s="15"/>
      <c r="B315" s="3" t="s">
        <v>391</v>
      </c>
      <c r="C315" s="3" t="s">
        <v>2939</v>
      </c>
      <c r="D315" s="3" t="s">
        <v>861</v>
      </c>
      <c r="E315" s="3" t="s">
        <v>2080</v>
      </c>
      <c r="F315" s="3" t="s">
        <v>1245</v>
      </c>
      <c r="G315" s="3" t="s">
        <v>3683</v>
      </c>
      <c r="H315" s="6">
        <v>19462.080000000002</v>
      </c>
    </row>
    <row r="316" spans="1:8" ht="15.75" hidden="1" customHeight="1" x14ac:dyDescent="0.35">
      <c r="A316" s="15"/>
      <c r="B316" s="3" t="s">
        <v>392</v>
      </c>
      <c r="C316" s="3" t="s">
        <v>2940</v>
      </c>
      <c r="D316" s="3" t="s">
        <v>861</v>
      </c>
      <c r="E316" s="3" t="s">
        <v>2081</v>
      </c>
      <c r="F316" s="3" t="s">
        <v>1246</v>
      </c>
      <c r="G316" s="3" t="s">
        <v>3684</v>
      </c>
      <c r="H316" s="6">
        <v>49217.599999999999</v>
      </c>
    </row>
    <row r="317" spans="1:8" ht="15.75" hidden="1" customHeight="1" x14ac:dyDescent="0.35">
      <c r="A317" s="15"/>
      <c r="B317" s="3" t="s">
        <v>394</v>
      </c>
      <c r="C317" s="3" t="s">
        <v>2942</v>
      </c>
      <c r="D317" s="3" t="s">
        <v>861</v>
      </c>
      <c r="E317" s="3" t="s">
        <v>2083</v>
      </c>
      <c r="F317" s="3" t="s">
        <v>1248</v>
      </c>
      <c r="G317" s="3" t="s">
        <v>3685</v>
      </c>
      <c r="H317" s="6">
        <v>31249.984</v>
      </c>
    </row>
    <row r="318" spans="1:8" ht="15.75" hidden="1" customHeight="1" x14ac:dyDescent="0.35">
      <c r="A318" s="15"/>
      <c r="B318" s="3" t="s">
        <v>395</v>
      </c>
      <c r="C318" s="3" t="s">
        <v>2943</v>
      </c>
      <c r="D318" s="3" t="s">
        <v>860</v>
      </c>
      <c r="E318" s="3" t="s">
        <v>2084</v>
      </c>
      <c r="F318" s="3" t="s">
        <v>1249</v>
      </c>
      <c r="G318" s="3" t="s">
        <v>5941</v>
      </c>
      <c r="H318" s="6">
        <v>14826.688</v>
      </c>
    </row>
    <row r="319" spans="1:8" ht="15.75" hidden="1" customHeight="1" x14ac:dyDescent="0.35">
      <c r="A319" s="15"/>
      <c r="B319" s="3" t="s">
        <v>396</v>
      </c>
      <c r="C319" s="3" t="s">
        <v>2944</v>
      </c>
      <c r="D319" s="3" t="s">
        <v>861</v>
      </c>
      <c r="E319" s="3" t="s">
        <v>2085</v>
      </c>
      <c r="F319" s="3" t="s">
        <v>1250</v>
      </c>
      <c r="G319" s="3" t="s">
        <v>3686</v>
      </c>
      <c r="H319" s="6">
        <v>46873.760000000002</v>
      </c>
    </row>
    <row r="320" spans="1:8" ht="15.75" hidden="1" customHeight="1" x14ac:dyDescent="0.35">
      <c r="A320" s="15"/>
      <c r="B320" s="3" t="s">
        <v>398</v>
      </c>
      <c r="C320" s="3" t="s">
        <v>2946</v>
      </c>
      <c r="D320" s="3" t="s">
        <v>861</v>
      </c>
      <c r="E320" s="3" t="s">
        <v>2087</v>
      </c>
      <c r="F320" s="3" t="s">
        <v>1252</v>
      </c>
      <c r="G320" s="3" t="s">
        <v>3687</v>
      </c>
      <c r="H320" s="6">
        <v>11114.848</v>
      </c>
    </row>
    <row r="321" spans="1:8" ht="15.75" hidden="1" customHeight="1" x14ac:dyDescent="0.35">
      <c r="A321" s="15"/>
      <c r="B321" s="3" t="s">
        <v>399</v>
      </c>
      <c r="C321" s="3" t="s">
        <v>2947</v>
      </c>
      <c r="D321" s="3" t="s">
        <v>860</v>
      </c>
      <c r="E321" s="3" t="s">
        <v>2088</v>
      </c>
      <c r="F321" s="3" t="s">
        <v>1253</v>
      </c>
      <c r="G321" s="3" t="s">
        <v>3688</v>
      </c>
      <c r="H321" s="6">
        <v>36669.087999999996</v>
      </c>
    </row>
    <row r="322" spans="1:8" ht="15.75" hidden="1" customHeight="1" x14ac:dyDescent="0.35">
      <c r="A322" s="15"/>
      <c r="B322" s="3" t="s">
        <v>400</v>
      </c>
      <c r="C322" s="3" t="s">
        <v>2948</v>
      </c>
      <c r="D322" s="3" t="s">
        <v>860</v>
      </c>
      <c r="E322" s="3" t="s">
        <v>2089</v>
      </c>
      <c r="F322" s="3" t="s">
        <v>1254</v>
      </c>
      <c r="G322" s="3" t="s">
        <v>3688</v>
      </c>
      <c r="H322" s="6">
        <v>33725.760000000002</v>
      </c>
    </row>
    <row r="323" spans="1:8" ht="15.75" hidden="1" customHeight="1" x14ac:dyDescent="0.35">
      <c r="A323" s="15"/>
      <c r="B323" s="3" t="s">
        <v>401</v>
      </c>
      <c r="C323" s="3" t="s">
        <v>2949</v>
      </c>
      <c r="D323" s="3" t="s">
        <v>860</v>
      </c>
      <c r="E323" s="3" t="s">
        <v>2090</v>
      </c>
      <c r="F323" s="3" t="s">
        <v>1255</v>
      </c>
      <c r="G323" s="3" t="s">
        <v>3689</v>
      </c>
      <c r="H323" s="6">
        <v>18864.415999999997</v>
      </c>
    </row>
    <row r="324" spans="1:8" ht="15.75" hidden="1" customHeight="1" x14ac:dyDescent="0.35">
      <c r="A324" s="15"/>
      <c r="B324" s="3" t="s">
        <v>402</v>
      </c>
      <c r="C324" s="3" t="s">
        <v>2950</v>
      </c>
      <c r="D324" s="3" t="s">
        <v>860</v>
      </c>
      <c r="E324" s="3" t="s">
        <v>2091</v>
      </c>
      <c r="F324" s="3" t="s">
        <v>1256</v>
      </c>
      <c r="G324" s="3" t="s">
        <v>6023</v>
      </c>
      <c r="H324" s="6">
        <v>12948.575999999999</v>
      </c>
    </row>
    <row r="325" spans="1:8" ht="15.75" hidden="1" customHeight="1" x14ac:dyDescent="0.35">
      <c r="A325" s="15"/>
      <c r="B325" s="3" t="s">
        <v>403</v>
      </c>
      <c r="C325" s="3" t="s">
        <v>2951</v>
      </c>
      <c r="D325" s="3" t="s">
        <v>861</v>
      </c>
      <c r="E325" s="3" t="s">
        <v>2092</v>
      </c>
      <c r="F325" s="3" t="s">
        <v>1257</v>
      </c>
      <c r="G325" s="3" t="s">
        <v>3690</v>
      </c>
      <c r="H325" s="6">
        <v>11114.848</v>
      </c>
    </row>
    <row r="326" spans="1:8" ht="15.75" hidden="1" customHeight="1" x14ac:dyDescent="0.35">
      <c r="A326" s="15"/>
      <c r="B326" s="3" t="s">
        <v>404</v>
      </c>
      <c r="C326" s="3" t="s">
        <v>2952</v>
      </c>
      <c r="D326" s="3" t="s">
        <v>861</v>
      </c>
      <c r="E326" s="3" t="s">
        <v>2093</v>
      </c>
      <c r="F326" s="3" t="s">
        <v>1258</v>
      </c>
      <c r="G326" s="3" t="s">
        <v>3691</v>
      </c>
      <c r="H326" s="6">
        <v>11114.848</v>
      </c>
    </row>
    <row r="327" spans="1:8" ht="15.75" hidden="1" customHeight="1" x14ac:dyDescent="0.35">
      <c r="A327" s="15"/>
      <c r="B327" s="3" t="s">
        <v>405</v>
      </c>
      <c r="C327" s="3" t="s">
        <v>2953</v>
      </c>
      <c r="D327" s="3" t="s">
        <v>861</v>
      </c>
      <c r="E327" s="3" t="s">
        <v>2094</v>
      </c>
      <c r="F327" s="3" t="s">
        <v>1259</v>
      </c>
      <c r="G327" s="3" t="s">
        <v>3691</v>
      </c>
      <c r="H327" s="6">
        <v>24927.392</v>
      </c>
    </row>
    <row r="328" spans="1:8" ht="15.75" hidden="1" customHeight="1" x14ac:dyDescent="0.35">
      <c r="A328" s="15"/>
      <c r="B328" s="3" t="s">
        <v>406</v>
      </c>
      <c r="C328" s="3" t="s">
        <v>2954</v>
      </c>
      <c r="D328" s="3" t="s">
        <v>861</v>
      </c>
      <c r="E328" s="3" t="s">
        <v>2095</v>
      </c>
      <c r="F328" s="3" t="s">
        <v>1260</v>
      </c>
      <c r="G328" s="3" t="s">
        <v>5958</v>
      </c>
      <c r="H328" s="6">
        <v>15429.823999999999</v>
      </c>
    </row>
    <row r="329" spans="1:8" ht="15.75" hidden="1" customHeight="1" x14ac:dyDescent="0.35">
      <c r="A329" s="15"/>
      <c r="B329" s="3" t="s">
        <v>407</v>
      </c>
      <c r="C329" s="3" t="s">
        <v>2955</v>
      </c>
      <c r="D329" s="3" t="s">
        <v>861</v>
      </c>
      <c r="E329" s="3" t="s">
        <v>2096</v>
      </c>
      <c r="F329" s="3" t="s">
        <v>1261</v>
      </c>
      <c r="G329" s="3" t="s">
        <v>3692</v>
      </c>
      <c r="H329" s="6">
        <v>22744.671999999999</v>
      </c>
    </row>
    <row r="330" spans="1:8" ht="15.75" hidden="1" customHeight="1" x14ac:dyDescent="0.35">
      <c r="A330" s="15"/>
      <c r="B330" s="3" t="s">
        <v>408</v>
      </c>
      <c r="C330" s="3" t="s">
        <v>2956</v>
      </c>
      <c r="D330" s="3" t="s">
        <v>861</v>
      </c>
      <c r="E330" s="3" t="s">
        <v>2097</v>
      </c>
      <c r="F330" s="3" t="s">
        <v>1262</v>
      </c>
      <c r="G330" s="3" t="s">
        <v>3693</v>
      </c>
      <c r="H330" s="6">
        <v>27682.239999999998</v>
      </c>
    </row>
    <row r="331" spans="1:8" ht="15.75" hidden="1" customHeight="1" x14ac:dyDescent="0.35">
      <c r="A331" s="15"/>
      <c r="B331" s="3" t="s">
        <v>409</v>
      </c>
      <c r="C331" s="3" t="s">
        <v>2957</v>
      </c>
      <c r="D331" s="3" t="s">
        <v>861</v>
      </c>
      <c r="E331" s="3" t="s">
        <v>2098</v>
      </c>
      <c r="F331" s="3" t="s">
        <v>1263</v>
      </c>
      <c r="G331" s="3" t="s">
        <v>3694</v>
      </c>
      <c r="H331" s="6">
        <v>36316.447999999997</v>
      </c>
    </row>
    <row r="332" spans="1:8" ht="15.75" hidden="1" customHeight="1" x14ac:dyDescent="0.35">
      <c r="A332" s="15"/>
      <c r="B332" s="3" t="s">
        <v>410</v>
      </c>
      <c r="C332" s="3" t="s">
        <v>2958</v>
      </c>
      <c r="D332" s="3" t="s">
        <v>861</v>
      </c>
      <c r="E332" s="3" t="s">
        <v>2099</v>
      </c>
      <c r="F332" s="3" t="s">
        <v>1264</v>
      </c>
      <c r="G332" s="3" t="s">
        <v>3695</v>
      </c>
      <c r="H332" s="6">
        <v>34215.199999999997</v>
      </c>
    </row>
    <row r="333" spans="1:8" ht="15.75" hidden="1" customHeight="1" x14ac:dyDescent="0.35">
      <c r="A333" s="15"/>
      <c r="B333" s="3" t="s">
        <v>411</v>
      </c>
      <c r="C333" s="3" t="s">
        <v>2959</v>
      </c>
      <c r="D333" s="3" t="s">
        <v>861</v>
      </c>
      <c r="E333" s="3" t="s">
        <v>2100</v>
      </c>
      <c r="F333" s="3" t="s">
        <v>1265</v>
      </c>
      <c r="G333" s="3" t="s">
        <v>6024</v>
      </c>
      <c r="H333" s="6">
        <v>31675.583999999999</v>
      </c>
    </row>
    <row r="334" spans="1:8" ht="15.75" hidden="1" customHeight="1" x14ac:dyDescent="0.35">
      <c r="A334" s="15"/>
      <c r="B334" s="3" t="s">
        <v>412</v>
      </c>
      <c r="C334" s="3" t="s">
        <v>2960</v>
      </c>
      <c r="D334" s="3" t="s">
        <v>861</v>
      </c>
      <c r="E334" s="3" t="s">
        <v>2101</v>
      </c>
      <c r="F334" s="3" t="s">
        <v>903</v>
      </c>
      <c r="G334" s="3" t="s">
        <v>3696</v>
      </c>
      <c r="H334" s="6">
        <v>17940.255999999998</v>
      </c>
    </row>
    <row r="335" spans="1:8" ht="15.75" hidden="1" customHeight="1" x14ac:dyDescent="0.35">
      <c r="A335" s="15"/>
      <c r="B335" s="3" t="s">
        <v>413</v>
      </c>
      <c r="C335" s="3" t="s">
        <v>2961</v>
      </c>
      <c r="D335" s="3" t="s">
        <v>861</v>
      </c>
      <c r="E335" s="3" t="s">
        <v>2102</v>
      </c>
      <c r="F335" s="3" t="s">
        <v>1266</v>
      </c>
      <c r="G335" s="3" t="s">
        <v>3696</v>
      </c>
      <c r="H335" s="6">
        <v>48590.752</v>
      </c>
    </row>
    <row r="336" spans="1:8" ht="15.75" hidden="1" customHeight="1" x14ac:dyDescent="0.35">
      <c r="A336" s="15"/>
      <c r="B336" s="3" t="s">
        <v>414</v>
      </c>
      <c r="C336" s="3" t="s">
        <v>2962</v>
      </c>
      <c r="D336" s="3" t="s">
        <v>861</v>
      </c>
      <c r="E336" s="3" t="s">
        <v>2103</v>
      </c>
      <c r="F336" s="3" t="s">
        <v>1267</v>
      </c>
      <c r="G336" s="3" t="s">
        <v>3697</v>
      </c>
      <c r="H336" s="6">
        <v>29843.071999999996</v>
      </c>
    </row>
    <row r="337" spans="1:8" ht="15.75" hidden="1" customHeight="1" x14ac:dyDescent="0.35">
      <c r="A337" s="15"/>
      <c r="B337" s="3" t="s">
        <v>415</v>
      </c>
      <c r="C337" s="3" t="s">
        <v>2963</v>
      </c>
      <c r="D337" s="3" t="s">
        <v>860</v>
      </c>
      <c r="E337" s="3" t="s">
        <v>2104</v>
      </c>
      <c r="F337" s="3" t="s">
        <v>1268</v>
      </c>
      <c r="G337" s="3" t="s">
        <v>3698</v>
      </c>
      <c r="H337" s="6">
        <v>27423.84</v>
      </c>
    </row>
    <row r="338" spans="1:8" ht="15.75" hidden="1" customHeight="1" x14ac:dyDescent="0.35">
      <c r="A338" s="15"/>
      <c r="B338" s="3" t="s">
        <v>418</v>
      </c>
      <c r="C338" s="3" t="s">
        <v>2966</v>
      </c>
      <c r="D338" s="3" t="s">
        <v>861</v>
      </c>
      <c r="E338" s="3" t="s">
        <v>2107</v>
      </c>
      <c r="F338" s="3" t="s">
        <v>1271</v>
      </c>
      <c r="G338" s="3" t="s">
        <v>3699</v>
      </c>
      <c r="H338" s="6">
        <v>11438.304</v>
      </c>
    </row>
    <row r="339" spans="1:8" ht="15.75" hidden="1" customHeight="1" x14ac:dyDescent="0.35">
      <c r="A339" s="15"/>
      <c r="B339" s="3" t="s">
        <v>419</v>
      </c>
      <c r="C339" s="3" t="s">
        <v>2967</v>
      </c>
      <c r="D339" s="3" t="s">
        <v>861</v>
      </c>
      <c r="E339" s="3" t="s">
        <v>2108</v>
      </c>
      <c r="F339" s="3" t="s">
        <v>1272</v>
      </c>
      <c r="G339" s="3" t="s">
        <v>3700</v>
      </c>
      <c r="H339" s="6">
        <v>43099.295999999995</v>
      </c>
    </row>
    <row r="340" spans="1:8" ht="15.75" hidden="1" customHeight="1" x14ac:dyDescent="0.35">
      <c r="A340" s="15"/>
      <c r="B340" s="3" t="s">
        <v>420</v>
      </c>
      <c r="C340" s="3" t="s">
        <v>2968</v>
      </c>
      <c r="D340" s="3" t="s">
        <v>861</v>
      </c>
      <c r="E340" s="3" t="s">
        <v>2109</v>
      </c>
      <c r="F340" s="3" t="s">
        <v>1273</v>
      </c>
      <c r="G340" s="3" t="s">
        <v>3700</v>
      </c>
      <c r="H340" s="6">
        <v>17773.663999999997</v>
      </c>
    </row>
    <row r="341" spans="1:8" ht="15.75" hidden="1" customHeight="1" x14ac:dyDescent="0.35">
      <c r="A341" s="15"/>
      <c r="B341" s="3" t="s">
        <v>421</v>
      </c>
      <c r="C341" s="3" t="s">
        <v>2969</v>
      </c>
      <c r="D341" s="3" t="s">
        <v>860</v>
      </c>
      <c r="E341" s="3" t="s">
        <v>2110</v>
      </c>
      <c r="F341" s="3" t="s">
        <v>1274</v>
      </c>
      <c r="G341" s="3" t="s">
        <v>3701</v>
      </c>
      <c r="H341" s="6">
        <v>13202.72</v>
      </c>
    </row>
    <row r="342" spans="1:8" ht="15.75" hidden="1" customHeight="1" x14ac:dyDescent="0.35">
      <c r="A342" s="15"/>
      <c r="B342" s="3" t="s">
        <v>422</v>
      </c>
      <c r="C342" s="3" t="s">
        <v>2970</v>
      </c>
      <c r="D342" s="3" t="s">
        <v>860</v>
      </c>
      <c r="E342" s="3" t="s">
        <v>2111</v>
      </c>
      <c r="F342" s="3" t="s">
        <v>1275</v>
      </c>
      <c r="G342" s="3" t="s">
        <v>5747</v>
      </c>
      <c r="H342" s="6">
        <v>35566.175999999999</v>
      </c>
    </row>
    <row r="343" spans="1:8" ht="15.75" hidden="1" customHeight="1" x14ac:dyDescent="0.35">
      <c r="A343" s="15"/>
      <c r="B343" s="3" t="s">
        <v>423</v>
      </c>
      <c r="C343" s="3" t="s">
        <v>2971</v>
      </c>
      <c r="D343" s="3" t="s">
        <v>861</v>
      </c>
      <c r="E343" s="3" t="s">
        <v>2112</v>
      </c>
      <c r="F343" s="3" t="s">
        <v>1276</v>
      </c>
      <c r="G343" s="3" t="s">
        <v>3702</v>
      </c>
      <c r="H343" s="6">
        <v>40465.439999999995</v>
      </c>
    </row>
    <row r="344" spans="1:8" ht="15.75" hidden="1" customHeight="1" x14ac:dyDescent="0.35">
      <c r="A344" s="15"/>
      <c r="B344" s="3" t="s">
        <v>424</v>
      </c>
      <c r="C344" s="3" t="s">
        <v>2972</v>
      </c>
      <c r="D344" s="3" t="s">
        <v>860</v>
      </c>
      <c r="E344" s="3" t="s">
        <v>2113</v>
      </c>
      <c r="F344" s="3" t="s">
        <v>1277</v>
      </c>
      <c r="G344" s="3" t="s">
        <v>3702</v>
      </c>
      <c r="H344" s="6">
        <v>36316.447999999997</v>
      </c>
    </row>
    <row r="345" spans="1:8" ht="15.75" hidden="1" customHeight="1" x14ac:dyDescent="0.35">
      <c r="A345" s="15"/>
      <c r="B345" s="3" t="s">
        <v>425</v>
      </c>
      <c r="C345" s="3" t="s">
        <v>2973</v>
      </c>
      <c r="D345" s="3" t="s">
        <v>861</v>
      </c>
      <c r="E345" s="3" t="s">
        <v>2114</v>
      </c>
      <c r="F345" s="3" t="s">
        <v>1278</v>
      </c>
      <c r="G345" s="3" t="s">
        <v>3702</v>
      </c>
      <c r="H345" s="6">
        <v>31835.487999999998</v>
      </c>
    </row>
    <row r="346" spans="1:8" ht="15.75" hidden="1" customHeight="1" x14ac:dyDescent="0.35">
      <c r="A346" s="15"/>
      <c r="B346" s="3" t="s">
        <v>427</v>
      </c>
      <c r="C346" s="3" t="s">
        <v>2975</v>
      </c>
      <c r="D346" s="3" t="s">
        <v>860</v>
      </c>
      <c r="E346" s="3" t="s">
        <v>2116</v>
      </c>
      <c r="F346" s="3" t="s">
        <v>1280</v>
      </c>
      <c r="G346" s="3" t="s">
        <v>3703</v>
      </c>
      <c r="H346" s="6">
        <v>19612.255999999998</v>
      </c>
    </row>
    <row r="347" spans="1:8" ht="15.75" hidden="1" customHeight="1" x14ac:dyDescent="0.35">
      <c r="A347" s="15"/>
      <c r="B347" s="3" t="s">
        <v>428</v>
      </c>
      <c r="C347" s="3" t="s">
        <v>2976</v>
      </c>
      <c r="D347" s="3" t="s">
        <v>860</v>
      </c>
      <c r="E347" s="3" t="s">
        <v>2117</v>
      </c>
      <c r="F347" s="3" t="s">
        <v>1281</v>
      </c>
      <c r="G347" s="3" t="s">
        <v>3704</v>
      </c>
      <c r="H347" s="6">
        <v>125730.14399999999</v>
      </c>
    </row>
    <row r="348" spans="1:8" ht="15.75" hidden="1" customHeight="1" x14ac:dyDescent="0.35">
      <c r="A348" s="15"/>
      <c r="B348" s="3" t="s">
        <v>429</v>
      </c>
      <c r="C348" s="3" t="s">
        <v>2977</v>
      </c>
      <c r="D348" s="3" t="s">
        <v>860</v>
      </c>
      <c r="E348" s="3" t="s">
        <v>2118</v>
      </c>
      <c r="F348" s="3" t="s">
        <v>1282</v>
      </c>
      <c r="G348" s="3" t="s">
        <v>3705</v>
      </c>
      <c r="H348" s="6">
        <v>12948.575999999999</v>
      </c>
    </row>
    <row r="349" spans="1:8" ht="15.75" hidden="1" customHeight="1" x14ac:dyDescent="0.35">
      <c r="A349" s="15"/>
      <c r="B349" s="3" t="s">
        <v>430</v>
      </c>
      <c r="C349" s="3" t="s">
        <v>2978</v>
      </c>
      <c r="D349" s="3" t="s">
        <v>860</v>
      </c>
      <c r="E349" s="3" t="s">
        <v>2119</v>
      </c>
      <c r="F349" s="3" t="s">
        <v>1283</v>
      </c>
      <c r="G349" s="3" t="s">
        <v>3705</v>
      </c>
      <c r="H349" s="6">
        <v>27015.871999999996</v>
      </c>
    </row>
    <row r="350" spans="1:8" ht="15.75" hidden="1" customHeight="1" x14ac:dyDescent="0.35">
      <c r="A350" s="15"/>
      <c r="B350" s="3" t="s">
        <v>432</v>
      </c>
      <c r="C350" s="3" t="s">
        <v>2980</v>
      </c>
      <c r="D350" s="3" t="s">
        <v>861</v>
      </c>
      <c r="E350" s="3" t="s">
        <v>2121</v>
      </c>
      <c r="F350" s="3" t="s">
        <v>1285</v>
      </c>
      <c r="G350" s="3" t="s">
        <v>3706</v>
      </c>
      <c r="H350" s="6">
        <v>11114.848</v>
      </c>
    </row>
    <row r="351" spans="1:8" ht="15.75" hidden="1" customHeight="1" x14ac:dyDescent="0.35">
      <c r="A351" s="15"/>
      <c r="B351" s="3" t="s">
        <v>433</v>
      </c>
      <c r="C351" s="3" t="s">
        <v>2981</v>
      </c>
      <c r="D351" s="3" t="s">
        <v>861</v>
      </c>
      <c r="E351" s="3" t="s">
        <v>2122</v>
      </c>
      <c r="F351" s="3" t="s">
        <v>1286</v>
      </c>
      <c r="G351" s="3" t="s">
        <v>3707</v>
      </c>
      <c r="H351" s="6">
        <v>10582.848</v>
      </c>
    </row>
    <row r="352" spans="1:8" ht="15.75" hidden="1" customHeight="1" x14ac:dyDescent="0.35">
      <c r="A352" s="15"/>
      <c r="B352" s="3" t="s">
        <v>434</v>
      </c>
      <c r="C352" s="3" t="s">
        <v>2982</v>
      </c>
      <c r="D352" s="3" t="s">
        <v>860</v>
      </c>
      <c r="E352" s="3" t="s">
        <v>2123</v>
      </c>
      <c r="F352" s="3" t="s">
        <v>1287</v>
      </c>
      <c r="G352" s="3" t="s">
        <v>3708</v>
      </c>
      <c r="H352" s="6">
        <v>11113.632</v>
      </c>
    </row>
    <row r="353" spans="1:8" ht="15.75" hidden="1" customHeight="1" x14ac:dyDescent="0.35">
      <c r="A353" s="15"/>
      <c r="B353" s="3" t="s">
        <v>435</v>
      </c>
      <c r="C353" s="3" t="s">
        <v>2983</v>
      </c>
      <c r="D353" s="3" t="s">
        <v>861</v>
      </c>
      <c r="E353" s="3" t="s">
        <v>2124</v>
      </c>
      <c r="F353" s="3" t="s">
        <v>1288</v>
      </c>
      <c r="G353" s="3" t="s">
        <v>3708</v>
      </c>
      <c r="H353" s="6">
        <v>28790.015999999996</v>
      </c>
    </row>
    <row r="354" spans="1:8" ht="15.75" hidden="1" customHeight="1" x14ac:dyDescent="0.35">
      <c r="A354" s="15"/>
      <c r="B354" s="3" t="s">
        <v>437</v>
      </c>
      <c r="C354" s="3" t="s">
        <v>2985</v>
      </c>
      <c r="D354" s="3" t="s">
        <v>860</v>
      </c>
      <c r="E354" s="3" t="s">
        <v>2126</v>
      </c>
      <c r="F354" s="3" t="s">
        <v>1290</v>
      </c>
      <c r="G354" s="3" t="s">
        <v>3709</v>
      </c>
      <c r="H354" s="6">
        <v>37373.760000000002</v>
      </c>
    </row>
    <row r="355" spans="1:8" ht="15.75" hidden="1" customHeight="1" x14ac:dyDescent="0.35">
      <c r="A355" s="15"/>
      <c r="B355" s="3" t="s">
        <v>438</v>
      </c>
      <c r="C355" s="3" t="s">
        <v>2986</v>
      </c>
      <c r="D355" s="3" t="s">
        <v>860</v>
      </c>
      <c r="E355" s="3" t="s">
        <v>2127</v>
      </c>
      <c r="F355" s="3" t="s">
        <v>1291</v>
      </c>
      <c r="G355" s="3" t="s">
        <v>3710</v>
      </c>
      <c r="H355" s="6">
        <v>37373.760000000002</v>
      </c>
    </row>
    <row r="356" spans="1:8" ht="15.75" hidden="1" customHeight="1" x14ac:dyDescent="0.35">
      <c r="A356" s="15"/>
      <c r="B356" s="3" t="s">
        <v>439</v>
      </c>
      <c r="C356" s="3" t="s">
        <v>2987</v>
      </c>
      <c r="D356" s="3" t="s">
        <v>860</v>
      </c>
      <c r="E356" s="3" t="s">
        <v>2128</v>
      </c>
      <c r="F356" s="3" t="s">
        <v>1292</v>
      </c>
      <c r="G356" s="3" t="s">
        <v>3711</v>
      </c>
      <c r="H356" s="6">
        <v>13830.783999999998</v>
      </c>
    </row>
    <row r="357" spans="1:8" ht="15.75" hidden="1" customHeight="1" x14ac:dyDescent="0.35">
      <c r="A357" s="15"/>
      <c r="B357" s="3" t="s">
        <v>440</v>
      </c>
      <c r="C357" s="3" t="s">
        <v>2988</v>
      </c>
      <c r="D357" s="3" t="s">
        <v>861</v>
      </c>
      <c r="E357" s="3" t="s">
        <v>2129</v>
      </c>
      <c r="F357" s="3" t="s">
        <v>1293</v>
      </c>
      <c r="G357" s="3" t="s">
        <v>3712</v>
      </c>
      <c r="H357" s="6">
        <v>10880.768</v>
      </c>
    </row>
    <row r="358" spans="1:8" ht="15.75" hidden="1" customHeight="1" x14ac:dyDescent="0.35">
      <c r="A358" s="15"/>
      <c r="B358" s="3" t="s">
        <v>441</v>
      </c>
      <c r="C358" s="3" t="s">
        <v>2989</v>
      </c>
      <c r="D358" s="3" t="s">
        <v>861</v>
      </c>
      <c r="E358" s="3" t="s">
        <v>2130</v>
      </c>
      <c r="F358" s="3" t="s">
        <v>1294</v>
      </c>
      <c r="G358" s="3" t="s">
        <v>3713</v>
      </c>
      <c r="H358" s="6">
        <v>29320.799999999999</v>
      </c>
    </row>
    <row r="359" spans="1:8" ht="15.75" hidden="1" customHeight="1" x14ac:dyDescent="0.35">
      <c r="A359" s="15"/>
      <c r="B359" s="3" t="s">
        <v>442</v>
      </c>
      <c r="C359" s="3" t="s">
        <v>2990</v>
      </c>
      <c r="D359" s="3" t="s">
        <v>861</v>
      </c>
      <c r="E359" s="3" t="s">
        <v>2131</v>
      </c>
      <c r="F359" s="3" t="s">
        <v>1295</v>
      </c>
      <c r="G359" s="3" t="s">
        <v>3714</v>
      </c>
      <c r="H359" s="6">
        <v>22936.799999999999</v>
      </c>
    </row>
    <row r="360" spans="1:8" ht="15.75" hidden="1" customHeight="1" x14ac:dyDescent="0.35">
      <c r="A360" s="15"/>
      <c r="B360" s="3" t="s">
        <v>444</v>
      </c>
      <c r="C360" s="3" t="s">
        <v>2992</v>
      </c>
      <c r="D360" s="3" t="s">
        <v>861</v>
      </c>
      <c r="E360" s="3" t="s">
        <v>2133</v>
      </c>
      <c r="F360" s="3" t="s">
        <v>1297</v>
      </c>
      <c r="G360" s="3" t="s">
        <v>3715</v>
      </c>
      <c r="H360" s="6">
        <v>18946.495999999999</v>
      </c>
    </row>
    <row r="361" spans="1:8" ht="15.75" hidden="1" customHeight="1" x14ac:dyDescent="0.35">
      <c r="A361" s="15"/>
      <c r="B361" s="3" t="s">
        <v>445</v>
      </c>
      <c r="C361" s="3" t="s">
        <v>2993</v>
      </c>
      <c r="D361" s="3" t="s">
        <v>861</v>
      </c>
      <c r="E361" s="3" t="s">
        <v>2134</v>
      </c>
      <c r="F361" s="3" t="s">
        <v>1298</v>
      </c>
      <c r="G361" s="3" t="s">
        <v>3716</v>
      </c>
      <c r="H361" s="6">
        <v>11113.632</v>
      </c>
    </row>
    <row r="362" spans="1:8" ht="15.75" hidden="1" customHeight="1" x14ac:dyDescent="0.35">
      <c r="A362" s="15"/>
      <c r="B362" s="3" t="s">
        <v>446</v>
      </c>
      <c r="C362" s="3" t="s">
        <v>2994</v>
      </c>
      <c r="D362" s="3" t="s">
        <v>860</v>
      </c>
      <c r="E362" s="3" t="s">
        <v>2135</v>
      </c>
      <c r="F362" s="3" t="s">
        <v>1299</v>
      </c>
      <c r="G362" s="3" t="s">
        <v>3717</v>
      </c>
      <c r="H362" s="6">
        <v>41941.663999999997</v>
      </c>
    </row>
    <row r="363" spans="1:8" ht="15.75" hidden="1" customHeight="1" x14ac:dyDescent="0.35">
      <c r="A363" s="15"/>
      <c r="B363" s="3" t="s">
        <v>447</v>
      </c>
      <c r="C363" s="3" t="s">
        <v>2995</v>
      </c>
      <c r="D363" s="3" t="s">
        <v>861</v>
      </c>
      <c r="E363" s="3" t="s">
        <v>2136</v>
      </c>
      <c r="F363" s="3" t="s">
        <v>1300</v>
      </c>
      <c r="G363" s="3" t="s">
        <v>3718</v>
      </c>
      <c r="H363" s="6">
        <v>16606.304</v>
      </c>
    </row>
    <row r="364" spans="1:8" ht="15.75" hidden="1" customHeight="1" x14ac:dyDescent="0.35">
      <c r="A364" s="15"/>
      <c r="B364" s="3" t="s">
        <v>448</v>
      </c>
      <c r="C364" s="3" t="s">
        <v>2996</v>
      </c>
      <c r="D364" s="3" t="s">
        <v>861</v>
      </c>
      <c r="E364" s="3" t="s">
        <v>2137</v>
      </c>
      <c r="F364" s="3" t="s">
        <v>1301</v>
      </c>
      <c r="G364" s="3" t="s">
        <v>3719</v>
      </c>
      <c r="H364" s="6">
        <v>11114.848</v>
      </c>
    </row>
    <row r="365" spans="1:8" ht="15.75" hidden="1" customHeight="1" x14ac:dyDescent="0.35">
      <c r="A365" s="15"/>
      <c r="B365" s="3" t="s">
        <v>449</v>
      </c>
      <c r="C365" s="3" t="s">
        <v>2997</v>
      </c>
      <c r="D365" s="3" t="s">
        <v>861</v>
      </c>
      <c r="E365" s="3" t="s">
        <v>2138</v>
      </c>
      <c r="F365" s="3" t="s">
        <v>1302</v>
      </c>
      <c r="G365" s="3" t="s">
        <v>3719</v>
      </c>
      <c r="H365" s="6">
        <v>11114.848</v>
      </c>
    </row>
    <row r="366" spans="1:8" ht="15.75" hidden="1" customHeight="1" x14ac:dyDescent="0.35">
      <c r="A366" s="15"/>
      <c r="B366" s="3" t="s">
        <v>450</v>
      </c>
      <c r="C366" s="3" t="s">
        <v>2998</v>
      </c>
      <c r="D366" s="3" t="s">
        <v>860</v>
      </c>
      <c r="E366" s="3" t="s">
        <v>2139</v>
      </c>
      <c r="F366" s="3" t="s">
        <v>1303</v>
      </c>
      <c r="G366" s="3" t="s">
        <v>3719</v>
      </c>
      <c r="H366" s="6">
        <v>114775.80799999999</v>
      </c>
    </row>
    <row r="367" spans="1:8" ht="15.75" hidden="1" customHeight="1" x14ac:dyDescent="0.35">
      <c r="A367" s="15"/>
      <c r="B367" s="3" t="s">
        <v>451</v>
      </c>
      <c r="C367" s="3" t="s">
        <v>2999</v>
      </c>
      <c r="D367" s="3" t="s">
        <v>860</v>
      </c>
      <c r="E367" s="3" t="s">
        <v>2140</v>
      </c>
      <c r="F367" s="3" t="s">
        <v>1304</v>
      </c>
      <c r="G367" s="3" t="s">
        <v>3720</v>
      </c>
      <c r="H367" s="6">
        <v>30469.919999999998</v>
      </c>
    </row>
    <row r="368" spans="1:8" ht="15.75" hidden="1" customHeight="1" x14ac:dyDescent="0.35">
      <c r="A368" s="15"/>
      <c r="B368" s="3" t="s">
        <v>452</v>
      </c>
      <c r="C368" s="3" t="s">
        <v>3000</v>
      </c>
      <c r="D368" s="3" t="s">
        <v>860</v>
      </c>
      <c r="E368" s="3" t="s">
        <v>2141</v>
      </c>
      <c r="F368" s="3" t="s">
        <v>1305</v>
      </c>
      <c r="G368" s="3" t="s">
        <v>3721</v>
      </c>
      <c r="H368" s="6">
        <v>22103.232</v>
      </c>
    </row>
    <row r="369" spans="1:8" ht="15.75" hidden="1" customHeight="1" x14ac:dyDescent="0.35">
      <c r="A369" s="15"/>
      <c r="B369" s="3" t="s">
        <v>453</v>
      </c>
      <c r="C369" s="3" t="s">
        <v>3001</v>
      </c>
      <c r="D369" s="3" t="s">
        <v>861</v>
      </c>
      <c r="E369" s="3" t="s">
        <v>2142</v>
      </c>
      <c r="F369" s="3" t="s">
        <v>1306</v>
      </c>
      <c r="G369" s="3" t="s">
        <v>3721</v>
      </c>
      <c r="H369" s="6">
        <v>28790.015999999996</v>
      </c>
    </row>
    <row r="370" spans="1:8" ht="15.75" hidden="1" customHeight="1" x14ac:dyDescent="0.35">
      <c r="A370" s="15"/>
      <c r="B370" s="3" t="s">
        <v>454</v>
      </c>
      <c r="C370" s="3" t="s">
        <v>3002</v>
      </c>
      <c r="D370" s="3" t="s">
        <v>861</v>
      </c>
      <c r="E370" s="3" t="s">
        <v>2143</v>
      </c>
      <c r="F370" s="3" t="s">
        <v>1307</v>
      </c>
      <c r="G370" s="3" t="s">
        <v>5655</v>
      </c>
      <c r="H370" s="6">
        <v>36316.447999999997</v>
      </c>
    </row>
    <row r="371" spans="1:8" ht="15.75" hidden="1" customHeight="1" x14ac:dyDescent="0.35">
      <c r="A371" s="15"/>
      <c r="B371" s="3" t="s">
        <v>456</v>
      </c>
      <c r="C371" s="3" t="s">
        <v>3004</v>
      </c>
      <c r="D371" s="3" t="s">
        <v>861</v>
      </c>
      <c r="E371" s="3" t="s">
        <v>2145</v>
      </c>
      <c r="F371" s="3" t="s">
        <v>1309</v>
      </c>
      <c r="G371" s="3" t="s">
        <v>3722</v>
      </c>
      <c r="H371" s="6">
        <v>17431.359999999997</v>
      </c>
    </row>
    <row r="372" spans="1:8" ht="15.75" hidden="1" customHeight="1" x14ac:dyDescent="0.35">
      <c r="A372" s="15"/>
      <c r="B372" s="3" t="s">
        <v>457</v>
      </c>
      <c r="C372" s="3" t="s">
        <v>3005</v>
      </c>
      <c r="D372" s="3" t="s">
        <v>861</v>
      </c>
      <c r="E372" s="3" t="s">
        <v>2146</v>
      </c>
      <c r="F372" s="3" t="s">
        <v>1310</v>
      </c>
      <c r="G372" s="3" t="s">
        <v>3723</v>
      </c>
      <c r="H372" s="6">
        <v>24862.944</v>
      </c>
    </row>
    <row r="373" spans="1:8" ht="15.75" hidden="1" customHeight="1" x14ac:dyDescent="0.35">
      <c r="A373" s="15"/>
      <c r="B373" s="3" t="s">
        <v>458</v>
      </c>
      <c r="C373" s="3" t="s">
        <v>3006</v>
      </c>
      <c r="D373" s="3" t="s">
        <v>861</v>
      </c>
      <c r="E373" s="3" t="s">
        <v>2147</v>
      </c>
      <c r="F373" s="3" t="s">
        <v>1311</v>
      </c>
      <c r="G373" s="3" t="s">
        <v>3724</v>
      </c>
      <c r="H373" s="6">
        <v>11113.632</v>
      </c>
    </row>
    <row r="374" spans="1:8" ht="15.75" hidden="1" customHeight="1" x14ac:dyDescent="0.35">
      <c r="A374" s="15"/>
      <c r="B374" s="3" t="s">
        <v>459</v>
      </c>
      <c r="C374" s="3" t="s">
        <v>3007</v>
      </c>
      <c r="D374" s="3" t="s">
        <v>861</v>
      </c>
      <c r="E374" s="3" t="s">
        <v>2148</v>
      </c>
      <c r="F374" s="3" t="s">
        <v>1312</v>
      </c>
      <c r="G374" s="3" t="s">
        <v>3725</v>
      </c>
      <c r="H374" s="6">
        <v>15419.487999999999</v>
      </c>
    </row>
    <row r="375" spans="1:8" ht="15.75" hidden="1" customHeight="1" x14ac:dyDescent="0.35">
      <c r="A375" s="15"/>
      <c r="B375" s="3" t="s">
        <v>460</v>
      </c>
      <c r="C375" s="3" t="s">
        <v>3008</v>
      </c>
      <c r="D375" s="3" t="s">
        <v>861</v>
      </c>
      <c r="E375" s="3" t="s">
        <v>2149</v>
      </c>
      <c r="F375" s="3" t="s">
        <v>1313</v>
      </c>
      <c r="G375" s="3" t="s">
        <v>3726</v>
      </c>
      <c r="H375" s="6">
        <v>24927.392</v>
      </c>
    </row>
    <row r="376" spans="1:8" ht="15.75" hidden="1" customHeight="1" x14ac:dyDescent="0.35">
      <c r="A376" s="15"/>
      <c r="B376" s="3" t="s">
        <v>461</v>
      </c>
      <c r="C376" s="3" t="s">
        <v>3009</v>
      </c>
      <c r="D376" s="3" t="s">
        <v>861</v>
      </c>
      <c r="E376" s="3" t="s">
        <v>2150</v>
      </c>
      <c r="F376" s="3" t="s">
        <v>1314</v>
      </c>
      <c r="G376" s="3" t="s">
        <v>3727</v>
      </c>
      <c r="H376" s="6">
        <v>36314.015999999996</v>
      </c>
    </row>
    <row r="377" spans="1:8" ht="15.75" hidden="1" customHeight="1" x14ac:dyDescent="0.35">
      <c r="A377" s="15"/>
      <c r="B377" s="3" t="s">
        <v>462</v>
      </c>
      <c r="C377" s="3" t="s">
        <v>3010</v>
      </c>
      <c r="D377" s="3" t="s">
        <v>861</v>
      </c>
      <c r="E377" s="3" t="s">
        <v>2151</v>
      </c>
      <c r="F377" s="3" t="s">
        <v>1315</v>
      </c>
      <c r="G377" s="3" t="s">
        <v>3728</v>
      </c>
      <c r="H377" s="6">
        <v>11114.848</v>
      </c>
    </row>
    <row r="378" spans="1:8" ht="15.75" hidden="1" customHeight="1" x14ac:dyDescent="0.35">
      <c r="A378" s="15"/>
      <c r="B378" s="3" t="s">
        <v>463</v>
      </c>
      <c r="C378" s="3" t="s">
        <v>3011</v>
      </c>
      <c r="D378" s="3" t="s">
        <v>860</v>
      </c>
      <c r="E378" s="3" t="s">
        <v>2152</v>
      </c>
      <c r="F378" s="3" t="s">
        <v>1316</v>
      </c>
      <c r="G378" s="3" t="s">
        <v>5828</v>
      </c>
      <c r="H378" s="6">
        <v>40080.576000000001</v>
      </c>
    </row>
    <row r="379" spans="1:8" ht="15.75" hidden="1" customHeight="1" x14ac:dyDescent="0.35">
      <c r="A379" s="15"/>
      <c r="B379" s="3" t="s">
        <v>464</v>
      </c>
      <c r="C379" s="3" t="s">
        <v>3012</v>
      </c>
      <c r="D379" s="3" t="s">
        <v>861</v>
      </c>
      <c r="E379" s="3" t="s">
        <v>2153</v>
      </c>
      <c r="F379" s="3" t="s">
        <v>1317</v>
      </c>
      <c r="G379" s="3" t="s">
        <v>3729</v>
      </c>
      <c r="H379" s="6">
        <v>21592.511999999999</v>
      </c>
    </row>
    <row r="380" spans="1:8" ht="15.75" hidden="1" customHeight="1" x14ac:dyDescent="0.35">
      <c r="A380" s="15"/>
      <c r="B380" s="3" t="s">
        <v>465</v>
      </c>
      <c r="C380" s="3" t="s">
        <v>3013</v>
      </c>
      <c r="D380" s="3" t="s">
        <v>861</v>
      </c>
      <c r="E380" s="3" t="s">
        <v>2154</v>
      </c>
      <c r="F380" s="3" t="s">
        <v>1318</v>
      </c>
      <c r="G380" s="3" t="s">
        <v>3730</v>
      </c>
      <c r="H380" s="6">
        <v>44292.191999999995</v>
      </c>
    </row>
    <row r="381" spans="1:8" ht="15.75" hidden="1" customHeight="1" x14ac:dyDescent="0.35">
      <c r="A381" s="15"/>
      <c r="B381" s="3" t="s">
        <v>466</v>
      </c>
      <c r="C381" s="3" t="s">
        <v>3014</v>
      </c>
      <c r="D381" s="3" t="s">
        <v>860</v>
      </c>
      <c r="E381" s="3" t="s">
        <v>2155</v>
      </c>
      <c r="F381" s="3" t="s">
        <v>1319</v>
      </c>
      <c r="G381" s="3" t="s">
        <v>3731</v>
      </c>
      <c r="H381" s="6">
        <v>19364.8</v>
      </c>
    </row>
    <row r="382" spans="1:8" ht="15.75" hidden="1" customHeight="1" x14ac:dyDescent="0.35">
      <c r="A382" s="15"/>
      <c r="B382" s="3" t="s">
        <v>467</v>
      </c>
      <c r="C382" s="3" t="s">
        <v>3015</v>
      </c>
      <c r="D382" s="3" t="s">
        <v>861</v>
      </c>
      <c r="E382" s="3" t="s">
        <v>2156</v>
      </c>
      <c r="F382" s="3" t="s">
        <v>1320</v>
      </c>
      <c r="G382" s="3" t="s">
        <v>3732</v>
      </c>
      <c r="H382" s="6">
        <v>19660.288</v>
      </c>
    </row>
    <row r="383" spans="1:8" ht="15.75" hidden="1" customHeight="1" x14ac:dyDescent="0.35">
      <c r="A383" s="15"/>
      <c r="B383" s="3" t="s">
        <v>468</v>
      </c>
      <c r="C383" s="3" t="s">
        <v>3016</v>
      </c>
      <c r="D383" s="3" t="s">
        <v>861</v>
      </c>
      <c r="E383" s="3" t="s">
        <v>2157</v>
      </c>
      <c r="F383" s="3" t="s">
        <v>1321</v>
      </c>
      <c r="G383" s="3" t="s">
        <v>3733</v>
      </c>
      <c r="H383" s="6">
        <v>10886.24</v>
      </c>
    </row>
    <row r="384" spans="1:8" ht="15.75" hidden="1" customHeight="1" x14ac:dyDescent="0.35">
      <c r="A384" s="15"/>
      <c r="B384" s="3" t="s">
        <v>469</v>
      </c>
      <c r="C384" s="3" t="s">
        <v>3017</v>
      </c>
      <c r="D384" s="3" t="s">
        <v>861</v>
      </c>
      <c r="E384" s="3" t="s">
        <v>2158</v>
      </c>
      <c r="F384" s="3" t="s">
        <v>1322</v>
      </c>
      <c r="G384" s="3" t="s">
        <v>3733</v>
      </c>
      <c r="H384" s="6">
        <v>80688.996826666655</v>
      </c>
    </row>
    <row r="385" spans="1:8" ht="15.75" hidden="1" customHeight="1" x14ac:dyDescent="0.35">
      <c r="A385" s="15"/>
      <c r="B385" s="3" t="s">
        <v>472</v>
      </c>
      <c r="C385" s="3" t="s">
        <v>3020</v>
      </c>
      <c r="D385" s="3" t="s">
        <v>860</v>
      </c>
      <c r="E385" s="3" t="s">
        <v>2161</v>
      </c>
      <c r="F385" s="3" t="s">
        <v>1325</v>
      </c>
      <c r="G385" s="3" t="s">
        <v>3734</v>
      </c>
      <c r="H385" s="6">
        <v>32570.560000000001</v>
      </c>
    </row>
    <row r="386" spans="1:8" ht="15.75" hidden="1" customHeight="1" x14ac:dyDescent="0.35">
      <c r="A386" s="15"/>
      <c r="B386" s="3" t="s">
        <v>473</v>
      </c>
      <c r="C386" s="3" t="s">
        <v>3021</v>
      </c>
      <c r="D386" s="3" t="s">
        <v>861</v>
      </c>
      <c r="E386" s="3" t="s">
        <v>2162</v>
      </c>
      <c r="F386" s="3" t="s">
        <v>1326</v>
      </c>
      <c r="G386" s="3" t="s">
        <v>3734</v>
      </c>
      <c r="H386" s="6">
        <v>34524.671999999999</v>
      </c>
    </row>
    <row r="387" spans="1:8" ht="15.75" hidden="1" customHeight="1" x14ac:dyDescent="0.35">
      <c r="A387" s="15"/>
      <c r="B387" s="3" t="s">
        <v>474</v>
      </c>
      <c r="C387" s="3" t="s">
        <v>3022</v>
      </c>
      <c r="D387" s="3" t="s">
        <v>861</v>
      </c>
      <c r="E387" s="3" t="s">
        <v>2163</v>
      </c>
      <c r="F387" s="3" t="s">
        <v>1327</v>
      </c>
      <c r="G387" s="3" t="s">
        <v>3740</v>
      </c>
      <c r="H387" s="6">
        <v>34871.231999999996</v>
      </c>
    </row>
    <row r="388" spans="1:8" ht="15.75" hidden="1" customHeight="1" x14ac:dyDescent="0.35">
      <c r="A388" s="15"/>
      <c r="B388" s="3" t="s">
        <v>475</v>
      </c>
      <c r="C388" s="3" t="s">
        <v>3023</v>
      </c>
      <c r="D388" s="3" t="s">
        <v>861</v>
      </c>
      <c r="E388" s="3" t="s">
        <v>2164</v>
      </c>
      <c r="F388" s="3" t="s">
        <v>1328</v>
      </c>
      <c r="G388" s="3" t="s">
        <v>3740</v>
      </c>
      <c r="H388" s="6">
        <v>40605.887999999999</v>
      </c>
    </row>
    <row r="389" spans="1:8" ht="15.75" hidden="1" customHeight="1" x14ac:dyDescent="0.35">
      <c r="A389" s="15"/>
      <c r="B389" s="3" t="s">
        <v>476</v>
      </c>
      <c r="C389" s="3" t="s">
        <v>3024</v>
      </c>
      <c r="D389" s="3" t="s">
        <v>860</v>
      </c>
      <c r="E389" s="3" t="s">
        <v>2165</v>
      </c>
      <c r="F389" s="3" t="s">
        <v>1329</v>
      </c>
      <c r="G389" s="3" t="s">
        <v>3740</v>
      </c>
      <c r="H389" s="6">
        <v>41582.943999999996</v>
      </c>
    </row>
    <row r="390" spans="1:8" ht="15.75" hidden="1" customHeight="1" x14ac:dyDescent="0.35">
      <c r="A390" s="15"/>
      <c r="B390" s="3" t="s">
        <v>477</v>
      </c>
      <c r="C390" s="3" t="s">
        <v>3025</v>
      </c>
      <c r="D390" s="3" t="s">
        <v>861</v>
      </c>
      <c r="E390" s="3" t="s">
        <v>2166</v>
      </c>
      <c r="F390" s="3" t="s">
        <v>1330</v>
      </c>
      <c r="G390" s="3" t="s">
        <v>3740</v>
      </c>
      <c r="H390" s="6">
        <v>35764.383999999998</v>
      </c>
    </row>
    <row r="391" spans="1:8" ht="15.75" hidden="1" customHeight="1" x14ac:dyDescent="0.35">
      <c r="A391" s="15"/>
      <c r="B391" s="3" t="s">
        <v>478</v>
      </c>
      <c r="C391" s="3" t="s">
        <v>3026</v>
      </c>
      <c r="D391" s="3" t="s">
        <v>860</v>
      </c>
      <c r="E391" s="3" t="s">
        <v>2167</v>
      </c>
      <c r="F391" s="3" t="s">
        <v>1331</v>
      </c>
      <c r="G391" s="3" t="s">
        <v>5712</v>
      </c>
      <c r="H391" s="6">
        <v>19711.359999999997</v>
      </c>
    </row>
    <row r="392" spans="1:8" ht="15.75" hidden="1" customHeight="1" x14ac:dyDescent="0.35">
      <c r="A392" s="15"/>
      <c r="B392" s="3" t="s">
        <v>479</v>
      </c>
      <c r="C392" s="3" t="s">
        <v>3027</v>
      </c>
      <c r="D392" s="3" t="s">
        <v>861</v>
      </c>
      <c r="E392" s="3" t="s">
        <v>2168</v>
      </c>
      <c r="F392" s="3" t="s">
        <v>1332</v>
      </c>
      <c r="G392" s="3" t="s">
        <v>3741</v>
      </c>
      <c r="H392" s="6">
        <v>16322.976000000001</v>
      </c>
    </row>
    <row r="393" spans="1:8" ht="15.75" hidden="1" customHeight="1" x14ac:dyDescent="0.35">
      <c r="A393" s="15"/>
      <c r="B393" s="3" t="s">
        <v>480</v>
      </c>
      <c r="C393" s="3" t="s">
        <v>3028</v>
      </c>
      <c r="D393" s="3" t="s">
        <v>861</v>
      </c>
      <c r="E393" s="3" t="s">
        <v>2169</v>
      </c>
      <c r="F393" s="3" t="s">
        <v>1333</v>
      </c>
      <c r="G393" s="3" t="s">
        <v>3742</v>
      </c>
      <c r="H393" s="6">
        <v>24193.536</v>
      </c>
    </row>
    <row r="394" spans="1:8" ht="15.75" hidden="1" customHeight="1" x14ac:dyDescent="0.35">
      <c r="A394" s="15"/>
      <c r="B394" s="3" t="s">
        <v>481</v>
      </c>
      <c r="C394" s="3" t="s">
        <v>3029</v>
      </c>
      <c r="D394" s="3" t="s">
        <v>861</v>
      </c>
      <c r="E394" s="3" t="s">
        <v>2170</v>
      </c>
      <c r="F394" s="3" t="s">
        <v>1334</v>
      </c>
      <c r="G394" s="3" t="s">
        <v>3742</v>
      </c>
      <c r="H394" s="6">
        <v>40546.303999999996</v>
      </c>
    </row>
    <row r="395" spans="1:8" ht="15.75" hidden="1" customHeight="1" x14ac:dyDescent="0.35">
      <c r="A395" s="15"/>
      <c r="B395" s="3" t="s">
        <v>482</v>
      </c>
      <c r="C395" s="3" t="s">
        <v>3030</v>
      </c>
      <c r="D395" s="3" t="s">
        <v>861</v>
      </c>
      <c r="E395" s="3" t="s">
        <v>2171</v>
      </c>
      <c r="F395" s="3" t="s">
        <v>1335</v>
      </c>
      <c r="G395" s="3" t="s">
        <v>5790</v>
      </c>
      <c r="H395" s="6">
        <v>19810.463999999996</v>
      </c>
    </row>
    <row r="396" spans="1:8" ht="15.75" hidden="1" customHeight="1" x14ac:dyDescent="0.35">
      <c r="A396" s="15"/>
      <c r="B396" s="3" t="s">
        <v>483</v>
      </c>
      <c r="C396" s="3" t="s">
        <v>3031</v>
      </c>
      <c r="D396" s="3" t="s">
        <v>861</v>
      </c>
      <c r="E396" s="3" t="s">
        <v>2172</v>
      </c>
      <c r="F396" s="3" t="s">
        <v>1336</v>
      </c>
      <c r="G396" s="3" t="s">
        <v>3748</v>
      </c>
      <c r="H396" s="6">
        <v>42531.423999999999</v>
      </c>
    </row>
    <row r="397" spans="1:8" ht="15.75" hidden="1" customHeight="1" x14ac:dyDescent="0.35">
      <c r="A397" s="15"/>
      <c r="B397" s="3" t="s">
        <v>484</v>
      </c>
      <c r="C397" s="3" t="s">
        <v>3032</v>
      </c>
      <c r="D397" s="3" t="s">
        <v>861</v>
      </c>
      <c r="E397" s="3" t="s">
        <v>2173</v>
      </c>
      <c r="F397" s="3" t="s">
        <v>1337</v>
      </c>
      <c r="G397" s="3" t="s">
        <v>3749</v>
      </c>
      <c r="H397" s="6">
        <v>34096.031999999999</v>
      </c>
    </row>
    <row r="398" spans="1:8" ht="15.75" hidden="1" customHeight="1" x14ac:dyDescent="0.35">
      <c r="A398" s="15"/>
      <c r="B398" s="3" t="s">
        <v>485</v>
      </c>
      <c r="C398" s="3" t="s">
        <v>3033</v>
      </c>
      <c r="D398" s="3" t="s">
        <v>860</v>
      </c>
      <c r="E398" s="3" t="s">
        <v>2174</v>
      </c>
      <c r="F398" s="3" t="s">
        <v>1338</v>
      </c>
      <c r="G398" s="3" t="s">
        <v>3750</v>
      </c>
      <c r="H398" s="6">
        <v>47315.167999999998</v>
      </c>
    </row>
    <row r="399" spans="1:8" ht="15.75" hidden="1" customHeight="1" x14ac:dyDescent="0.35">
      <c r="A399" s="15"/>
      <c r="B399" s="3" t="s">
        <v>486</v>
      </c>
      <c r="C399" s="3" t="s">
        <v>3034</v>
      </c>
      <c r="D399" s="3" t="s">
        <v>861</v>
      </c>
      <c r="E399" s="3" t="s">
        <v>2175</v>
      </c>
      <c r="F399" s="3" t="s">
        <v>1339</v>
      </c>
      <c r="G399" s="3" t="s">
        <v>3750</v>
      </c>
      <c r="H399" s="6">
        <v>34679.103999999999</v>
      </c>
    </row>
    <row r="400" spans="1:8" ht="15.75" hidden="1" customHeight="1" x14ac:dyDescent="0.35">
      <c r="A400" s="15"/>
      <c r="B400" s="3" t="s">
        <v>488</v>
      </c>
      <c r="C400" s="3" t="s">
        <v>3036</v>
      </c>
      <c r="D400" s="3" t="s">
        <v>860</v>
      </c>
      <c r="E400" s="3" t="s">
        <v>2177</v>
      </c>
      <c r="F400" s="3" t="s">
        <v>1341</v>
      </c>
      <c r="G400" s="3" t="s">
        <v>3751</v>
      </c>
      <c r="H400" s="6">
        <v>43785.727999999996</v>
      </c>
    </row>
    <row r="401" spans="1:8" ht="15.75" hidden="1" customHeight="1" x14ac:dyDescent="0.35">
      <c r="A401" s="15"/>
      <c r="B401" s="3" t="s">
        <v>489</v>
      </c>
      <c r="C401" s="3" t="s">
        <v>3037</v>
      </c>
      <c r="D401" s="3" t="s">
        <v>860</v>
      </c>
      <c r="E401" s="3" t="s">
        <v>2178</v>
      </c>
      <c r="F401" s="3" t="s">
        <v>1342</v>
      </c>
      <c r="G401" s="3" t="s">
        <v>3751</v>
      </c>
      <c r="H401" s="6">
        <v>137820.02200213331</v>
      </c>
    </row>
    <row r="402" spans="1:8" ht="15.75" hidden="1" customHeight="1" x14ac:dyDescent="0.35">
      <c r="A402" s="15"/>
      <c r="B402" s="3" t="s">
        <v>491</v>
      </c>
      <c r="C402" s="3" t="s">
        <v>3039</v>
      </c>
      <c r="D402" s="3" t="s">
        <v>860</v>
      </c>
      <c r="E402" s="3" t="s">
        <v>2180</v>
      </c>
      <c r="F402" s="3" t="s">
        <v>1343</v>
      </c>
      <c r="G402" s="3" t="s">
        <v>3752</v>
      </c>
      <c r="H402" s="6">
        <v>23691.328000000001</v>
      </c>
    </row>
    <row r="403" spans="1:8" ht="15.75" hidden="1" customHeight="1" x14ac:dyDescent="0.35">
      <c r="A403" s="15"/>
      <c r="B403" s="3" t="s">
        <v>492</v>
      </c>
      <c r="C403" s="3" t="s">
        <v>3040</v>
      </c>
      <c r="D403" s="3" t="s">
        <v>861</v>
      </c>
      <c r="E403" s="3" t="s">
        <v>2181</v>
      </c>
      <c r="F403" s="3" t="s">
        <v>1344</v>
      </c>
      <c r="G403" s="3" t="s">
        <v>3753</v>
      </c>
      <c r="H403" s="6">
        <v>10991.423999999999</v>
      </c>
    </row>
    <row r="404" spans="1:8" ht="15.75" hidden="1" customHeight="1" x14ac:dyDescent="0.35">
      <c r="A404" s="15"/>
      <c r="B404" s="3" t="s">
        <v>493</v>
      </c>
      <c r="C404" s="3" t="s">
        <v>3041</v>
      </c>
      <c r="D404" s="3" t="s">
        <v>860</v>
      </c>
      <c r="E404" s="3" t="s">
        <v>2182</v>
      </c>
      <c r="F404" s="3" t="s">
        <v>1345</v>
      </c>
      <c r="G404" s="3" t="s">
        <v>3754</v>
      </c>
      <c r="H404" s="6">
        <v>31861.631999999998</v>
      </c>
    </row>
    <row r="405" spans="1:8" ht="15.75" hidden="1" customHeight="1" x14ac:dyDescent="0.35">
      <c r="A405" s="15"/>
      <c r="B405" s="3" t="s">
        <v>494</v>
      </c>
      <c r="C405" s="3" t="s">
        <v>3042</v>
      </c>
      <c r="D405" s="3" t="s">
        <v>861</v>
      </c>
      <c r="E405" s="3" t="s">
        <v>2183</v>
      </c>
      <c r="F405" s="3" t="s">
        <v>1346</v>
      </c>
      <c r="G405" s="3" t="s">
        <v>3754</v>
      </c>
      <c r="H405" s="6">
        <v>43262.847999999998</v>
      </c>
    </row>
    <row r="406" spans="1:8" ht="15.75" hidden="1" customHeight="1" x14ac:dyDescent="0.35">
      <c r="A406" s="15"/>
      <c r="B406" s="3" t="s">
        <v>496</v>
      </c>
      <c r="C406" s="3" t="s">
        <v>3044</v>
      </c>
      <c r="D406" s="3" t="s">
        <v>861</v>
      </c>
      <c r="E406" s="3" t="s">
        <v>2185</v>
      </c>
      <c r="F406" s="3" t="s">
        <v>1348</v>
      </c>
      <c r="G406" s="3" t="s">
        <v>3757</v>
      </c>
      <c r="H406" s="6">
        <v>14214.431999999999</v>
      </c>
    </row>
    <row r="407" spans="1:8" ht="15.75" hidden="1" customHeight="1" x14ac:dyDescent="0.35">
      <c r="A407" s="15"/>
      <c r="B407" s="3" t="s">
        <v>498</v>
      </c>
      <c r="C407" s="3" t="s">
        <v>3046</v>
      </c>
      <c r="D407" s="3" t="s">
        <v>861</v>
      </c>
      <c r="E407" s="3" t="s">
        <v>2187</v>
      </c>
      <c r="F407" s="3" t="s">
        <v>1350</v>
      </c>
      <c r="G407" s="3" t="s">
        <v>3758</v>
      </c>
      <c r="H407" s="6">
        <v>15119.135999999999</v>
      </c>
    </row>
    <row r="408" spans="1:8" ht="15.75" hidden="1" customHeight="1" x14ac:dyDescent="0.35">
      <c r="A408" s="15"/>
      <c r="B408" s="3" t="s">
        <v>499</v>
      </c>
      <c r="C408" s="3" t="s">
        <v>3047</v>
      </c>
      <c r="D408" s="3" t="s">
        <v>861</v>
      </c>
      <c r="E408" s="3" t="s">
        <v>2188</v>
      </c>
      <c r="F408" s="3" t="s">
        <v>1351</v>
      </c>
      <c r="G408" s="3" t="s">
        <v>5831</v>
      </c>
      <c r="H408" s="6">
        <v>30498.495999999999</v>
      </c>
    </row>
    <row r="409" spans="1:8" ht="15.75" customHeight="1" x14ac:dyDescent="0.35">
      <c r="A409" s="15"/>
      <c r="B409" s="3" t="s">
        <v>3759</v>
      </c>
      <c r="C409" s="3" t="s">
        <v>3760</v>
      </c>
      <c r="D409" s="3" t="s">
        <v>861</v>
      </c>
      <c r="E409" s="3" t="s">
        <v>3761</v>
      </c>
      <c r="F409" s="3" t="s">
        <v>3762</v>
      </c>
      <c r="G409" s="3" t="s">
        <v>3763</v>
      </c>
      <c r="H409" s="6">
        <v>26077.727999999999</v>
      </c>
    </row>
    <row r="410" spans="1:8" ht="15.75" hidden="1" customHeight="1" x14ac:dyDescent="0.35">
      <c r="A410" s="15"/>
      <c r="B410" s="3" t="s">
        <v>501</v>
      </c>
      <c r="C410" s="3" t="s">
        <v>3049</v>
      </c>
      <c r="D410" s="3" t="s">
        <v>861</v>
      </c>
      <c r="E410" s="3" t="s">
        <v>2190</v>
      </c>
      <c r="F410" s="3" t="s">
        <v>1353</v>
      </c>
      <c r="G410" s="3" t="s">
        <v>3764</v>
      </c>
      <c r="H410" s="6">
        <v>19634.144</v>
      </c>
    </row>
    <row r="411" spans="1:8" ht="15.75" hidden="1" customHeight="1" x14ac:dyDescent="0.35">
      <c r="A411" s="15"/>
      <c r="B411" s="3" t="s">
        <v>502</v>
      </c>
      <c r="C411" s="3" t="s">
        <v>3050</v>
      </c>
      <c r="D411" s="3" t="s">
        <v>860</v>
      </c>
      <c r="E411" s="3" t="s">
        <v>2191</v>
      </c>
      <c r="F411" s="3" t="s">
        <v>1354</v>
      </c>
      <c r="G411" s="3" t="s">
        <v>3765</v>
      </c>
      <c r="H411" s="6">
        <v>10885.632</v>
      </c>
    </row>
    <row r="412" spans="1:8" ht="15.75" hidden="1" customHeight="1" x14ac:dyDescent="0.35">
      <c r="A412" s="15"/>
      <c r="B412" s="3" t="s">
        <v>503</v>
      </c>
      <c r="C412" s="3" t="s">
        <v>3051</v>
      </c>
      <c r="D412" s="3" t="s">
        <v>860</v>
      </c>
      <c r="E412" s="3" t="s">
        <v>2192</v>
      </c>
      <c r="F412" s="3" t="s">
        <v>1355</v>
      </c>
      <c r="G412" s="3" t="s">
        <v>3766</v>
      </c>
      <c r="H412" s="6">
        <v>41299.615999999995</v>
      </c>
    </row>
    <row r="413" spans="1:8" ht="15.75" hidden="1" customHeight="1" x14ac:dyDescent="0.35">
      <c r="A413" s="15"/>
      <c r="B413" s="3" t="s">
        <v>504</v>
      </c>
      <c r="C413" s="3" t="s">
        <v>3052</v>
      </c>
      <c r="D413" s="3" t="s">
        <v>861</v>
      </c>
      <c r="E413" s="3" t="s">
        <v>2193</v>
      </c>
      <c r="F413" s="3" t="s">
        <v>1356</v>
      </c>
      <c r="G413" s="3" t="s">
        <v>3766</v>
      </c>
      <c r="H413" s="6">
        <v>36845.407999999996</v>
      </c>
    </row>
    <row r="414" spans="1:8" ht="15.75" hidden="1" customHeight="1" x14ac:dyDescent="0.35">
      <c r="A414" s="15"/>
      <c r="B414" s="3" t="s">
        <v>505</v>
      </c>
      <c r="C414" s="3" t="s">
        <v>3053</v>
      </c>
      <c r="D414" s="3" t="s">
        <v>861</v>
      </c>
      <c r="E414" s="3" t="s">
        <v>2194</v>
      </c>
      <c r="F414" s="3" t="s">
        <v>1357</v>
      </c>
      <c r="G414" s="3" t="s">
        <v>3767</v>
      </c>
      <c r="H414" s="6">
        <v>34853.599999999999</v>
      </c>
    </row>
    <row r="415" spans="1:8" ht="15.75" hidden="1" customHeight="1" x14ac:dyDescent="0.35">
      <c r="A415" s="15"/>
      <c r="B415" s="3" t="s">
        <v>507</v>
      </c>
      <c r="C415" s="3" t="s">
        <v>3055</v>
      </c>
      <c r="D415" s="3" t="s">
        <v>860</v>
      </c>
      <c r="E415" s="3" t="s">
        <v>2196</v>
      </c>
      <c r="F415" s="3" t="s">
        <v>1359</v>
      </c>
      <c r="G415" s="3" t="s">
        <v>3768</v>
      </c>
      <c r="H415" s="6">
        <v>34641.407999999996</v>
      </c>
    </row>
    <row r="416" spans="1:8" ht="15.75" hidden="1" customHeight="1" x14ac:dyDescent="0.35">
      <c r="A416" s="15"/>
      <c r="B416" s="3" t="s">
        <v>509</v>
      </c>
      <c r="C416" s="3" t="s">
        <v>3057</v>
      </c>
      <c r="D416" s="3" t="s">
        <v>861</v>
      </c>
      <c r="E416" s="3" t="s">
        <v>2198</v>
      </c>
      <c r="F416" s="3" t="s">
        <v>1361</v>
      </c>
      <c r="G416" s="3" t="s">
        <v>3769</v>
      </c>
      <c r="H416" s="6">
        <v>15548.383999999998</v>
      </c>
    </row>
    <row r="417" spans="1:8" ht="15.75" hidden="1" customHeight="1" x14ac:dyDescent="0.35">
      <c r="A417" s="15"/>
      <c r="B417" s="3" t="s">
        <v>511</v>
      </c>
      <c r="C417" s="3" t="s">
        <v>3059</v>
      </c>
      <c r="D417" s="3" t="s">
        <v>860</v>
      </c>
      <c r="E417" s="3" t="s">
        <v>2200</v>
      </c>
      <c r="F417" s="3" t="s">
        <v>1363</v>
      </c>
      <c r="G417" s="3" t="s">
        <v>3771</v>
      </c>
      <c r="H417" s="6">
        <v>33310.495999999999</v>
      </c>
    </row>
    <row r="418" spans="1:8" ht="15.75" hidden="1" customHeight="1" x14ac:dyDescent="0.35">
      <c r="A418" s="15"/>
      <c r="B418" s="3" t="s">
        <v>512</v>
      </c>
      <c r="C418" s="3" t="s">
        <v>3060</v>
      </c>
      <c r="D418" s="3" t="s">
        <v>860</v>
      </c>
      <c r="E418" s="3" t="s">
        <v>2201</v>
      </c>
      <c r="F418" s="3" t="s">
        <v>1364</v>
      </c>
      <c r="G418" s="3" t="s">
        <v>3772</v>
      </c>
      <c r="H418" s="6">
        <v>17768.191999999999</v>
      </c>
    </row>
    <row r="419" spans="1:8" ht="15.75" hidden="1" customHeight="1" x14ac:dyDescent="0.35">
      <c r="A419" s="15"/>
      <c r="B419" s="3" t="s">
        <v>513</v>
      </c>
      <c r="C419" s="3" t="s">
        <v>3061</v>
      </c>
      <c r="D419" s="3" t="s">
        <v>861</v>
      </c>
      <c r="E419" s="3" t="s">
        <v>2202</v>
      </c>
      <c r="F419" s="3" t="s">
        <v>1365</v>
      </c>
      <c r="G419" s="3" t="s">
        <v>3772</v>
      </c>
      <c r="H419" s="6">
        <v>10598.655999999999</v>
      </c>
    </row>
    <row r="420" spans="1:8" ht="15.75" hidden="1" customHeight="1" x14ac:dyDescent="0.35">
      <c r="A420" s="15"/>
      <c r="B420" s="3" t="s">
        <v>514</v>
      </c>
      <c r="C420" s="3" t="s">
        <v>3062</v>
      </c>
      <c r="D420" s="3" t="s">
        <v>861</v>
      </c>
      <c r="E420" s="3" t="s">
        <v>2203</v>
      </c>
      <c r="F420" s="3" t="s">
        <v>1366</v>
      </c>
      <c r="G420" s="3" t="s">
        <v>5723</v>
      </c>
      <c r="H420" s="6">
        <v>47842.303999999996</v>
      </c>
    </row>
    <row r="421" spans="1:8" ht="15.75" hidden="1" customHeight="1" x14ac:dyDescent="0.35">
      <c r="A421" s="15"/>
      <c r="B421" s="3" t="s">
        <v>515</v>
      </c>
      <c r="C421" s="3" t="s">
        <v>3063</v>
      </c>
      <c r="D421" s="3" t="s">
        <v>861</v>
      </c>
      <c r="E421" s="3" t="s">
        <v>2204</v>
      </c>
      <c r="F421" s="3" t="s">
        <v>1367</v>
      </c>
      <c r="G421" s="3" t="s">
        <v>3773</v>
      </c>
      <c r="H421" s="6">
        <v>37759.231999999996</v>
      </c>
    </row>
    <row r="422" spans="1:8" ht="15.75" hidden="1" customHeight="1" x14ac:dyDescent="0.35">
      <c r="A422" s="15"/>
      <c r="B422" s="3" t="s">
        <v>516</v>
      </c>
      <c r="C422" s="3" t="s">
        <v>3064</v>
      </c>
      <c r="D422" s="3" t="s">
        <v>861</v>
      </c>
      <c r="E422" s="3" t="s">
        <v>2205</v>
      </c>
      <c r="F422" s="3" t="s">
        <v>1368</v>
      </c>
      <c r="G422" s="3" t="s">
        <v>3774</v>
      </c>
      <c r="H422" s="6">
        <v>47005.695999999996</v>
      </c>
    </row>
    <row r="423" spans="1:8" ht="15.75" hidden="1" customHeight="1" x14ac:dyDescent="0.35">
      <c r="A423" s="15"/>
      <c r="B423" s="3" t="s">
        <v>518</v>
      </c>
      <c r="C423" s="3" t="s">
        <v>3066</v>
      </c>
      <c r="D423" s="3" t="s">
        <v>861</v>
      </c>
      <c r="E423" s="3" t="s">
        <v>2207</v>
      </c>
      <c r="F423" s="3" t="s">
        <v>1370</v>
      </c>
      <c r="G423" s="3" t="s">
        <v>3775</v>
      </c>
      <c r="H423" s="6">
        <v>19674.271999999997</v>
      </c>
    </row>
    <row r="424" spans="1:8" ht="15.75" hidden="1" customHeight="1" x14ac:dyDescent="0.35">
      <c r="A424" s="15"/>
      <c r="B424" s="3" t="s">
        <v>520</v>
      </c>
      <c r="C424" s="3" t="s">
        <v>3068</v>
      </c>
      <c r="D424" s="3" t="s">
        <v>860</v>
      </c>
      <c r="E424" s="3" t="s">
        <v>2209</v>
      </c>
      <c r="F424" s="3" t="s">
        <v>1372</v>
      </c>
      <c r="G424" s="3" t="s">
        <v>3777</v>
      </c>
      <c r="H424" s="6">
        <v>60408.447999999997</v>
      </c>
    </row>
    <row r="425" spans="1:8" ht="15.75" hidden="1" customHeight="1" x14ac:dyDescent="0.35">
      <c r="A425" s="15"/>
      <c r="B425" s="3" t="s">
        <v>521</v>
      </c>
      <c r="C425" s="3" t="s">
        <v>3069</v>
      </c>
      <c r="D425" s="3" t="s">
        <v>861</v>
      </c>
      <c r="E425" s="3" t="s">
        <v>2210</v>
      </c>
      <c r="F425" s="3" t="s">
        <v>1373</v>
      </c>
      <c r="G425" s="3" t="s">
        <v>3778</v>
      </c>
      <c r="H425" s="6">
        <v>21434.432000000001</v>
      </c>
    </row>
    <row r="426" spans="1:8" ht="15.75" hidden="1" customHeight="1" x14ac:dyDescent="0.35">
      <c r="A426" s="15"/>
      <c r="B426" s="3" t="s">
        <v>522</v>
      </c>
      <c r="C426" s="3" t="s">
        <v>3070</v>
      </c>
      <c r="D426" s="3" t="s">
        <v>861</v>
      </c>
      <c r="E426" s="3" t="s">
        <v>2211</v>
      </c>
      <c r="F426" s="3" t="s">
        <v>1374</v>
      </c>
      <c r="G426" s="3" t="s">
        <v>3779</v>
      </c>
      <c r="H426" s="6">
        <v>42985.599999999999</v>
      </c>
    </row>
    <row r="427" spans="1:8" ht="15.75" hidden="1" customHeight="1" x14ac:dyDescent="0.35">
      <c r="A427" s="15"/>
      <c r="B427" s="3" t="s">
        <v>524</v>
      </c>
      <c r="C427" s="3" t="s">
        <v>3072</v>
      </c>
      <c r="D427" s="3" t="s">
        <v>860</v>
      </c>
      <c r="E427" s="3" t="s">
        <v>2213</v>
      </c>
      <c r="F427" s="3" t="s">
        <v>1376</v>
      </c>
      <c r="G427" s="3" t="s">
        <v>3780</v>
      </c>
      <c r="H427" s="6">
        <v>20137.567999999999</v>
      </c>
    </row>
    <row r="428" spans="1:8" ht="15.75" hidden="1" customHeight="1" x14ac:dyDescent="0.35">
      <c r="A428" s="15"/>
      <c r="B428" s="3" t="s">
        <v>525</v>
      </c>
      <c r="C428" s="3" t="s">
        <v>3073</v>
      </c>
      <c r="D428" s="3" t="s">
        <v>861</v>
      </c>
      <c r="E428" s="3" t="s">
        <v>2214</v>
      </c>
      <c r="F428" s="3" t="s">
        <v>1377</v>
      </c>
      <c r="G428" s="3" t="s">
        <v>3781</v>
      </c>
      <c r="H428" s="6">
        <v>19634.144</v>
      </c>
    </row>
    <row r="429" spans="1:8" ht="15.75" hidden="1" customHeight="1" x14ac:dyDescent="0.35">
      <c r="A429" s="15"/>
      <c r="B429" s="3" t="s">
        <v>526</v>
      </c>
      <c r="C429" s="3" t="s">
        <v>3074</v>
      </c>
      <c r="D429" s="3" t="s">
        <v>860</v>
      </c>
      <c r="E429" s="3" t="s">
        <v>2215</v>
      </c>
      <c r="F429" s="3" t="s">
        <v>1093</v>
      </c>
      <c r="G429" s="3" t="s">
        <v>3782</v>
      </c>
      <c r="H429" s="6">
        <v>35536.991999999998</v>
      </c>
    </row>
    <row r="430" spans="1:8" ht="15.75" hidden="1" customHeight="1" x14ac:dyDescent="0.35">
      <c r="A430" s="15"/>
      <c r="B430" s="3" t="s">
        <v>527</v>
      </c>
      <c r="C430" s="3" t="s">
        <v>3075</v>
      </c>
      <c r="D430" s="3" t="s">
        <v>860</v>
      </c>
      <c r="E430" s="3" t="s">
        <v>2216</v>
      </c>
      <c r="F430" s="3" t="s">
        <v>1378</v>
      </c>
      <c r="G430" s="3" t="s">
        <v>3783</v>
      </c>
      <c r="H430" s="6">
        <v>13030.655999999999</v>
      </c>
    </row>
    <row r="431" spans="1:8" ht="15.75" hidden="1" customHeight="1" x14ac:dyDescent="0.35">
      <c r="A431" s="15"/>
      <c r="B431" s="3" t="s">
        <v>533</v>
      </c>
      <c r="C431" s="3" t="s">
        <v>3081</v>
      </c>
      <c r="D431" s="3" t="s">
        <v>861</v>
      </c>
      <c r="E431" s="3" t="s">
        <v>2222</v>
      </c>
      <c r="F431" s="3" t="s">
        <v>1384</v>
      </c>
      <c r="G431" s="3" t="s">
        <v>3784</v>
      </c>
      <c r="H431" s="6">
        <v>68135.520000000004</v>
      </c>
    </row>
    <row r="432" spans="1:8" ht="15.75" hidden="1" customHeight="1" x14ac:dyDescent="0.35">
      <c r="A432" s="15"/>
      <c r="B432" s="3" t="s">
        <v>534</v>
      </c>
      <c r="C432" s="3" t="s">
        <v>3082</v>
      </c>
      <c r="D432" s="3" t="s">
        <v>860</v>
      </c>
      <c r="E432" s="3" t="s">
        <v>2223</v>
      </c>
      <c r="F432" s="3" t="s">
        <v>1385</v>
      </c>
      <c r="G432" s="3" t="s">
        <v>6003</v>
      </c>
      <c r="H432" s="6">
        <v>28512.159999999996</v>
      </c>
    </row>
    <row r="433" spans="1:8" ht="15.75" hidden="1" customHeight="1" x14ac:dyDescent="0.35">
      <c r="A433" s="15"/>
      <c r="B433" s="3" t="s">
        <v>536</v>
      </c>
      <c r="C433" s="3" t="s">
        <v>3084</v>
      </c>
      <c r="D433" s="3" t="s">
        <v>861</v>
      </c>
      <c r="E433" s="3" t="s">
        <v>2225</v>
      </c>
      <c r="F433" s="3" t="s">
        <v>1171</v>
      </c>
      <c r="G433" s="3" t="s">
        <v>3785</v>
      </c>
      <c r="H433" s="6">
        <v>35536.991999999998</v>
      </c>
    </row>
    <row r="434" spans="1:8" ht="15.75" hidden="1" customHeight="1" x14ac:dyDescent="0.35">
      <c r="A434" s="15"/>
      <c r="B434" s="3" t="s">
        <v>538</v>
      </c>
      <c r="C434" s="3" t="s">
        <v>3086</v>
      </c>
      <c r="D434" s="3" t="s">
        <v>860</v>
      </c>
      <c r="E434" s="3" t="s">
        <v>2227</v>
      </c>
      <c r="F434" s="3" t="s">
        <v>1388</v>
      </c>
      <c r="G434" s="3" t="s">
        <v>5713</v>
      </c>
      <c r="H434" s="6">
        <v>20019.007999999998</v>
      </c>
    </row>
    <row r="435" spans="1:8" ht="15.75" hidden="1" customHeight="1" x14ac:dyDescent="0.35">
      <c r="A435" s="15"/>
      <c r="B435" s="3" t="s">
        <v>539</v>
      </c>
      <c r="C435" s="3" t="s">
        <v>3087</v>
      </c>
      <c r="D435" s="3" t="s">
        <v>861</v>
      </c>
      <c r="E435" s="3" t="s">
        <v>2228</v>
      </c>
      <c r="F435" s="3" t="s">
        <v>1389</v>
      </c>
      <c r="G435" s="3" t="s">
        <v>3786</v>
      </c>
      <c r="H435" s="6">
        <v>24051.871999999996</v>
      </c>
    </row>
    <row r="436" spans="1:8" ht="15.75" hidden="1" customHeight="1" x14ac:dyDescent="0.35">
      <c r="A436" s="15"/>
      <c r="B436" s="3" t="s">
        <v>540</v>
      </c>
      <c r="C436" s="3" t="s">
        <v>3088</v>
      </c>
      <c r="D436" s="3" t="s">
        <v>861</v>
      </c>
      <c r="E436" s="3" t="s">
        <v>2229</v>
      </c>
      <c r="F436" s="3" t="s">
        <v>1390</v>
      </c>
      <c r="G436" s="3" t="s">
        <v>3787</v>
      </c>
      <c r="H436" s="6">
        <v>24228.191999999999</v>
      </c>
    </row>
    <row r="437" spans="1:8" ht="15.75" hidden="1" customHeight="1" x14ac:dyDescent="0.35">
      <c r="A437" s="15"/>
      <c r="B437" s="3" t="s">
        <v>541</v>
      </c>
      <c r="C437" s="3" t="s">
        <v>3089</v>
      </c>
      <c r="D437" s="3" t="s">
        <v>861</v>
      </c>
      <c r="E437" s="3" t="s">
        <v>2230</v>
      </c>
      <c r="F437" s="3" t="s">
        <v>1391</v>
      </c>
      <c r="G437" s="3" t="s">
        <v>3788</v>
      </c>
      <c r="H437" s="6">
        <v>22478.976000000002</v>
      </c>
    </row>
    <row r="438" spans="1:8" ht="15.75" hidden="1" customHeight="1" x14ac:dyDescent="0.35">
      <c r="A438" s="15"/>
      <c r="B438" s="3" t="s">
        <v>542</v>
      </c>
      <c r="C438" s="3" t="s">
        <v>3090</v>
      </c>
      <c r="D438" s="3" t="s">
        <v>861</v>
      </c>
      <c r="E438" s="3" t="s">
        <v>2231</v>
      </c>
      <c r="F438" s="3" t="s">
        <v>1392</v>
      </c>
      <c r="G438" s="3" t="s">
        <v>3788</v>
      </c>
      <c r="H438" s="6">
        <v>93596.127999999997</v>
      </c>
    </row>
    <row r="439" spans="1:8" ht="15.75" hidden="1" customHeight="1" x14ac:dyDescent="0.35">
      <c r="A439" s="15"/>
      <c r="B439" s="3" t="s">
        <v>543</v>
      </c>
      <c r="C439" s="3" t="s">
        <v>3091</v>
      </c>
      <c r="D439" s="3" t="s">
        <v>861</v>
      </c>
      <c r="E439" s="3" t="s">
        <v>2232</v>
      </c>
      <c r="F439" s="3" t="s">
        <v>1393</v>
      </c>
      <c r="G439" s="3" t="s">
        <v>3789</v>
      </c>
      <c r="H439" s="6">
        <v>32961.504000000001</v>
      </c>
    </row>
    <row r="440" spans="1:8" ht="15.75" hidden="1" customHeight="1" x14ac:dyDescent="0.35">
      <c r="A440" s="15"/>
      <c r="B440" s="3" t="s">
        <v>544</v>
      </c>
      <c r="C440" s="3" t="s">
        <v>3092</v>
      </c>
      <c r="D440" s="3" t="s">
        <v>861</v>
      </c>
      <c r="E440" s="3" t="s">
        <v>2233</v>
      </c>
      <c r="F440" s="3" t="s">
        <v>1394</v>
      </c>
      <c r="G440" s="3" t="s">
        <v>3790</v>
      </c>
      <c r="H440" s="6">
        <v>34871.231999999996</v>
      </c>
    </row>
    <row r="441" spans="1:8" ht="15.75" hidden="1" customHeight="1" x14ac:dyDescent="0.35">
      <c r="A441" s="15"/>
      <c r="B441" s="3" t="s">
        <v>545</v>
      </c>
      <c r="C441" s="3" t="s">
        <v>3093</v>
      </c>
      <c r="D441" s="3" t="s">
        <v>861</v>
      </c>
      <c r="E441" s="3" t="s">
        <v>2234</v>
      </c>
      <c r="F441" s="3" t="s">
        <v>1395</v>
      </c>
      <c r="G441" s="3" t="s">
        <v>3790</v>
      </c>
      <c r="H441" s="6">
        <v>11099.04</v>
      </c>
    </row>
    <row r="442" spans="1:8" ht="15.75" hidden="1" customHeight="1" x14ac:dyDescent="0.35">
      <c r="A442" s="15"/>
      <c r="B442" s="3" t="s">
        <v>546</v>
      </c>
      <c r="C442" s="3" t="s">
        <v>3094</v>
      </c>
      <c r="D442" s="3" t="s">
        <v>861</v>
      </c>
      <c r="E442" s="3" t="s">
        <v>2235</v>
      </c>
      <c r="F442" s="3" t="s">
        <v>1396</v>
      </c>
      <c r="G442" s="3" t="s">
        <v>5830</v>
      </c>
      <c r="H442" s="6">
        <v>22116.608</v>
      </c>
    </row>
    <row r="443" spans="1:8" ht="15.75" hidden="1" customHeight="1" x14ac:dyDescent="0.35">
      <c r="A443" s="15"/>
      <c r="B443" s="3" t="s">
        <v>548</v>
      </c>
      <c r="C443" s="3" t="s">
        <v>3096</v>
      </c>
      <c r="D443" s="3" t="s">
        <v>860</v>
      </c>
      <c r="E443" s="3" t="s">
        <v>2237</v>
      </c>
      <c r="F443" s="3" t="s">
        <v>1398</v>
      </c>
      <c r="G443" s="3" t="s">
        <v>3791</v>
      </c>
      <c r="H443" s="6">
        <v>18597.503999999997</v>
      </c>
    </row>
    <row r="444" spans="1:8" ht="15.75" hidden="1" customHeight="1" x14ac:dyDescent="0.35">
      <c r="A444" s="15"/>
      <c r="B444" s="3" t="s">
        <v>549</v>
      </c>
      <c r="C444" s="3" t="s">
        <v>3097</v>
      </c>
      <c r="D444" s="3" t="s">
        <v>860</v>
      </c>
      <c r="E444" s="3" t="s">
        <v>2238</v>
      </c>
      <c r="F444" s="3" t="s">
        <v>1399</v>
      </c>
      <c r="G444" s="3" t="s">
        <v>3792</v>
      </c>
      <c r="H444" s="6">
        <v>71168.238202879991</v>
      </c>
    </row>
    <row r="445" spans="1:8" ht="15.75" hidden="1" customHeight="1" x14ac:dyDescent="0.35">
      <c r="A445" s="15"/>
      <c r="B445" s="3" t="s">
        <v>550</v>
      </c>
      <c r="C445" s="3" t="s">
        <v>3098</v>
      </c>
      <c r="D445" s="3" t="s">
        <v>860</v>
      </c>
      <c r="E445" s="3" t="s">
        <v>2239</v>
      </c>
      <c r="F445" s="3" t="s">
        <v>1400</v>
      </c>
      <c r="G445" s="3" t="s">
        <v>3793</v>
      </c>
      <c r="H445" s="6">
        <v>13030.655999999999</v>
      </c>
    </row>
    <row r="446" spans="1:8" ht="15.75" hidden="1" customHeight="1" x14ac:dyDescent="0.35">
      <c r="A446" s="15"/>
      <c r="B446" s="3" t="s">
        <v>552</v>
      </c>
      <c r="C446" s="3" t="s">
        <v>3100</v>
      </c>
      <c r="D446" s="3" t="s">
        <v>860</v>
      </c>
      <c r="E446" s="3" t="s">
        <v>2241</v>
      </c>
      <c r="F446" s="3" t="s">
        <v>1402</v>
      </c>
      <c r="G446" s="3" t="s">
        <v>3794</v>
      </c>
      <c r="H446" s="6">
        <v>135542.04799999998</v>
      </c>
    </row>
    <row r="447" spans="1:8" ht="15.75" hidden="1" customHeight="1" x14ac:dyDescent="0.35">
      <c r="A447" s="15"/>
      <c r="B447" s="3" t="s">
        <v>553</v>
      </c>
      <c r="C447" s="3" t="s">
        <v>3101</v>
      </c>
      <c r="D447" s="3" t="s">
        <v>860</v>
      </c>
      <c r="E447" s="3" t="s">
        <v>2242</v>
      </c>
      <c r="F447" s="3" t="s">
        <v>1403</v>
      </c>
      <c r="G447" s="3" t="s">
        <v>3794</v>
      </c>
      <c r="H447" s="6">
        <v>74853.431441599998</v>
      </c>
    </row>
    <row r="448" spans="1:8" ht="15.75" hidden="1" customHeight="1" x14ac:dyDescent="0.35">
      <c r="A448" s="15"/>
      <c r="B448" s="3" t="s">
        <v>558</v>
      </c>
      <c r="C448" s="3" t="s">
        <v>3106</v>
      </c>
      <c r="D448" s="3" t="s">
        <v>861</v>
      </c>
      <c r="E448" s="3" t="s">
        <v>2247</v>
      </c>
      <c r="F448" s="3" t="s">
        <v>1408</v>
      </c>
      <c r="G448" s="3" t="s">
        <v>3795</v>
      </c>
      <c r="H448" s="6">
        <v>37598.112000000001</v>
      </c>
    </row>
    <row r="449" spans="1:8" ht="15.75" customHeight="1" x14ac:dyDescent="0.35">
      <c r="A449" s="15"/>
      <c r="B449" s="3" t="s">
        <v>559</v>
      </c>
      <c r="C449" s="3" t="s">
        <v>3107</v>
      </c>
      <c r="D449" s="3" t="s">
        <v>861</v>
      </c>
      <c r="E449" s="3" t="s">
        <v>2248</v>
      </c>
      <c r="F449" s="3" t="s">
        <v>1409</v>
      </c>
      <c r="G449" s="3" t="s">
        <v>3796</v>
      </c>
      <c r="H449" s="6">
        <v>29140.223999999998</v>
      </c>
    </row>
    <row r="450" spans="1:8" ht="15.75" hidden="1" customHeight="1" x14ac:dyDescent="0.35">
      <c r="A450" s="15"/>
      <c r="B450" s="3" t="s">
        <v>560</v>
      </c>
      <c r="C450" s="3" t="s">
        <v>3108</v>
      </c>
      <c r="D450" s="3" t="s">
        <v>861</v>
      </c>
      <c r="E450" s="3" t="s">
        <v>2249</v>
      </c>
      <c r="F450" s="3" t="s">
        <v>1410</v>
      </c>
      <c r="G450" s="3" t="s">
        <v>3797</v>
      </c>
      <c r="H450" s="6">
        <v>14950.72</v>
      </c>
    </row>
    <row r="451" spans="1:8" ht="15.75" hidden="1" customHeight="1" x14ac:dyDescent="0.35">
      <c r="A451" s="15"/>
      <c r="B451" s="3" t="s">
        <v>561</v>
      </c>
      <c r="C451" s="3" t="s">
        <v>3109</v>
      </c>
      <c r="D451" s="3" t="s">
        <v>860</v>
      </c>
      <c r="E451" s="3" t="s">
        <v>2250</v>
      </c>
      <c r="F451" s="3" t="s">
        <v>1411</v>
      </c>
      <c r="G451" s="3" t="s">
        <v>3797</v>
      </c>
      <c r="H451" s="6">
        <v>79730.079999999987</v>
      </c>
    </row>
    <row r="452" spans="1:8" ht="15.75" hidden="1" customHeight="1" x14ac:dyDescent="0.35">
      <c r="A452" s="15"/>
      <c r="B452" s="3" t="s">
        <v>564</v>
      </c>
      <c r="C452" s="3" t="s">
        <v>3112</v>
      </c>
      <c r="D452" s="3" t="s">
        <v>860</v>
      </c>
      <c r="E452" s="3" t="s">
        <v>2253</v>
      </c>
      <c r="F452" s="3" t="s">
        <v>1414</v>
      </c>
      <c r="G452" s="3" t="s">
        <v>3798</v>
      </c>
      <c r="H452" s="6">
        <v>22585.376</v>
      </c>
    </row>
    <row r="453" spans="1:8" ht="15.75" hidden="1" customHeight="1" x14ac:dyDescent="0.35">
      <c r="A453" s="15"/>
      <c r="B453" s="3" t="s">
        <v>565</v>
      </c>
      <c r="C453" s="3" t="s">
        <v>3113</v>
      </c>
      <c r="D453" s="3" t="s">
        <v>861</v>
      </c>
      <c r="E453" s="3" t="s">
        <v>2254</v>
      </c>
      <c r="F453" s="3" t="s">
        <v>1415</v>
      </c>
      <c r="G453" s="3" t="s">
        <v>5637</v>
      </c>
      <c r="H453" s="6">
        <v>36573.023999999998</v>
      </c>
    </row>
    <row r="454" spans="1:8" ht="15.75" hidden="1" customHeight="1" x14ac:dyDescent="0.35">
      <c r="A454" s="15"/>
      <c r="B454" s="3" t="s">
        <v>566</v>
      </c>
      <c r="C454" s="3" t="s">
        <v>3114</v>
      </c>
      <c r="D454" s="3" t="s">
        <v>861</v>
      </c>
      <c r="E454" s="3" t="s">
        <v>2255</v>
      </c>
      <c r="F454" s="3" t="s">
        <v>1416</v>
      </c>
      <c r="G454" s="3" t="s">
        <v>3798</v>
      </c>
      <c r="H454" s="6">
        <v>35913.952000000005</v>
      </c>
    </row>
    <row r="455" spans="1:8" ht="15.75" hidden="1" customHeight="1" x14ac:dyDescent="0.35">
      <c r="A455" s="15"/>
      <c r="B455" s="3" t="s">
        <v>567</v>
      </c>
      <c r="C455" s="3" t="s">
        <v>3115</v>
      </c>
      <c r="D455" s="3" t="s">
        <v>861</v>
      </c>
      <c r="E455" s="3" t="s">
        <v>2256</v>
      </c>
      <c r="F455" s="3" t="s">
        <v>1417</v>
      </c>
      <c r="G455" s="3" t="s">
        <v>6025</v>
      </c>
      <c r="H455" s="6">
        <v>36225.856</v>
      </c>
    </row>
    <row r="456" spans="1:8" ht="15.75" customHeight="1" x14ac:dyDescent="0.35">
      <c r="A456" s="15"/>
      <c r="B456" s="3" t="s">
        <v>3804</v>
      </c>
      <c r="C456" s="3" t="s">
        <v>3805</v>
      </c>
      <c r="D456" s="3" t="s">
        <v>861</v>
      </c>
      <c r="E456" s="3" t="s">
        <v>3806</v>
      </c>
      <c r="F456" s="3" t="s">
        <v>3807</v>
      </c>
      <c r="G456" s="3" t="s">
        <v>3808</v>
      </c>
      <c r="H456" s="6">
        <v>53852.991999999998</v>
      </c>
    </row>
    <row r="457" spans="1:8" ht="15.75" customHeight="1" x14ac:dyDescent="0.35">
      <c r="A457" s="15"/>
      <c r="B457" s="3" t="s">
        <v>3814</v>
      </c>
      <c r="C457" s="3" t="s">
        <v>3815</v>
      </c>
      <c r="D457" s="3" t="s">
        <v>860</v>
      </c>
      <c r="E457" s="3" t="s">
        <v>3816</v>
      </c>
      <c r="F457" s="3" t="s">
        <v>3817</v>
      </c>
      <c r="G457" s="3" t="s">
        <v>3818</v>
      </c>
      <c r="H457" s="6">
        <v>38660.896000000001</v>
      </c>
    </row>
    <row r="458" spans="1:8" ht="15.75" customHeight="1" x14ac:dyDescent="0.35">
      <c r="A458" s="15"/>
      <c r="B458" s="3" t="s">
        <v>3819</v>
      </c>
      <c r="C458" s="3" t="s">
        <v>3820</v>
      </c>
      <c r="D458" s="3" t="s">
        <v>860</v>
      </c>
      <c r="E458" s="3" t="s">
        <v>3821</v>
      </c>
      <c r="F458" s="3" t="s">
        <v>3822</v>
      </c>
      <c r="G458" s="3" t="s">
        <v>3823</v>
      </c>
      <c r="H458" s="6">
        <v>51072.303999999996</v>
      </c>
    </row>
    <row r="459" spans="1:8" ht="15.75" hidden="1" customHeight="1" x14ac:dyDescent="0.35">
      <c r="A459" s="15"/>
      <c r="B459" s="3" t="s">
        <v>569</v>
      </c>
      <c r="C459" s="3" t="s">
        <v>3117</v>
      </c>
      <c r="D459" s="3" t="s">
        <v>861</v>
      </c>
      <c r="E459" s="3" t="s">
        <v>2258</v>
      </c>
      <c r="F459" s="3" t="s">
        <v>1419</v>
      </c>
      <c r="G459" s="3" t="s">
        <v>3824</v>
      </c>
      <c r="H459" s="6">
        <v>35118.688000000002</v>
      </c>
    </row>
    <row r="460" spans="1:8" ht="15.75" customHeight="1" x14ac:dyDescent="0.35">
      <c r="A460" s="15"/>
      <c r="B460" s="3" t="s">
        <v>6026</v>
      </c>
      <c r="C460" s="3" t="s">
        <v>6027</v>
      </c>
      <c r="D460" s="3" t="s">
        <v>860</v>
      </c>
      <c r="E460" s="3" t="s">
        <v>6028</v>
      </c>
      <c r="F460" s="3" t="s">
        <v>6029</v>
      </c>
      <c r="G460" s="3" t="s">
        <v>3892</v>
      </c>
      <c r="H460" s="6">
        <v>36436.831999999995</v>
      </c>
    </row>
    <row r="461" spans="1:8" ht="15.75" hidden="1" customHeight="1" x14ac:dyDescent="0.35">
      <c r="A461" s="15"/>
      <c r="B461" s="3" t="s">
        <v>570</v>
      </c>
      <c r="C461" s="3" t="s">
        <v>3118</v>
      </c>
      <c r="D461" s="3" t="s">
        <v>860</v>
      </c>
      <c r="E461" s="3" t="s">
        <v>2259</v>
      </c>
      <c r="F461" s="3" t="s">
        <v>1420</v>
      </c>
      <c r="G461" s="3" t="s">
        <v>3825</v>
      </c>
      <c r="H461" s="6">
        <v>40354.175999999999</v>
      </c>
    </row>
    <row r="462" spans="1:8" ht="15.75" customHeight="1" x14ac:dyDescent="0.35">
      <c r="A462" s="15"/>
      <c r="B462" s="3" t="s">
        <v>6030</v>
      </c>
      <c r="C462" s="3" t="s">
        <v>6031</v>
      </c>
      <c r="D462" s="3" t="s">
        <v>861</v>
      </c>
      <c r="E462" s="3" t="s">
        <v>6032</v>
      </c>
      <c r="F462" s="3" t="s">
        <v>6033</v>
      </c>
      <c r="G462" s="3" t="s">
        <v>6034</v>
      </c>
      <c r="H462" s="6">
        <v>6354.8159999999998</v>
      </c>
    </row>
    <row r="463" spans="1:8" ht="15.75" hidden="1" customHeight="1" x14ac:dyDescent="0.35">
      <c r="A463" s="15"/>
      <c r="B463" s="3" t="s">
        <v>572</v>
      </c>
      <c r="C463" s="3" t="s">
        <v>3120</v>
      </c>
      <c r="D463" s="3" t="s">
        <v>861</v>
      </c>
      <c r="E463" s="3" t="s">
        <v>2261</v>
      </c>
      <c r="F463" s="3" t="s">
        <v>1422</v>
      </c>
      <c r="G463" s="3" t="s">
        <v>3826</v>
      </c>
      <c r="H463" s="6">
        <v>35209.279999999999</v>
      </c>
    </row>
    <row r="464" spans="1:8" ht="15.75" hidden="1" customHeight="1" x14ac:dyDescent="0.35">
      <c r="A464" s="15"/>
      <c r="B464" s="3" t="s">
        <v>573</v>
      </c>
      <c r="C464" s="3" t="s">
        <v>3121</v>
      </c>
      <c r="D464" s="3" t="s">
        <v>861</v>
      </c>
      <c r="E464" s="3" t="s">
        <v>2262</v>
      </c>
      <c r="F464" s="3" t="s">
        <v>1423</v>
      </c>
      <c r="G464" s="3" t="s">
        <v>3827</v>
      </c>
      <c r="H464" s="6">
        <v>14465.535999999998</v>
      </c>
    </row>
    <row r="465" spans="1:8" ht="15.75" customHeight="1" x14ac:dyDescent="0.35">
      <c r="A465" s="15"/>
      <c r="B465" s="3" t="s">
        <v>575</v>
      </c>
      <c r="C465" s="3" t="s">
        <v>3123</v>
      </c>
      <c r="D465" s="3" t="s">
        <v>861</v>
      </c>
      <c r="E465" s="3" t="s">
        <v>2264</v>
      </c>
      <c r="F465" s="3" t="s">
        <v>1425</v>
      </c>
      <c r="G465" s="3" t="s">
        <v>3828</v>
      </c>
      <c r="H465" s="6">
        <v>22241.856</v>
      </c>
    </row>
    <row r="466" spans="1:8" ht="15.75" hidden="1" customHeight="1" x14ac:dyDescent="0.35">
      <c r="A466" s="15"/>
      <c r="B466" s="3" t="s">
        <v>576</v>
      </c>
      <c r="C466" s="3" t="s">
        <v>3124</v>
      </c>
      <c r="D466" s="3" t="s">
        <v>860</v>
      </c>
      <c r="E466" s="3" t="s">
        <v>2265</v>
      </c>
      <c r="F466" s="3" t="s">
        <v>1426</v>
      </c>
      <c r="G466" s="3" t="s">
        <v>3829</v>
      </c>
      <c r="H466" s="6">
        <v>33725.760000000002</v>
      </c>
    </row>
    <row r="467" spans="1:8" ht="15.75" hidden="1" customHeight="1" x14ac:dyDescent="0.35">
      <c r="A467" s="15"/>
      <c r="B467" s="3" t="s">
        <v>577</v>
      </c>
      <c r="C467" s="3" t="s">
        <v>3125</v>
      </c>
      <c r="D467" s="3" t="s">
        <v>861</v>
      </c>
      <c r="E467" s="3" t="s">
        <v>2266</v>
      </c>
      <c r="F467" s="3" t="s">
        <v>1427</v>
      </c>
      <c r="G467" s="3" t="s">
        <v>5799</v>
      </c>
      <c r="H467" s="6">
        <v>14663.135999999999</v>
      </c>
    </row>
    <row r="468" spans="1:8" ht="15.75" hidden="1" customHeight="1" x14ac:dyDescent="0.35">
      <c r="A468" s="15"/>
      <c r="B468" s="3" t="s">
        <v>578</v>
      </c>
      <c r="C468" s="3" t="s">
        <v>3126</v>
      </c>
      <c r="D468" s="3" t="s">
        <v>860</v>
      </c>
      <c r="E468" s="3" t="s">
        <v>2267</v>
      </c>
      <c r="F468" s="3" t="s">
        <v>1428</v>
      </c>
      <c r="G468" s="3" t="s">
        <v>3830</v>
      </c>
      <c r="H468" s="6">
        <v>12677.407999999999</v>
      </c>
    </row>
    <row r="469" spans="1:8" ht="15.75" hidden="1" customHeight="1" x14ac:dyDescent="0.35">
      <c r="A469" s="15"/>
      <c r="B469" s="3" t="s">
        <v>579</v>
      </c>
      <c r="C469" s="3" t="s">
        <v>3127</v>
      </c>
      <c r="D469" s="3" t="s">
        <v>860</v>
      </c>
      <c r="E469" s="3" t="s">
        <v>2268</v>
      </c>
      <c r="F469" s="3" t="s">
        <v>1429</v>
      </c>
      <c r="G469" s="3" t="s">
        <v>3831</v>
      </c>
      <c r="H469" s="6">
        <v>91119.744000000006</v>
      </c>
    </row>
    <row r="470" spans="1:8" ht="15.75" customHeight="1" x14ac:dyDescent="0.35">
      <c r="A470" s="15"/>
      <c r="B470" s="3" t="s">
        <v>581</v>
      </c>
      <c r="C470" s="3" t="s">
        <v>3129</v>
      </c>
      <c r="D470" s="3" t="s">
        <v>861</v>
      </c>
      <c r="E470" s="3" t="s">
        <v>2270</v>
      </c>
      <c r="F470" s="3" t="s">
        <v>1431</v>
      </c>
      <c r="G470" s="3" t="s">
        <v>3832</v>
      </c>
      <c r="H470" s="6">
        <v>15480.288</v>
      </c>
    </row>
    <row r="471" spans="1:8" ht="15.75" hidden="1" customHeight="1" x14ac:dyDescent="0.35">
      <c r="A471" s="15"/>
      <c r="B471" s="3" t="s">
        <v>582</v>
      </c>
      <c r="C471" s="3" t="s">
        <v>3130</v>
      </c>
      <c r="D471" s="3" t="s">
        <v>861</v>
      </c>
      <c r="E471" s="3" t="s">
        <v>2271</v>
      </c>
      <c r="F471" s="3" t="s">
        <v>1427</v>
      </c>
      <c r="G471" s="3" t="s">
        <v>3833</v>
      </c>
      <c r="H471" s="6">
        <v>20122.367999999999</v>
      </c>
    </row>
    <row r="472" spans="1:8" ht="15.75" hidden="1" customHeight="1" x14ac:dyDescent="0.35">
      <c r="A472" s="15"/>
      <c r="B472" s="3" t="s">
        <v>583</v>
      </c>
      <c r="C472" s="3" t="s">
        <v>3131</v>
      </c>
      <c r="D472" s="3" t="s">
        <v>861</v>
      </c>
      <c r="E472" s="3" t="s">
        <v>2272</v>
      </c>
      <c r="F472" s="3" t="s">
        <v>1432</v>
      </c>
      <c r="G472" s="3" t="s">
        <v>3833</v>
      </c>
      <c r="H472" s="6">
        <v>102510.01599999999</v>
      </c>
    </row>
    <row r="473" spans="1:8" ht="15.75" hidden="1" customHeight="1" x14ac:dyDescent="0.35">
      <c r="A473" s="15"/>
      <c r="B473" s="3" t="s">
        <v>584</v>
      </c>
      <c r="C473" s="3" t="s">
        <v>3132</v>
      </c>
      <c r="D473" s="3" t="s">
        <v>861</v>
      </c>
      <c r="E473" s="3" t="s">
        <v>2273</v>
      </c>
      <c r="F473" s="3" t="s">
        <v>1433</v>
      </c>
      <c r="G473" s="3" t="s">
        <v>3834</v>
      </c>
      <c r="H473" s="6">
        <v>82966.463999999993</v>
      </c>
    </row>
    <row r="474" spans="1:8" ht="15.75" hidden="1" customHeight="1" x14ac:dyDescent="0.35">
      <c r="A474" s="15"/>
      <c r="B474" s="3" t="s">
        <v>587</v>
      </c>
      <c r="C474" s="3" t="s">
        <v>3135</v>
      </c>
      <c r="D474" s="3" t="s">
        <v>860</v>
      </c>
      <c r="E474" s="3" t="s">
        <v>2276</v>
      </c>
      <c r="F474" s="3" t="s">
        <v>1436</v>
      </c>
      <c r="G474" s="3" t="s">
        <v>3835</v>
      </c>
      <c r="H474" s="6">
        <v>60240.639999999992</v>
      </c>
    </row>
    <row r="475" spans="1:8" ht="15.75" hidden="1" customHeight="1" x14ac:dyDescent="0.35">
      <c r="A475" s="15"/>
      <c r="B475" s="3" t="s">
        <v>588</v>
      </c>
      <c r="C475" s="3" t="s">
        <v>3136</v>
      </c>
      <c r="D475" s="3" t="s">
        <v>861</v>
      </c>
      <c r="E475" s="3" t="s">
        <v>2277</v>
      </c>
      <c r="F475" s="3" t="s">
        <v>1437</v>
      </c>
      <c r="G475" s="3" t="s">
        <v>5475</v>
      </c>
      <c r="H475" s="6">
        <v>36217.343999999997</v>
      </c>
    </row>
    <row r="476" spans="1:8" ht="15.75" hidden="1" customHeight="1" x14ac:dyDescent="0.35">
      <c r="A476" s="15"/>
      <c r="B476" s="3" t="s">
        <v>593</v>
      </c>
      <c r="C476" s="3" t="s">
        <v>3141</v>
      </c>
      <c r="D476" s="3" t="s">
        <v>860</v>
      </c>
      <c r="E476" s="3" t="s">
        <v>2282</v>
      </c>
      <c r="F476" s="3" t="s">
        <v>1442</v>
      </c>
      <c r="G476" s="3" t="s">
        <v>3836</v>
      </c>
      <c r="H476" s="6">
        <v>20913.984</v>
      </c>
    </row>
    <row r="477" spans="1:8" ht="15.75" hidden="1" customHeight="1" x14ac:dyDescent="0.35">
      <c r="A477" s="15"/>
      <c r="B477" s="3" t="s">
        <v>594</v>
      </c>
      <c r="C477" s="3" t="s">
        <v>3142</v>
      </c>
      <c r="D477" s="3" t="s">
        <v>861</v>
      </c>
      <c r="E477" s="3" t="s">
        <v>2283</v>
      </c>
      <c r="F477" s="3" t="s">
        <v>1443</v>
      </c>
      <c r="G477" s="3" t="s">
        <v>3837</v>
      </c>
      <c r="H477" s="6">
        <v>126150.272</v>
      </c>
    </row>
    <row r="478" spans="1:8" ht="15.75" hidden="1" customHeight="1" x14ac:dyDescent="0.35">
      <c r="A478" s="15"/>
      <c r="B478" s="3" t="s">
        <v>595</v>
      </c>
      <c r="C478" s="3" t="s">
        <v>3143</v>
      </c>
      <c r="D478" s="3" t="s">
        <v>860</v>
      </c>
      <c r="E478" s="3" t="s">
        <v>2284</v>
      </c>
      <c r="F478" s="3" t="s">
        <v>1444</v>
      </c>
      <c r="G478" s="3" t="s">
        <v>5689</v>
      </c>
      <c r="H478" s="6">
        <v>35996.639999999992</v>
      </c>
    </row>
    <row r="479" spans="1:8" ht="15.75" hidden="1" customHeight="1" x14ac:dyDescent="0.35">
      <c r="A479" s="15"/>
      <c r="B479" s="3" t="s">
        <v>598</v>
      </c>
      <c r="C479" s="3" t="s">
        <v>3146</v>
      </c>
      <c r="D479" s="3" t="s">
        <v>860</v>
      </c>
      <c r="E479" s="3" t="s">
        <v>2287</v>
      </c>
      <c r="F479" s="3" t="s">
        <v>1447</v>
      </c>
      <c r="G479" s="3" t="s">
        <v>3838</v>
      </c>
      <c r="H479" s="6">
        <v>43069.504000000001</v>
      </c>
    </row>
    <row r="480" spans="1:8" ht="15.75" hidden="1" customHeight="1" x14ac:dyDescent="0.35">
      <c r="A480" s="15"/>
      <c r="B480" s="3" t="s">
        <v>599</v>
      </c>
      <c r="C480" s="3" t="s">
        <v>3147</v>
      </c>
      <c r="D480" s="3" t="s">
        <v>861</v>
      </c>
      <c r="E480" s="3" t="s">
        <v>2288</v>
      </c>
      <c r="F480" s="3" t="s">
        <v>1448</v>
      </c>
      <c r="G480" s="3" t="s">
        <v>3839</v>
      </c>
      <c r="H480" s="6">
        <v>10761.6</v>
      </c>
    </row>
    <row r="481" spans="1:8" ht="15.75" hidden="1" customHeight="1" x14ac:dyDescent="0.35">
      <c r="A481" s="15"/>
      <c r="B481" s="3" t="s">
        <v>600</v>
      </c>
      <c r="C481" s="3" t="s">
        <v>3148</v>
      </c>
      <c r="D481" s="3" t="s">
        <v>861</v>
      </c>
      <c r="E481" s="3" t="s">
        <v>2289</v>
      </c>
      <c r="F481" s="3" t="s">
        <v>1449</v>
      </c>
      <c r="G481" s="3" t="s">
        <v>3838</v>
      </c>
      <c r="H481" s="6">
        <v>14468.575999999999</v>
      </c>
    </row>
    <row r="482" spans="1:8" ht="15.75" hidden="1" customHeight="1" x14ac:dyDescent="0.35">
      <c r="A482" s="15"/>
      <c r="B482" s="3" t="s">
        <v>604</v>
      </c>
      <c r="C482" s="3" t="s">
        <v>3152</v>
      </c>
      <c r="D482" s="3" t="s">
        <v>861</v>
      </c>
      <c r="E482" s="3" t="s">
        <v>2293</v>
      </c>
      <c r="F482" s="3" t="s">
        <v>1453</v>
      </c>
      <c r="G482" s="3" t="s">
        <v>3840</v>
      </c>
      <c r="H482" s="6">
        <v>14787.168</v>
      </c>
    </row>
    <row r="483" spans="1:8" ht="15.75" hidden="1" customHeight="1" x14ac:dyDescent="0.35">
      <c r="A483" s="15"/>
      <c r="B483" s="3" t="s">
        <v>607</v>
      </c>
      <c r="C483" s="3" t="s">
        <v>3155</v>
      </c>
      <c r="D483" s="3" t="s">
        <v>861</v>
      </c>
      <c r="E483" s="3" t="s">
        <v>2296</v>
      </c>
      <c r="F483" s="3" t="s">
        <v>1456</v>
      </c>
      <c r="G483" s="3" t="s">
        <v>3841</v>
      </c>
      <c r="H483" s="6">
        <v>13194.207999999999</v>
      </c>
    </row>
    <row r="484" spans="1:8" ht="15.75" hidden="1" customHeight="1" x14ac:dyDescent="0.35">
      <c r="A484" s="15"/>
      <c r="B484" s="3" t="s">
        <v>609</v>
      </c>
      <c r="C484" s="3" t="s">
        <v>3157</v>
      </c>
      <c r="D484" s="3" t="s">
        <v>861</v>
      </c>
      <c r="E484" s="3" t="s">
        <v>2298</v>
      </c>
      <c r="F484" s="3" t="s">
        <v>1458</v>
      </c>
      <c r="G484" s="3" t="s">
        <v>3842</v>
      </c>
      <c r="H484" s="6">
        <v>25484.928</v>
      </c>
    </row>
    <row r="485" spans="1:8" ht="15.75" hidden="1" customHeight="1" x14ac:dyDescent="0.35">
      <c r="A485" s="15"/>
      <c r="B485" s="3" t="s">
        <v>610</v>
      </c>
      <c r="C485" s="3" t="s">
        <v>3158</v>
      </c>
      <c r="D485" s="3" t="s">
        <v>860</v>
      </c>
      <c r="E485" s="3" t="s">
        <v>2299</v>
      </c>
      <c r="F485" s="3" t="s">
        <v>1459</v>
      </c>
      <c r="G485" s="3" t="s">
        <v>3842</v>
      </c>
      <c r="H485" s="6">
        <v>88043.871999999988</v>
      </c>
    </row>
    <row r="486" spans="1:8" ht="15.75" hidden="1" customHeight="1" x14ac:dyDescent="0.35">
      <c r="A486" s="15"/>
      <c r="B486" s="3" t="s">
        <v>611</v>
      </c>
      <c r="C486" s="3" t="s">
        <v>3159</v>
      </c>
      <c r="D486" s="3" t="s">
        <v>861</v>
      </c>
      <c r="E486" s="3" t="s">
        <v>2300</v>
      </c>
      <c r="F486" s="3" t="s">
        <v>1460</v>
      </c>
      <c r="G486" s="3" t="s">
        <v>3843</v>
      </c>
      <c r="H486" s="6">
        <v>19684.608</v>
      </c>
    </row>
    <row r="487" spans="1:8" ht="15.75" hidden="1" customHeight="1" x14ac:dyDescent="0.35">
      <c r="A487" s="15"/>
      <c r="B487" s="3" t="s">
        <v>612</v>
      </c>
      <c r="C487" s="3" t="s">
        <v>3160</v>
      </c>
      <c r="D487" s="3" t="s">
        <v>861</v>
      </c>
      <c r="E487" s="3" t="s">
        <v>2301</v>
      </c>
      <c r="F487" s="3" t="s">
        <v>1461</v>
      </c>
      <c r="G487" s="3" t="s">
        <v>3844</v>
      </c>
      <c r="H487" s="6">
        <v>39503.584000000003</v>
      </c>
    </row>
    <row r="488" spans="1:8" ht="15.75" hidden="1" customHeight="1" x14ac:dyDescent="0.35">
      <c r="A488" s="15"/>
      <c r="B488" s="3" t="s">
        <v>613</v>
      </c>
      <c r="C488" s="3" t="s">
        <v>3161</v>
      </c>
      <c r="D488" s="3" t="s">
        <v>861</v>
      </c>
      <c r="E488" s="3" t="s">
        <v>2302</v>
      </c>
      <c r="F488" s="3" t="s">
        <v>1462</v>
      </c>
      <c r="G488" s="3" t="s">
        <v>3845</v>
      </c>
      <c r="H488" s="6">
        <v>17062.304</v>
      </c>
    </row>
    <row r="489" spans="1:8" ht="15.75" hidden="1" customHeight="1" x14ac:dyDescent="0.35">
      <c r="A489" s="15"/>
      <c r="B489" s="3" t="s">
        <v>615</v>
      </c>
      <c r="C489" s="3" t="s">
        <v>3163</v>
      </c>
      <c r="D489" s="3" t="s">
        <v>861</v>
      </c>
      <c r="E489" s="3" t="s">
        <v>2304</v>
      </c>
      <c r="F489" s="3" t="s">
        <v>1464</v>
      </c>
      <c r="G489" s="3" t="s">
        <v>3846</v>
      </c>
      <c r="H489" s="6">
        <v>38227.392</v>
      </c>
    </row>
    <row r="490" spans="1:8" ht="15.75" hidden="1" customHeight="1" x14ac:dyDescent="0.35">
      <c r="A490" s="15"/>
      <c r="B490" s="3" t="s">
        <v>616</v>
      </c>
      <c r="C490" s="3" t="s">
        <v>3164</v>
      </c>
      <c r="D490" s="3" t="s">
        <v>860</v>
      </c>
      <c r="E490" s="3" t="s">
        <v>2305</v>
      </c>
      <c r="F490" s="3" t="s">
        <v>1465</v>
      </c>
      <c r="G490" s="3" t="s">
        <v>3847</v>
      </c>
      <c r="H490" s="6">
        <v>16239.68</v>
      </c>
    </row>
    <row r="491" spans="1:8" ht="15.75" hidden="1" customHeight="1" x14ac:dyDescent="0.35">
      <c r="A491" s="15"/>
      <c r="B491" s="3" t="s">
        <v>617</v>
      </c>
      <c r="C491" s="3" t="s">
        <v>3165</v>
      </c>
      <c r="D491" s="3" t="s">
        <v>860</v>
      </c>
      <c r="E491" s="3" t="s">
        <v>2306</v>
      </c>
      <c r="F491" s="3" t="s">
        <v>1466</v>
      </c>
      <c r="G491" s="3" t="s">
        <v>3848</v>
      </c>
      <c r="H491" s="6">
        <v>15583.647999999999</v>
      </c>
    </row>
    <row r="492" spans="1:8" ht="15.75" hidden="1" customHeight="1" x14ac:dyDescent="0.35">
      <c r="A492" s="15"/>
      <c r="B492" s="3" t="s">
        <v>619</v>
      </c>
      <c r="C492" s="3" t="s">
        <v>3167</v>
      </c>
      <c r="D492" s="3" t="s">
        <v>861</v>
      </c>
      <c r="E492" s="3" t="s">
        <v>2308</v>
      </c>
      <c r="F492" s="3" t="s">
        <v>1468</v>
      </c>
      <c r="G492" s="3" t="s">
        <v>3849</v>
      </c>
      <c r="H492" s="6">
        <v>19020.671999999999</v>
      </c>
    </row>
    <row r="493" spans="1:8" ht="15.75" hidden="1" customHeight="1" x14ac:dyDescent="0.35">
      <c r="A493" s="15"/>
      <c r="B493" s="3" t="s">
        <v>620</v>
      </c>
      <c r="C493" s="3" t="s">
        <v>3168</v>
      </c>
      <c r="D493" s="3" t="s">
        <v>860</v>
      </c>
      <c r="E493" s="3" t="s">
        <v>2309</v>
      </c>
      <c r="F493" s="3" t="s">
        <v>1469</v>
      </c>
      <c r="G493" s="3" t="s">
        <v>3850</v>
      </c>
      <c r="H493" s="6">
        <v>121053.408</v>
      </c>
    </row>
    <row r="494" spans="1:8" ht="15.75" hidden="1" customHeight="1" x14ac:dyDescent="0.35">
      <c r="A494" s="15"/>
      <c r="B494" s="3" t="s">
        <v>623</v>
      </c>
      <c r="C494" s="3" t="s">
        <v>3171</v>
      </c>
      <c r="D494" s="3" t="s">
        <v>861</v>
      </c>
      <c r="E494" s="3" t="s">
        <v>2312</v>
      </c>
      <c r="F494" s="3" t="s">
        <v>1472</v>
      </c>
      <c r="G494" s="3" t="s">
        <v>3851</v>
      </c>
      <c r="H494" s="6">
        <v>56873.535999999993</v>
      </c>
    </row>
    <row r="495" spans="1:8" ht="15.75" hidden="1" customHeight="1" x14ac:dyDescent="0.35">
      <c r="A495" s="15"/>
      <c r="B495" s="3" t="s">
        <v>624</v>
      </c>
      <c r="C495" s="3" t="s">
        <v>3172</v>
      </c>
      <c r="D495" s="3" t="s">
        <v>861</v>
      </c>
      <c r="E495" s="3" t="s">
        <v>2313</v>
      </c>
      <c r="F495" s="3" t="s">
        <v>1473</v>
      </c>
      <c r="G495" s="3" t="s">
        <v>3851</v>
      </c>
      <c r="H495" s="6">
        <v>56873.535999999993</v>
      </c>
    </row>
    <row r="496" spans="1:8" ht="15.75" hidden="1" customHeight="1" x14ac:dyDescent="0.35">
      <c r="A496" s="15"/>
      <c r="B496" s="3" t="s">
        <v>625</v>
      </c>
      <c r="C496" s="3" t="s">
        <v>3173</v>
      </c>
      <c r="D496" s="3" t="s">
        <v>860</v>
      </c>
      <c r="E496" s="3" t="s">
        <v>2314</v>
      </c>
      <c r="F496" s="3" t="s">
        <v>1474</v>
      </c>
      <c r="G496" s="3" t="s">
        <v>3852</v>
      </c>
      <c r="H496" s="6">
        <v>19559.967999999997</v>
      </c>
    </row>
    <row r="497" spans="1:8" ht="15.75" hidden="1" customHeight="1" x14ac:dyDescent="0.35">
      <c r="A497" s="15"/>
      <c r="B497" s="3" t="s">
        <v>626</v>
      </c>
      <c r="C497" s="3" t="s">
        <v>3174</v>
      </c>
      <c r="D497" s="3" t="s">
        <v>861</v>
      </c>
      <c r="E497" s="3" t="s">
        <v>2315</v>
      </c>
      <c r="F497" s="3" t="s">
        <v>1475</v>
      </c>
      <c r="G497" s="3" t="s">
        <v>3851</v>
      </c>
      <c r="H497" s="6">
        <v>91121.567999999999</v>
      </c>
    </row>
    <row r="498" spans="1:8" ht="15.75" hidden="1" customHeight="1" x14ac:dyDescent="0.35">
      <c r="A498" s="15"/>
      <c r="B498" s="3" t="s">
        <v>628</v>
      </c>
      <c r="C498" s="3" t="s">
        <v>3176</v>
      </c>
      <c r="D498" s="3" t="s">
        <v>860</v>
      </c>
      <c r="E498" s="3" t="s">
        <v>2317</v>
      </c>
      <c r="F498" s="3" t="s">
        <v>1477</v>
      </c>
      <c r="G498" s="3" t="s">
        <v>3852</v>
      </c>
      <c r="H498" s="6">
        <v>32470.847999999994</v>
      </c>
    </row>
    <row r="499" spans="1:8" ht="15.75" hidden="1" customHeight="1" x14ac:dyDescent="0.35">
      <c r="A499" s="15"/>
      <c r="B499" s="3" t="s">
        <v>630</v>
      </c>
      <c r="C499" s="3" t="s">
        <v>3178</v>
      </c>
      <c r="D499" s="3" t="s">
        <v>861</v>
      </c>
      <c r="E499" s="3" t="s">
        <v>2319</v>
      </c>
      <c r="F499" s="3" t="s">
        <v>1479</v>
      </c>
      <c r="G499" s="3" t="s">
        <v>3851</v>
      </c>
      <c r="H499" s="6">
        <v>27476.128000000001</v>
      </c>
    </row>
    <row r="500" spans="1:8" ht="15.75" hidden="1" customHeight="1" x14ac:dyDescent="0.35">
      <c r="A500" s="15"/>
      <c r="B500" s="3" t="s">
        <v>632</v>
      </c>
      <c r="C500" s="3" t="s">
        <v>3180</v>
      </c>
      <c r="D500" s="3" t="s">
        <v>861</v>
      </c>
      <c r="E500" s="3" t="s">
        <v>2321</v>
      </c>
      <c r="F500" s="3" t="s">
        <v>1481</v>
      </c>
      <c r="G500" s="3" t="s">
        <v>3853</v>
      </c>
      <c r="H500" s="6">
        <v>61588.576000000001</v>
      </c>
    </row>
    <row r="501" spans="1:8" ht="15.75" hidden="1" customHeight="1" x14ac:dyDescent="0.35">
      <c r="A501" s="15"/>
      <c r="B501" s="3" t="s">
        <v>635</v>
      </c>
      <c r="C501" s="3" t="s">
        <v>3183</v>
      </c>
      <c r="D501" s="3" t="s">
        <v>860</v>
      </c>
      <c r="E501" s="3" t="s">
        <v>2324</v>
      </c>
      <c r="F501" s="3" t="s">
        <v>1484</v>
      </c>
      <c r="G501" s="3" t="s">
        <v>3854</v>
      </c>
      <c r="H501" s="6">
        <v>12913.92</v>
      </c>
    </row>
    <row r="502" spans="1:8" ht="15.75" hidden="1" customHeight="1" x14ac:dyDescent="0.35">
      <c r="A502" s="15"/>
      <c r="B502" s="3" t="s">
        <v>636</v>
      </c>
      <c r="C502" s="3" t="s">
        <v>3184</v>
      </c>
      <c r="D502" s="3" t="s">
        <v>861</v>
      </c>
      <c r="E502" s="3" t="s">
        <v>2325</v>
      </c>
      <c r="F502" s="3" t="s">
        <v>1485</v>
      </c>
      <c r="G502" s="3" t="s">
        <v>3851</v>
      </c>
      <c r="H502" s="6">
        <v>11083.84</v>
      </c>
    </row>
    <row r="503" spans="1:8" ht="15.75" hidden="1" customHeight="1" x14ac:dyDescent="0.35">
      <c r="A503" s="15"/>
      <c r="B503" s="3" t="s">
        <v>637</v>
      </c>
      <c r="C503" s="3" t="s">
        <v>3185</v>
      </c>
      <c r="D503" s="3" t="s">
        <v>861</v>
      </c>
      <c r="E503" s="3" t="s">
        <v>2326</v>
      </c>
      <c r="F503" s="3" t="s">
        <v>1486</v>
      </c>
      <c r="G503" s="3" t="s">
        <v>3855</v>
      </c>
      <c r="H503" s="6">
        <v>21611.967999999997</v>
      </c>
    </row>
    <row r="504" spans="1:8" ht="15.75" hidden="1" customHeight="1" x14ac:dyDescent="0.35">
      <c r="A504" s="15"/>
      <c r="B504" s="3" t="s">
        <v>638</v>
      </c>
      <c r="C504" s="3" t="s">
        <v>3186</v>
      </c>
      <c r="D504" s="3" t="s">
        <v>861</v>
      </c>
      <c r="E504" s="3" t="s">
        <v>2327</v>
      </c>
      <c r="F504" s="3" t="s">
        <v>1487</v>
      </c>
      <c r="G504" s="3" t="s">
        <v>3856</v>
      </c>
      <c r="H504" s="6">
        <v>22476.543999999998</v>
      </c>
    </row>
    <row r="505" spans="1:8" ht="15.75" hidden="1" customHeight="1" x14ac:dyDescent="0.35">
      <c r="A505" s="15"/>
      <c r="B505" s="3" t="s">
        <v>639</v>
      </c>
      <c r="C505" s="3" t="s">
        <v>3187</v>
      </c>
      <c r="D505" s="3" t="s">
        <v>861</v>
      </c>
      <c r="E505" s="3" t="s">
        <v>2328</v>
      </c>
      <c r="F505" s="3" t="s">
        <v>1488</v>
      </c>
      <c r="G505" s="3" t="s">
        <v>3857</v>
      </c>
      <c r="H505" s="6">
        <v>22476.543999999998</v>
      </c>
    </row>
    <row r="506" spans="1:8" ht="15.75" hidden="1" customHeight="1" x14ac:dyDescent="0.35">
      <c r="A506" s="15"/>
      <c r="B506" s="3" t="s">
        <v>643</v>
      </c>
      <c r="C506" s="3" t="s">
        <v>3191</v>
      </c>
      <c r="D506" s="3" t="s">
        <v>860</v>
      </c>
      <c r="E506" s="3" t="s">
        <v>2332</v>
      </c>
      <c r="F506" s="3" t="s">
        <v>1491</v>
      </c>
      <c r="G506" s="3" t="s">
        <v>3858</v>
      </c>
      <c r="H506" s="6">
        <v>82685.567999999999</v>
      </c>
    </row>
    <row r="507" spans="1:8" ht="15.75" hidden="1" customHeight="1" x14ac:dyDescent="0.35">
      <c r="A507" s="15"/>
      <c r="B507" s="3" t="s">
        <v>644</v>
      </c>
      <c r="C507" s="3" t="s">
        <v>3192</v>
      </c>
      <c r="D507" s="3" t="s">
        <v>860</v>
      </c>
      <c r="E507" s="3" t="s">
        <v>2333</v>
      </c>
      <c r="F507" s="3" t="s">
        <v>1492</v>
      </c>
      <c r="G507" s="3" t="s">
        <v>5841</v>
      </c>
      <c r="H507" s="6">
        <v>22749.536</v>
      </c>
    </row>
    <row r="508" spans="1:8" ht="15.75" hidden="1" customHeight="1" x14ac:dyDescent="0.35">
      <c r="A508" s="15"/>
      <c r="B508" s="3" t="s">
        <v>645</v>
      </c>
      <c r="C508" s="3" t="s">
        <v>3193</v>
      </c>
      <c r="D508" s="3" t="s">
        <v>860</v>
      </c>
      <c r="E508" s="3" t="s">
        <v>2334</v>
      </c>
      <c r="F508" s="3" t="s">
        <v>1493</v>
      </c>
      <c r="G508" s="3" t="s">
        <v>3859</v>
      </c>
      <c r="H508" s="6">
        <v>81367.423999999999</v>
      </c>
    </row>
    <row r="509" spans="1:8" ht="15.75" hidden="1" customHeight="1" x14ac:dyDescent="0.35">
      <c r="A509" s="15"/>
      <c r="B509" s="3" t="s">
        <v>646</v>
      </c>
      <c r="C509" s="3" t="s">
        <v>3194</v>
      </c>
      <c r="D509" s="3" t="s">
        <v>860</v>
      </c>
      <c r="E509" s="3" t="s">
        <v>2335</v>
      </c>
      <c r="F509" s="3" t="s">
        <v>1494</v>
      </c>
      <c r="G509" s="3" t="s">
        <v>3860</v>
      </c>
      <c r="H509" s="6">
        <v>17211.263999999999</v>
      </c>
    </row>
    <row r="510" spans="1:8" ht="15.75" hidden="1" customHeight="1" x14ac:dyDescent="0.35">
      <c r="A510" s="15"/>
      <c r="B510" s="3" t="s">
        <v>647</v>
      </c>
      <c r="C510" s="3" t="s">
        <v>3195</v>
      </c>
      <c r="D510" s="3" t="s">
        <v>861</v>
      </c>
      <c r="E510" s="3" t="s">
        <v>2336</v>
      </c>
      <c r="F510" s="3" t="s">
        <v>1495</v>
      </c>
      <c r="G510" s="3" t="s">
        <v>3860</v>
      </c>
      <c r="H510" s="6">
        <v>30252.255999999998</v>
      </c>
    </row>
    <row r="511" spans="1:8" ht="15.75" hidden="1" customHeight="1" x14ac:dyDescent="0.35">
      <c r="A511" s="15"/>
      <c r="B511" s="3" t="s">
        <v>649</v>
      </c>
      <c r="C511" s="3" t="s">
        <v>3197</v>
      </c>
      <c r="D511" s="3" t="s">
        <v>861</v>
      </c>
      <c r="E511" s="3" t="s">
        <v>2338</v>
      </c>
      <c r="F511" s="3" t="s">
        <v>1496</v>
      </c>
      <c r="G511" s="3" t="s">
        <v>3556</v>
      </c>
      <c r="H511" s="6">
        <v>24524.896000000001</v>
      </c>
    </row>
    <row r="512" spans="1:8" ht="15.75" hidden="1" customHeight="1" x14ac:dyDescent="0.35">
      <c r="A512" s="15"/>
      <c r="B512" s="3" t="s">
        <v>651</v>
      </c>
      <c r="C512" s="3" t="s">
        <v>3199</v>
      </c>
      <c r="D512" s="3" t="s">
        <v>860</v>
      </c>
      <c r="E512" s="3" t="s">
        <v>2340</v>
      </c>
      <c r="F512" s="3" t="s">
        <v>1497</v>
      </c>
      <c r="G512" s="3" t="s">
        <v>3861</v>
      </c>
      <c r="H512" s="6">
        <v>26156.16</v>
      </c>
    </row>
    <row r="513" spans="1:8" ht="15.75" hidden="1" customHeight="1" x14ac:dyDescent="0.35">
      <c r="A513" s="15"/>
      <c r="B513" s="3" t="s">
        <v>652</v>
      </c>
      <c r="C513" s="3" t="s">
        <v>3200</v>
      </c>
      <c r="D513" s="3" t="s">
        <v>861</v>
      </c>
      <c r="E513" s="3" t="s">
        <v>2341</v>
      </c>
      <c r="F513" s="3" t="s">
        <v>1498</v>
      </c>
      <c r="G513" s="3" t="s">
        <v>3862</v>
      </c>
      <c r="H513" s="6">
        <v>11083.84</v>
      </c>
    </row>
    <row r="514" spans="1:8" ht="15.75" hidden="1" customHeight="1" x14ac:dyDescent="0.35">
      <c r="A514" s="15"/>
      <c r="B514" s="3" t="s">
        <v>657</v>
      </c>
      <c r="C514" s="3" t="s">
        <v>3205</v>
      </c>
      <c r="D514" s="3" t="s">
        <v>860</v>
      </c>
      <c r="E514" s="3" t="s">
        <v>2346</v>
      </c>
      <c r="F514" s="3" t="s">
        <v>1503</v>
      </c>
      <c r="G514" s="3" t="s">
        <v>5730</v>
      </c>
      <c r="H514" s="6">
        <v>35865.919999999998</v>
      </c>
    </row>
    <row r="515" spans="1:8" ht="15.75" hidden="1" customHeight="1" x14ac:dyDescent="0.35">
      <c r="A515" s="15"/>
      <c r="B515" s="3" t="s">
        <v>658</v>
      </c>
      <c r="C515" s="3" t="s">
        <v>3206</v>
      </c>
      <c r="D515" s="3" t="s">
        <v>861</v>
      </c>
      <c r="E515" s="3" t="s">
        <v>2347</v>
      </c>
      <c r="F515" s="3" t="s">
        <v>1504</v>
      </c>
      <c r="G515" s="3" t="s">
        <v>3868</v>
      </c>
      <c r="H515" s="6">
        <v>126351.52</v>
      </c>
    </row>
    <row r="516" spans="1:8" ht="15.75" hidden="1" customHeight="1" x14ac:dyDescent="0.35">
      <c r="A516" s="15"/>
      <c r="B516" s="3" t="s">
        <v>660</v>
      </c>
      <c r="C516" s="3" t="s">
        <v>3208</v>
      </c>
      <c r="D516" s="3" t="s">
        <v>861</v>
      </c>
      <c r="E516" s="3" t="s">
        <v>2349</v>
      </c>
      <c r="F516" s="3" t="s">
        <v>1501</v>
      </c>
      <c r="G516" s="3" t="s">
        <v>3869</v>
      </c>
      <c r="H516" s="6">
        <v>54506.591999999997</v>
      </c>
    </row>
    <row r="517" spans="1:8" ht="15.75" hidden="1" customHeight="1" x14ac:dyDescent="0.35">
      <c r="A517" s="15"/>
      <c r="B517" s="3" t="s">
        <v>661</v>
      </c>
      <c r="C517" s="3" t="s">
        <v>3209</v>
      </c>
      <c r="D517" s="3" t="s">
        <v>861</v>
      </c>
      <c r="E517" s="3" t="s">
        <v>2350</v>
      </c>
      <c r="F517" s="3" t="s">
        <v>1506</v>
      </c>
      <c r="G517" s="3" t="s">
        <v>3870</v>
      </c>
      <c r="H517" s="6">
        <v>11083.84</v>
      </c>
    </row>
    <row r="518" spans="1:8" ht="15.75" hidden="1" customHeight="1" x14ac:dyDescent="0.35">
      <c r="A518" s="15"/>
      <c r="B518" s="3" t="s">
        <v>663</v>
      </c>
      <c r="C518" s="3" t="s">
        <v>3211</v>
      </c>
      <c r="D518" s="3" t="s">
        <v>861</v>
      </c>
      <c r="E518" s="3" t="s">
        <v>2352</v>
      </c>
      <c r="F518" s="3" t="s">
        <v>1508</v>
      </c>
      <c r="G518" s="3" t="s">
        <v>3871</v>
      </c>
      <c r="H518" s="6">
        <v>44730.559999999998</v>
      </c>
    </row>
    <row r="519" spans="1:8" ht="15.75" hidden="1" customHeight="1" x14ac:dyDescent="0.35">
      <c r="A519" s="15"/>
      <c r="B519" s="3" t="s">
        <v>665</v>
      </c>
      <c r="C519" s="3" t="s">
        <v>3213</v>
      </c>
      <c r="D519" s="3" t="s">
        <v>861</v>
      </c>
      <c r="E519" s="3" t="s">
        <v>2354</v>
      </c>
      <c r="F519" s="3" t="s">
        <v>1510</v>
      </c>
      <c r="G519" s="3" t="s">
        <v>3872</v>
      </c>
      <c r="H519" s="6">
        <v>35074.911999999997</v>
      </c>
    </row>
    <row r="520" spans="1:8" ht="15.75" hidden="1" customHeight="1" x14ac:dyDescent="0.35">
      <c r="A520" s="15"/>
      <c r="B520" s="3" t="s">
        <v>667</v>
      </c>
      <c r="C520" s="3" t="s">
        <v>3215</v>
      </c>
      <c r="D520" s="3" t="s">
        <v>861</v>
      </c>
      <c r="E520" s="3" t="s">
        <v>2356</v>
      </c>
      <c r="F520" s="3" t="s">
        <v>1512</v>
      </c>
      <c r="G520" s="3" t="s">
        <v>3874</v>
      </c>
      <c r="H520" s="6">
        <v>20886.016</v>
      </c>
    </row>
    <row r="521" spans="1:8" ht="15.75" hidden="1" customHeight="1" x14ac:dyDescent="0.35">
      <c r="A521" s="15"/>
      <c r="B521" s="3" t="s">
        <v>669</v>
      </c>
      <c r="C521" s="3" t="s">
        <v>3217</v>
      </c>
      <c r="D521" s="3" t="s">
        <v>860</v>
      </c>
      <c r="E521" s="3" t="s">
        <v>2358</v>
      </c>
      <c r="F521" s="3" t="s">
        <v>1514</v>
      </c>
      <c r="G521" s="3" t="s">
        <v>5797</v>
      </c>
      <c r="H521" s="6">
        <v>21720.799999999999</v>
      </c>
    </row>
    <row r="522" spans="1:8" ht="15.75" hidden="1" customHeight="1" x14ac:dyDescent="0.35">
      <c r="A522" s="15"/>
      <c r="B522" s="3" t="s">
        <v>672</v>
      </c>
      <c r="C522" s="3" t="s">
        <v>3220</v>
      </c>
      <c r="D522" s="3" t="s">
        <v>860</v>
      </c>
      <c r="E522" s="3" t="s">
        <v>2361</v>
      </c>
      <c r="F522" s="3" t="s">
        <v>1517</v>
      </c>
      <c r="G522" s="3" t="s">
        <v>5425</v>
      </c>
      <c r="H522" s="6">
        <v>26613.984</v>
      </c>
    </row>
    <row r="523" spans="1:8" ht="15.75" hidden="1" customHeight="1" x14ac:dyDescent="0.35">
      <c r="A523" s="15"/>
      <c r="B523" s="3" t="s">
        <v>673</v>
      </c>
      <c r="C523" s="3" t="s">
        <v>3221</v>
      </c>
      <c r="D523" s="3" t="s">
        <v>861</v>
      </c>
      <c r="E523" s="3" t="s">
        <v>2362</v>
      </c>
      <c r="F523" s="3" t="s">
        <v>1518</v>
      </c>
      <c r="G523" s="3" t="s">
        <v>5637</v>
      </c>
      <c r="H523" s="6">
        <v>26754.432000000001</v>
      </c>
    </row>
    <row r="524" spans="1:8" ht="15.75" hidden="1" customHeight="1" x14ac:dyDescent="0.35">
      <c r="A524" s="15"/>
      <c r="B524" s="3" t="s">
        <v>675</v>
      </c>
      <c r="C524" s="3" t="s">
        <v>3223</v>
      </c>
      <c r="D524" s="3" t="s">
        <v>860</v>
      </c>
      <c r="E524" s="3" t="s">
        <v>2364</v>
      </c>
      <c r="F524" s="3" t="s">
        <v>1520</v>
      </c>
      <c r="G524" s="3" t="s">
        <v>3875</v>
      </c>
      <c r="H524" s="6">
        <v>25607.135999999999</v>
      </c>
    </row>
    <row r="525" spans="1:8" ht="15.75" hidden="1" customHeight="1" x14ac:dyDescent="0.35">
      <c r="A525" s="15"/>
      <c r="B525" s="3" t="s">
        <v>676</v>
      </c>
      <c r="C525" s="3" t="s">
        <v>3224</v>
      </c>
      <c r="D525" s="3" t="s">
        <v>861</v>
      </c>
      <c r="E525" s="3" t="s">
        <v>2365</v>
      </c>
      <c r="F525" s="3" t="s">
        <v>1521</v>
      </c>
      <c r="G525" s="3" t="s">
        <v>3876</v>
      </c>
      <c r="H525" s="6">
        <v>51198.464</v>
      </c>
    </row>
    <row r="526" spans="1:8" ht="15.75" hidden="1" customHeight="1" x14ac:dyDescent="0.35">
      <c r="A526" s="15"/>
      <c r="B526" s="3" t="s">
        <v>677</v>
      </c>
      <c r="C526" s="3" t="s">
        <v>3225</v>
      </c>
      <c r="D526" s="3" t="s">
        <v>861</v>
      </c>
      <c r="E526" s="3" t="s">
        <v>2366</v>
      </c>
      <c r="F526" s="3" t="s">
        <v>1522</v>
      </c>
      <c r="G526" s="3" t="s">
        <v>3877</v>
      </c>
      <c r="H526" s="6">
        <v>32400.319999999996</v>
      </c>
    </row>
    <row r="527" spans="1:8" ht="15.75" hidden="1" customHeight="1" x14ac:dyDescent="0.35">
      <c r="A527" s="15"/>
      <c r="B527" s="3" t="s">
        <v>678</v>
      </c>
      <c r="C527" s="3" t="s">
        <v>3226</v>
      </c>
      <c r="D527" s="3" t="s">
        <v>861</v>
      </c>
      <c r="E527" s="3" t="s">
        <v>2367</v>
      </c>
      <c r="F527" s="3" t="s">
        <v>1523</v>
      </c>
      <c r="G527" s="3" t="s">
        <v>3877</v>
      </c>
      <c r="H527" s="6">
        <v>56874.143999999993</v>
      </c>
    </row>
    <row r="528" spans="1:8" ht="15.75" hidden="1" customHeight="1" x14ac:dyDescent="0.35">
      <c r="A528" s="15"/>
      <c r="B528" s="3" t="s">
        <v>679</v>
      </c>
      <c r="C528" s="3" t="s">
        <v>3227</v>
      </c>
      <c r="D528" s="3" t="s">
        <v>861</v>
      </c>
      <c r="E528" s="3" t="s">
        <v>2368</v>
      </c>
      <c r="F528" s="3" t="s">
        <v>1524</v>
      </c>
      <c r="G528" s="3" t="s">
        <v>3877</v>
      </c>
      <c r="H528" s="6">
        <v>14229.023999999999</v>
      </c>
    </row>
    <row r="529" spans="1:8" ht="15.75" hidden="1" customHeight="1" x14ac:dyDescent="0.35">
      <c r="A529" s="15"/>
      <c r="B529" s="3" t="s">
        <v>680</v>
      </c>
      <c r="C529" s="3" t="s">
        <v>3228</v>
      </c>
      <c r="D529" s="3" t="s">
        <v>861</v>
      </c>
      <c r="E529" s="3" t="s">
        <v>2369</v>
      </c>
      <c r="F529" s="3" t="s">
        <v>1525</v>
      </c>
      <c r="G529" s="3" t="s">
        <v>3877</v>
      </c>
      <c r="H529" s="6">
        <v>22924.639999999999</v>
      </c>
    </row>
    <row r="530" spans="1:8" ht="15.75" hidden="1" customHeight="1" x14ac:dyDescent="0.35">
      <c r="A530" s="15"/>
      <c r="B530" s="3" t="s">
        <v>681</v>
      </c>
      <c r="C530" s="3" t="s">
        <v>3229</v>
      </c>
      <c r="D530" s="3" t="s">
        <v>861</v>
      </c>
      <c r="E530" s="3" t="s">
        <v>2370</v>
      </c>
      <c r="F530" s="3" t="s">
        <v>1168</v>
      </c>
      <c r="G530" s="3" t="s">
        <v>3878</v>
      </c>
      <c r="H530" s="6">
        <v>20275.583999999999</v>
      </c>
    </row>
    <row r="531" spans="1:8" ht="15.75" hidden="1" customHeight="1" x14ac:dyDescent="0.35">
      <c r="A531" s="15"/>
      <c r="B531" s="3" t="s">
        <v>682</v>
      </c>
      <c r="C531" s="3" t="s">
        <v>3230</v>
      </c>
      <c r="D531" s="3" t="s">
        <v>860</v>
      </c>
      <c r="E531" s="3" t="s">
        <v>2371</v>
      </c>
      <c r="F531" s="3" t="s">
        <v>1526</v>
      </c>
      <c r="G531" s="3" t="s">
        <v>3879</v>
      </c>
      <c r="H531" s="6">
        <v>29574.335999999999</v>
      </c>
    </row>
    <row r="532" spans="1:8" ht="15.75" customHeight="1" x14ac:dyDescent="0.35">
      <c r="A532" s="15"/>
      <c r="B532" s="3" t="s">
        <v>683</v>
      </c>
      <c r="C532" s="3" t="s">
        <v>3231</v>
      </c>
      <c r="D532" s="3" t="s">
        <v>860</v>
      </c>
      <c r="E532" s="3" t="s">
        <v>2372</v>
      </c>
      <c r="F532" s="3" t="s">
        <v>1197</v>
      </c>
      <c r="G532" s="3" t="s">
        <v>3880</v>
      </c>
      <c r="H532" s="6">
        <v>27007.967999999997</v>
      </c>
    </row>
    <row r="533" spans="1:8" ht="15.75" hidden="1" customHeight="1" x14ac:dyDescent="0.35">
      <c r="A533" s="15"/>
      <c r="B533" s="3" t="s">
        <v>684</v>
      </c>
      <c r="C533" s="3" t="s">
        <v>3232</v>
      </c>
      <c r="D533" s="3" t="s">
        <v>860</v>
      </c>
      <c r="E533" s="3" t="s">
        <v>2373</v>
      </c>
      <c r="F533" s="3" t="s">
        <v>1527</v>
      </c>
      <c r="G533" s="3" t="s">
        <v>3879</v>
      </c>
      <c r="H533" s="6">
        <v>122450.59199999999</v>
      </c>
    </row>
    <row r="534" spans="1:8" ht="15.75" hidden="1" customHeight="1" x14ac:dyDescent="0.35">
      <c r="A534" s="15"/>
      <c r="B534" s="3" t="s">
        <v>685</v>
      </c>
      <c r="C534" s="3" t="s">
        <v>3233</v>
      </c>
      <c r="D534" s="3" t="s">
        <v>860</v>
      </c>
      <c r="E534" s="3" t="s">
        <v>2374</v>
      </c>
      <c r="F534" s="3" t="s">
        <v>1528</v>
      </c>
      <c r="G534" s="3" t="s">
        <v>3881</v>
      </c>
      <c r="H534" s="6">
        <v>15378.751999999999</v>
      </c>
    </row>
    <row r="535" spans="1:8" ht="15.75" hidden="1" customHeight="1" x14ac:dyDescent="0.35">
      <c r="A535" s="15"/>
      <c r="B535" s="3" t="s">
        <v>687</v>
      </c>
      <c r="C535" s="3" t="s">
        <v>3235</v>
      </c>
      <c r="D535" s="3" t="s">
        <v>861</v>
      </c>
      <c r="E535" s="3" t="s">
        <v>2376</v>
      </c>
      <c r="F535" s="3" t="s">
        <v>1530</v>
      </c>
      <c r="G535" s="3" t="s">
        <v>3882</v>
      </c>
      <c r="H535" s="6">
        <v>11083.84</v>
      </c>
    </row>
    <row r="536" spans="1:8" ht="15.75" hidden="1" customHeight="1" x14ac:dyDescent="0.35">
      <c r="A536" s="15"/>
      <c r="B536" s="3" t="s">
        <v>688</v>
      </c>
      <c r="C536" s="3" t="s">
        <v>3236</v>
      </c>
      <c r="D536" s="3" t="s">
        <v>860</v>
      </c>
      <c r="E536" s="3" t="s">
        <v>2377</v>
      </c>
      <c r="F536" s="3" t="s">
        <v>1531</v>
      </c>
      <c r="G536" s="3" t="s">
        <v>3883</v>
      </c>
      <c r="H536" s="6">
        <v>13168.064</v>
      </c>
    </row>
    <row r="537" spans="1:8" ht="15.75" hidden="1" customHeight="1" x14ac:dyDescent="0.35">
      <c r="A537" s="15"/>
      <c r="B537" s="3" t="s">
        <v>689</v>
      </c>
      <c r="C537" s="3" t="s">
        <v>3237</v>
      </c>
      <c r="D537" s="3" t="s">
        <v>861</v>
      </c>
      <c r="E537" s="3" t="s">
        <v>2378</v>
      </c>
      <c r="F537" s="3" t="s">
        <v>1532</v>
      </c>
      <c r="G537" s="3" t="s">
        <v>5946</v>
      </c>
      <c r="H537" s="6">
        <v>80570.335999999996</v>
      </c>
    </row>
    <row r="538" spans="1:8" ht="15.75" hidden="1" customHeight="1" x14ac:dyDescent="0.35">
      <c r="A538" s="15"/>
      <c r="B538" s="3" t="s">
        <v>690</v>
      </c>
      <c r="C538" s="3" t="s">
        <v>3238</v>
      </c>
      <c r="D538" s="3" t="s">
        <v>860</v>
      </c>
      <c r="E538" s="3" t="s">
        <v>2379</v>
      </c>
      <c r="F538" s="3" t="s">
        <v>1482</v>
      </c>
      <c r="G538" s="3" t="s">
        <v>3884</v>
      </c>
      <c r="H538" s="6">
        <v>13039.776</v>
      </c>
    </row>
    <row r="539" spans="1:8" ht="15.75" hidden="1" customHeight="1" x14ac:dyDescent="0.35">
      <c r="A539" s="15"/>
      <c r="B539" s="3" t="s">
        <v>691</v>
      </c>
      <c r="C539" s="3" t="s">
        <v>3239</v>
      </c>
      <c r="D539" s="3" t="s">
        <v>860</v>
      </c>
      <c r="E539" s="3" t="s">
        <v>2380</v>
      </c>
      <c r="F539" s="3" t="s">
        <v>1533</v>
      </c>
      <c r="G539" s="3" t="s">
        <v>3885</v>
      </c>
      <c r="H539" s="6">
        <v>19559.967999999997</v>
      </c>
    </row>
    <row r="540" spans="1:8" ht="15.75" hidden="1" customHeight="1" x14ac:dyDescent="0.35">
      <c r="A540" s="15"/>
      <c r="B540" s="3" t="s">
        <v>692</v>
      </c>
      <c r="C540" s="3" t="s">
        <v>3240</v>
      </c>
      <c r="D540" s="3" t="s">
        <v>860</v>
      </c>
      <c r="E540" s="3" t="s">
        <v>2381</v>
      </c>
      <c r="F540" s="3" t="s">
        <v>1534</v>
      </c>
      <c r="G540" s="3" t="s">
        <v>3886</v>
      </c>
      <c r="H540" s="6">
        <v>16350.335999999999</v>
      </c>
    </row>
    <row r="541" spans="1:8" ht="15.75" hidden="1" customHeight="1" x14ac:dyDescent="0.35">
      <c r="A541" s="15"/>
      <c r="B541" s="3" t="s">
        <v>693</v>
      </c>
      <c r="C541" s="3" t="s">
        <v>3241</v>
      </c>
      <c r="D541" s="3" t="s">
        <v>861</v>
      </c>
      <c r="E541" s="3" t="s">
        <v>2382</v>
      </c>
      <c r="F541" s="3" t="s">
        <v>1535</v>
      </c>
      <c r="G541" s="3" t="s">
        <v>3887</v>
      </c>
      <c r="H541" s="6">
        <v>33683.807999999997</v>
      </c>
    </row>
    <row r="542" spans="1:8" ht="15.75" customHeight="1" x14ac:dyDescent="0.35">
      <c r="A542" s="15"/>
      <c r="B542" s="3" t="s">
        <v>3888</v>
      </c>
      <c r="C542" s="3" t="s">
        <v>3889</v>
      </c>
      <c r="D542" s="3" t="s">
        <v>861</v>
      </c>
      <c r="E542" s="3" t="s">
        <v>3890</v>
      </c>
      <c r="F542" s="3" t="s">
        <v>3891</v>
      </c>
      <c r="G542" s="3" t="s">
        <v>3892</v>
      </c>
      <c r="H542" s="6">
        <v>33892.351999999999</v>
      </c>
    </row>
    <row r="543" spans="1:8" ht="15.75" customHeight="1" x14ac:dyDescent="0.35">
      <c r="A543" s="15"/>
      <c r="B543" s="3" t="s">
        <v>3893</v>
      </c>
      <c r="C543" s="3" t="s">
        <v>3894</v>
      </c>
      <c r="D543" s="3" t="s">
        <v>860</v>
      </c>
      <c r="E543" s="3" t="s">
        <v>3895</v>
      </c>
      <c r="F543" s="3" t="s">
        <v>3896</v>
      </c>
      <c r="G543" s="3" t="s">
        <v>3892</v>
      </c>
      <c r="H543" s="6">
        <v>38046.207999999999</v>
      </c>
    </row>
    <row r="544" spans="1:8" ht="15.75" hidden="1" customHeight="1" x14ac:dyDescent="0.35">
      <c r="A544" s="15"/>
      <c r="B544" s="3" t="s">
        <v>694</v>
      </c>
      <c r="C544" s="3" t="s">
        <v>3242</v>
      </c>
      <c r="D544" s="3" t="s">
        <v>861</v>
      </c>
      <c r="E544" s="3" t="s">
        <v>2383</v>
      </c>
      <c r="F544" s="3" t="s">
        <v>1536</v>
      </c>
      <c r="G544" s="3" t="s">
        <v>5898</v>
      </c>
      <c r="H544" s="6">
        <v>14073.983999999999</v>
      </c>
    </row>
    <row r="545" spans="1:8" ht="15.75" hidden="1" customHeight="1" x14ac:dyDescent="0.35">
      <c r="A545" s="15"/>
      <c r="B545" s="3" t="s">
        <v>695</v>
      </c>
      <c r="C545" s="3" t="s">
        <v>3243</v>
      </c>
      <c r="D545" s="3" t="s">
        <v>861</v>
      </c>
      <c r="E545" s="3" t="s">
        <v>2384</v>
      </c>
      <c r="F545" s="3" t="s">
        <v>1537</v>
      </c>
      <c r="G545" s="3" t="s">
        <v>3897</v>
      </c>
      <c r="H545" s="6">
        <v>63129.247999999992</v>
      </c>
    </row>
    <row r="546" spans="1:8" ht="15.75" hidden="1" customHeight="1" x14ac:dyDescent="0.35">
      <c r="A546" s="15"/>
      <c r="B546" s="3" t="s">
        <v>696</v>
      </c>
      <c r="C546" s="3" t="s">
        <v>3244</v>
      </c>
      <c r="D546" s="3" t="s">
        <v>860</v>
      </c>
      <c r="E546" s="3" t="s">
        <v>2385</v>
      </c>
      <c r="F546" s="3" t="s">
        <v>1538</v>
      </c>
      <c r="G546" s="3" t="s">
        <v>5842</v>
      </c>
      <c r="H546" s="6">
        <v>34767.264000000003</v>
      </c>
    </row>
    <row r="547" spans="1:8" ht="15.75" hidden="1" customHeight="1" x14ac:dyDescent="0.35">
      <c r="A547" s="15"/>
      <c r="B547" s="3" t="s">
        <v>697</v>
      </c>
      <c r="C547" s="3" t="s">
        <v>3245</v>
      </c>
      <c r="D547" s="3" t="s">
        <v>861</v>
      </c>
      <c r="E547" s="3" t="s">
        <v>2386</v>
      </c>
      <c r="F547" s="3" t="s">
        <v>1539</v>
      </c>
      <c r="G547" s="3" t="s">
        <v>3898</v>
      </c>
      <c r="H547" s="6">
        <v>87780</v>
      </c>
    </row>
    <row r="548" spans="1:8" ht="15.75" customHeight="1" x14ac:dyDescent="0.35">
      <c r="A548" s="15"/>
      <c r="B548" s="3" t="s">
        <v>6035</v>
      </c>
      <c r="C548" s="3" t="s">
        <v>6036</v>
      </c>
      <c r="D548" s="3" t="s">
        <v>861</v>
      </c>
      <c r="E548" s="3" t="s">
        <v>6037</v>
      </c>
      <c r="F548" s="3" t="s">
        <v>6038</v>
      </c>
      <c r="G548" s="3" t="s">
        <v>3892</v>
      </c>
      <c r="H548" s="6">
        <v>45230.943999999996</v>
      </c>
    </row>
    <row r="549" spans="1:8" ht="15.75" hidden="1" customHeight="1" x14ac:dyDescent="0.35">
      <c r="A549" s="15"/>
      <c r="B549" s="3" t="s">
        <v>700</v>
      </c>
      <c r="C549" s="3" t="s">
        <v>3248</v>
      </c>
      <c r="D549" s="3" t="s">
        <v>861</v>
      </c>
      <c r="E549" s="3" t="s">
        <v>2389</v>
      </c>
      <c r="F549" s="3" t="s">
        <v>1542</v>
      </c>
      <c r="G549" s="3" t="s">
        <v>3899</v>
      </c>
      <c r="H549" s="6">
        <v>34767.264000000003</v>
      </c>
    </row>
    <row r="550" spans="1:8" ht="15.75" hidden="1" customHeight="1" x14ac:dyDescent="0.35">
      <c r="A550" s="15"/>
      <c r="B550" s="3" t="s">
        <v>701</v>
      </c>
      <c r="C550" s="3" t="s">
        <v>3249</v>
      </c>
      <c r="D550" s="3" t="s">
        <v>861</v>
      </c>
      <c r="E550" s="3" t="s">
        <v>2390</v>
      </c>
      <c r="F550" s="3" t="s">
        <v>1543</v>
      </c>
      <c r="G550" s="3" t="s">
        <v>3899</v>
      </c>
      <c r="H550" s="6">
        <v>44173.631999999998</v>
      </c>
    </row>
    <row r="551" spans="1:8" ht="15.75" hidden="1" customHeight="1" x14ac:dyDescent="0.35">
      <c r="A551" s="15"/>
      <c r="B551" s="3" t="s">
        <v>702</v>
      </c>
      <c r="C551" s="3" t="s">
        <v>3250</v>
      </c>
      <c r="D551" s="3" t="s">
        <v>861</v>
      </c>
      <c r="E551" s="3" t="s">
        <v>2391</v>
      </c>
      <c r="F551" s="3" t="s">
        <v>1544</v>
      </c>
      <c r="G551" s="3" t="s">
        <v>3899</v>
      </c>
      <c r="H551" s="6">
        <v>34767.264000000003</v>
      </c>
    </row>
    <row r="552" spans="1:8" ht="15.75" hidden="1" customHeight="1" x14ac:dyDescent="0.35">
      <c r="A552" s="15"/>
      <c r="B552" s="3" t="s">
        <v>703</v>
      </c>
      <c r="C552" s="3" t="s">
        <v>3251</v>
      </c>
      <c r="D552" s="3" t="s">
        <v>861</v>
      </c>
      <c r="E552" s="3" t="s">
        <v>2392</v>
      </c>
      <c r="F552" s="3" t="s">
        <v>1545</v>
      </c>
      <c r="G552" s="3" t="s">
        <v>3900</v>
      </c>
      <c r="H552" s="6">
        <v>14930.655999999999</v>
      </c>
    </row>
    <row r="553" spans="1:8" ht="15.75" hidden="1" customHeight="1" x14ac:dyDescent="0.35">
      <c r="A553" s="15"/>
      <c r="B553" s="3" t="s">
        <v>705</v>
      </c>
      <c r="C553" s="3" t="s">
        <v>3253</v>
      </c>
      <c r="D553" s="3" t="s">
        <v>861</v>
      </c>
      <c r="E553" s="3" t="s">
        <v>2394</v>
      </c>
      <c r="F553" s="3" t="s">
        <v>1547</v>
      </c>
      <c r="G553" s="3" t="s">
        <v>3899</v>
      </c>
      <c r="H553" s="6">
        <v>31856.16</v>
      </c>
    </row>
    <row r="554" spans="1:8" ht="15.75" hidden="1" customHeight="1" x14ac:dyDescent="0.35">
      <c r="A554" s="15"/>
      <c r="B554" s="3" t="s">
        <v>706</v>
      </c>
      <c r="C554" s="3" t="s">
        <v>3254</v>
      </c>
      <c r="D554" s="3" t="s">
        <v>860</v>
      </c>
      <c r="E554" s="3" t="s">
        <v>2395</v>
      </c>
      <c r="F554" s="3" t="s">
        <v>1548</v>
      </c>
      <c r="G554" s="3" t="s">
        <v>3898</v>
      </c>
      <c r="H554" s="6">
        <v>15825.632</v>
      </c>
    </row>
    <row r="555" spans="1:8" ht="15.75" hidden="1" customHeight="1" x14ac:dyDescent="0.35">
      <c r="A555" s="15"/>
      <c r="B555" s="3" t="s">
        <v>707</v>
      </c>
      <c r="C555" s="3" t="s">
        <v>3255</v>
      </c>
      <c r="D555" s="3" t="s">
        <v>860</v>
      </c>
      <c r="E555" s="3" t="s">
        <v>2396</v>
      </c>
      <c r="F555" s="3" t="s">
        <v>1549</v>
      </c>
      <c r="G555" s="3" t="s">
        <v>3902</v>
      </c>
      <c r="H555" s="6">
        <v>14577.407999999999</v>
      </c>
    </row>
    <row r="556" spans="1:8" ht="15.75" hidden="1" customHeight="1" x14ac:dyDescent="0.35">
      <c r="A556" s="15"/>
      <c r="B556" s="3" t="s">
        <v>708</v>
      </c>
      <c r="C556" s="3" t="s">
        <v>3256</v>
      </c>
      <c r="D556" s="3" t="s">
        <v>861</v>
      </c>
      <c r="E556" s="3" t="s">
        <v>2397</v>
      </c>
      <c r="F556" s="3" t="s">
        <v>1550</v>
      </c>
      <c r="G556" s="3" t="s">
        <v>3902</v>
      </c>
      <c r="H556" s="6">
        <v>20287.135999999999</v>
      </c>
    </row>
    <row r="557" spans="1:8" ht="15.75" hidden="1" customHeight="1" x14ac:dyDescent="0.35">
      <c r="A557" s="15"/>
      <c r="B557" s="3" t="s">
        <v>709</v>
      </c>
      <c r="C557" s="3" t="s">
        <v>3257</v>
      </c>
      <c r="D557" s="3" t="s">
        <v>861</v>
      </c>
      <c r="E557" s="3" t="s">
        <v>2398</v>
      </c>
      <c r="F557" s="3" t="s">
        <v>1551</v>
      </c>
      <c r="G557" s="3" t="s">
        <v>3902</v>
      </c>
      <c r="H557" s="6">
        <v>10193.727999999999</v>
      </c>
    </row>
    <row r="558" spans="1:8" ht="15.75" hidden="1" customHeight="1" x14ac:dyDescent="0.35">
      <c r="A558" s="15"/>
      <c r="B558" s="3" t="s">
        <v>710</v>
      </c>
      <c r="C558" s="3" t="s">
        <v>3258</v>
      </c>
      <c r="D558" s="3" t="s">
        <v>861</v>
      </c>
      <c r="E558" s="3" t="s">
        <v>2399</v>
      </c>
      <c r="F558" s="3" t="s">
        <v>1552</v>
      </c>
      <c r="G558" s="3" t="s">
        <v>3899</v>
      </c>
      <c r="H558" s="6">
        <v>21237.439999999999</v>
      </c>
    </row>
    <row r="559" spans="1:8" ht="15.75" hidden="1" customHeight="1" x14ac:dyDescent="0.35">
      <c r="A559" s="15"/>
      <c r="B559" s="3" t="s">
        <v>712</v>
      </c>
      <c r="C559" s="3" t="s">
        <v>3260</v>
      </c>
      <c r="D559" s="3" t="s">
        <v>861</v>
      </c>
      <c r="E559" s="3" t="s">
        <v>2401</v>
      </c>
      <c r="F559" s="3" t="s">
        <v>1554</v>
      </c>
      <c r="G559" s="3" t="s">
        <v>3899</v>
      </c>
      <c r="H559" s="6">
        <v>34767.264000000003</v>
      </c>
    </row>
    <row r="560" spans="1:8" ht="15.75" hidden="1" customHeight="1" x14ac:dyDescent="0.35">
      <c r="A560" s="15"/>
      <c r="B560" s="3" t="s">
        <v>714</v>
      </c>
      <c r="C560" s="3" t="s">
        <v>3262</v>
      </c>
      <c r="D560" s="3" t="s">
        <v>861</v>
      </c>
      <c r="E560" s="3" t="s">
        <v>2403</v>
      </c>
      <c r="F560" s="3" t="s">
        <v>1555</v>
      </c>
      <c r="G560" s="3" t="s">
        <v>5726</v>
      </c>
      <c r="H560" s="6">
        <v>14016.831999999999</v>
      </c>
    </row>
    <row r="561" spans="1:8" ht="15.75" hidden="1" customHeight="1" x14ac:dyDescent="0.35">
      <c r="A561" s="15"/>
      <c r="B561" s="3" t="s">
        <v>716</v>
      </c>
      <c r="C561" s="3" t="s">
        <v>3264</v>
      </c>
      <c r="D561" s="3" t="s">
        <v>861</v>
      </c>
      <c r="E561" s="3" t="s">
        <v>2405</v>
      </c>
      <c r="F561" s="3" t="s">
        <v>1557</v>
      </c>
      <c r="G561" s="3" t="s">
        <v>3903</v>
      </c>
      <c r="H561" s="6">
        <v>36652.063999999998</v>
      </c>
    </row>
    <row r="562" spans="1:8" ht="15.75" hidden="1" customHeight="1" x14ac:dyDescent="0.35">
      <c r="A562" s="15"/>
      <c r="B562" s="3" t="s">
        <v>717</v>
      </c>
      <c r="C562" s="3" t="s">
        <v>3265</v>
      </c>
      <c r="D562" s="3" t="s">
        <v>860</v>
      </c>
      <c r="E562" s="3" t="s">
        <v>2406</v>
      </c>
      <c r="F562" s="3" t="s">
        <v>1558</v>
      </c>
      <c r="G562" s="3" t="s">
        <v>3909</v>
      </c>
      <c r="H562" s="6">
        <v>21821.727999999999</v>
      </c>
    </row>
    <row r="563" spans="1:8" ht="15.75" hidden="1" customHeight="1" x14ac:dyDescent="0.35">
      <c r="A563" s="15"/>
      <c r="B563" s="3" t="s">
        <v>719</v>
      </c>
      <c r="C563" s="3" t="s">
        <v>3267</v>
      </c>
      <c r="D563" s="3" t="s">
        <v>861</v>
      </c>
      <c r="E563" s="3" t="s">
        <v>2408</v>
      </c>
      <c r="F563" s="3" t="s">
        <v>1559</v>
      </c>
      <c r="G563" s="3" t="s">
        <v>3910</v>
      </c>
      <c r="H563" s="6">
        <v>10760.992</v>
      </c>
    </row>
    <row r="564" spans="1:8" ht="15.75" customHeight="1" x14ac:dyDescent="0.35">
      <c r="A564" s="15"/>
      <c r="B564" s="3" t="s">
        <v>3911</v>
      </c>
      <c r="C564" s="3" t="s">
        <v>3912</v>
      </c>
      <c r="D564" s="3" t="s">
        <v>861</v>
      </c>
      <c r="E564" s="3" t="s">
        <v>3913</v>
      </c>
      <c r="F564" s="3" t="s">
        <v>3914</v>
      </c>
      <c r="G564" s="3" t="s">
        <v>3585</v>
      </c>
      <c r="H564" s="6">
        <v>45514.271999999997</v>
      </c>
    </row>
    <row r="565" spans="1:8" ht="15.75" hidden="1" customHeight="1" x14ac:dyDescent="0.35">
      <c r="A565" s="15"/>
      <c r="B565" s="3" t="s">
        <v>720</v>
      </c>
      <c r="C565" s="3" t="s">
        <v>3268</v>
      </c>
      <c r="D565" s="3" t="s">
        <v>861</v>
      </c>
      <c r="E565" s="3" t="s">
        <v>2409</v>
      </c>
      <c r="F565" s="3" t="s">
        <v>1560</v>
      </c>
      <c r="G565" s="3" t="s">
        <v>5675</v>
      </c>
      <c r="H565" s="6">
        <v>26546.495999999999</v>
      </c>
    </row>
    <row r="566" spans="1:8" ht="15.75" hidden="1" customHeight="1" x14ac:dyDescent="0.35">
      <c r="A566" s="15"/>
      <c r="B566" s="3" t="s">
        <v>722</v>
      </c>
      <c r="C566" s="3" t="s">
        <v>3270</v>
      </c>
      <c r="D566" s="3" t="s">
        <v>861</v>
      </c>
      <c r="E566" s="3" t="s">
        <v>2411</v>
      </c>
      <c r="F566" s="3" t="s">
        <v>1562</v>
      </c>
      <c r="G566" s="3" t="s">
        <v>3915</v>
      </c>
      <c r="H566" s="6">
        <v>37625.472000000002</v>
      </c>
    </row>
    <row r="567" spans="1:8" ht="15.75" hidden="1" customHeight="1" x14ac:dyDescent="0.35">
      <c r="A567" s="15"/>
      <c r="B567" s="3" t="s">
        <v>724</v>
      </c>
      <c r="C567" s="3" t="s">
        <v>3272</v>
      </c>
      <c r="D567" s="3" t="s">
        <v>861</v>
      </c>
      <c r="E567" s="3" t="s">
        <v>2413</v>
      </c>
      <c r="F567" s="3" t="s">
        <v>1564</v>
      </c>
      <c r="G567" s="3" t="s">
        <v>3917</v>
      </c>
      <c r="H567" s="6">
        <v>35162.464</v>
      </c>
    </row>
    <row r="568" spans="1:8" ht="15.75" hidden="1" customHeight="1" x14ac:dyDescent="0.35">
      <c r="A568" s="15"/>
      <c r="B568" s="3" t="s">
        <v>725</v>
      </c>
      <c r="C568" s="3" t="s">
        <v>3273</v>
      </c>
      <c r="D568" s="3" t="s">
        <v>861</v>
      </c>
      <c r="E568" s="3" t="s">
        <v>2414</v>
      </c>
      <c r="F568" s="3" t="s">
        <v>1486</v>
      </c>
      <c r="G568" s="3" t="s">
        <v>3916</v>
      </c>
      <c r="H568" s="6">
        <v>88347.871999999988</v>
      </c>
    </row>
    <row r="569" spans="1:8" ht="15.75" hidden="1" customHeight="1" x14ac:dyDescent="0.35">
      <c r="A569" s="15"/>
      <c r="B569" s="3" t="s">
        <v>726</v>
      </c>
      <c r="C569" s="3" t="s">
        <v>3274</v>
      </c>
      <c r="D569" s="3" t="s">
        <v>861</v>
      </c>
      <c r="E569" s="3" t="s">
        <v>2415</v>
      </c>
      <c r="F569" s="3" t="s">
        <v>1013</v>
      </c>
      <c r="G569" s="3" t="s">
        <v>3916</v>
      </c>
      <c r="H569" s="6">
        <v>10760.992</v>
      </c>
    </row>
    <row r="570" spans="1:8" ht="15.75" hidden="1" customHeight="1" x14ac:dyDescent="0.35">
      <c r="A570" s="15"/>
      <c r="B570" s="3" t="s">
        <v>727</v>
      </c>
      <c r="C570" s="3" t="s">
        <v>3275</v>
      </c>
      <c r="D570" s="3" t="s">
        <v>861</v>
      </c>
      <c r="E570" s="3" t="s">
        <v>2416</v>
      </c>
      <c r="F570" s="3" t="s">
        <v>1565</v>
      </c>
      <c r="G570" s="3" t="s">
        <v>3917</v>
      </c>
      <c r="H570" s="6">
        <v>10760.992</v>
      </c>
    </row>
    <row r="571" spans="1:8" ht="15.75" hidden="1" customHeight="1" x14ac:dyDescent="0.35">
      <c r="A571" s="15"/>
      <c r="B571" s="3" t="s">
        <v>728</v>
      </c>
      <c r="C571" s="3" t="s">
        <v>3276</v>
      </c>
      <c r="D571" s="3" t="s">
        <v>861</v>
      </c>
      <c r="E571" s="3" t="s">
        <v>2417</v>
      </c>
      <c r="F571" s="3" t="s">
        <v>1566</v>
      </c>
      <c r="G571" s="3" t="s">
        <v>3608</v>
      </c>
      <c r="H571" s="6">
        <v>55915.327999999994</v>
      </c>
    </row>
    <row r="572" spans="1:8" ht="15.75" hidden="1" customHeight="1" x14ac:dyDescent="0.35">
      <c r="A572" s="15"/>
      <c r="B572" s="3" t="s">
        <v>729</v>
      </c>
      <c r="C572" s="3" t="s">
        <v>3277</v>
      </c>
      <c r="D572" s="3" t="s">
        <v>861</v>
      </c>
      <c r="E572" s="3" t="s">
        <v>2418</v>
      </c>
      <c r="F572" s="3" t="s">
        <v>1567</v>
      </c>
      <c r="G572" s="3" t="s">
        <v>3918</v>
      </c>
      <c r="H572" s="6">
        <v>40776.127999999997</v>
      </c>
    </row>
    <row r="573" spans="1:8" ht="15.75" hidden="1" customHeight="1" x14ac:dyDescent="0.35">
      <c r="A573" s="15"/>
      <c r="B573" s="3" t="s">
        <v>730</v>
      </c>
      <c r="C573" s="3" t="s">
        <v>3278</v>
      </c>
      <c r="D573" s="3" t="s">
        <v>860</v>
      </c>
      <c r="E573" s="3" t="s">
        <v>2419</v>
      </c>
      <c r="F573" s="3" t="s">
        <v>1568</v>
      </c>
      <c r="G573" s="3" t="s">
        <v>3919</v>
      </c>
      <c r="H573" s="6">
        <v>12660.383999999998</v>
      </c>
    </row>
    <row r="574" spans="1:8" ht="15.75" hidden="1" customHeight="1" x14ac:dyDescent="0.35">
      <c r="A574" s="15"/>
      <c r="B574" s="3" t="s">
        <v>731</v>
      </c>
      <c r="C574" s="3" t="s">
        <v>3279</v>
      </c>
      <c r="D574" s="3" t="s">
        <v>860</v>
      </c>
      <c r="E574" s="3" t="s">
        <v>2420</v>
      </c>
      <c r="F574" s="3" t="s">
        <v>1569</v>
      </c>
      <c r="G574" s="3" t="s">
        <v>3920</v>
      </c>
      <c r="H574" s="6">
        <v>10760.992</v>
      </c>
    </row>
    <row r="575" spans="1:8" ht="15.75" hidden="1" customHeight="1" x14ac:dyDescent="0.35">
      <c r="A575" s="15"/>
      <c r="B575" s="3" t="s">
        <v>733</v>
      </c>
      <c r="C575" s="3" t="s">
        <v>3281</v>
      </c>
      <c r="D575" s="3" t="s">
        <v>861</v>
      </c>
      <c r="E575" s="3" t="s">
        <v>2422</v>
      </c>
      <c r="F575" s="3" t="s">
        <v>1571</v>
      </c>
      <c r="G575" s="3" t="s">
        <v>3921</v>
      </c>
      <c r="H575" s="6">
        <v>35200.768000000004</v>
      </c>
    </row>
    <row r="576" spans="1:8" ht="15.75" hidden="1" customHeight="1" x14ac:dyDescent="0.35">
      <c r="A576" s="15"/>
      <c r="B576" s="3" t="s">
        <v>734</v>
      </c>
      <c r="C576" s="3" t="s">
        <v>3282</v>
      </c>
      <c r="D576" s="3" t="s">
        <v>860</v>
      </c>
      <c r="E576" s="3" t="s">
        <v>2423</v>
      </c>
      <c r="F576" s="3" t="s">
        <v>1572</v>
      </c>
      <c r="G576" s="3" t="s">
        <v>3922</v>
      </c>
      <c r="H576" s="6">
        <v>86139.008000000002</v>
      </c>
    </row>
    <row r="577" spans="1:8" ht="15.75" hidden="1" customHeight="1" x14ac:dyDescent="0.35">
      <c r="A577" s="15"/>
      <c r="B577" s="3" t="s">
        <v>736</v>
      </c>
      <c r="C577" s="3" t="s">
        <v>3284</v>
      </c>
      <c r="D577" s="3" t="s">
        <v>860</v>
      </c>
      <c r="E577" s="3" t="s">
        <v>2425</v>
      </c>
      <c r="F577" s="3" t="s">
        <v>1574</v>
      </c>
      <c r="G577" s="3" t="s">
        <v>3923</v>
      </c>
      <c r="H577" s="6">
        <v>10588.32</v>
      </c>
    </row>
    <row r="578" spans="1:8" ht="15.75" hidden="1" customHeight="1" x14ac:dyDescent="0.35">
      <c r="A578" s="15"/>
      <c r="B578" s="3" t="s">
        <v>739</v>
      </c>
      <c r="C578" s="3" t="s">
        <v>3287</v>
      </c>
      <c r="D578" s="3" t="s">
        <v>861</v>
      </c>
      <c r="E578" s="3" t="s">
        <v>2428</v>
      </c>
      <c r="F578" s="3" t="s">
        <v>1577</v>
      </c>
      <c r="G578" s="3" t="s">
        <v>3923</v>
      </c>
      <c r="H578" s="6">
        <v>13765.119999999999</v>
      </c>
    </row>
    <row r="579" spans="1:8" ht="15.75" hidden="1" customHeight="1" x14ac:dyDescent="0.35">
      <c r="A579" s="15"/>
      <c r="B579" s="3" t="s">
        <v>742</v>
      </c>
      <c r="C579" s="3" t="s">
        <v>3290</v>
      </c>
      <c r="D579" s="3" t="s">
        <v>861</v>
      </c>
      <c r="E579" s="3" t="s">
        <v>2431</v>
      </c>
      <c r="F579" s="3" t="s">
        <v>1580</v>
      </c>
      <c r="G579" s="3" t="s">
        <v>3929</v>
      </c>
      <c r="H579" s="6">
        <v>10747.616</v>
      </c>
    </row>
    <row r="580" spans="1:8" ht="15.75" hidden="1" customHeight="1" x14ac:dyDescent="0.35">
      <c r="A580" s="15"/>
      <c r="B580" s="3" t="s">
        <v>743</v>
      </c>
      <c r="C580" s="3" t="s">
        <v>3291</v>
      </c>
      <c r="D580" s="3" t="s">
        <v>860</v>
      </c>
      <c r="E580" s="3" t="s">
        <v>2432</v>
      </c>
      <c r="F580" s="3" t="s">
        <v>1581</v>
      </c>
      <c r="G580" s="3" t="s">
        <v>3929</v>
      </c>
      <c r="H580" s="6">
        <v>37156.703999999998</v>
      </c>
    </row>
    <row r="581" spans="1:8" ht="15.75" hidden="1" customHeight="1" x14ac:dyDescent="0.35">
      <c r="A581" s="15"/>
      <c r="B581" s="3" t="s">
        <v>744</v>
      </c>
      <c r="C581" s="3" t="s">
        <v>3292</v>
      </c>
      <c r="D581" s="3" t="s">
        <v>860</v>
      </c>
      <c r="E581" s="3" t="s">
        <v>2433</v>
      </c>
      <c r="F581" s="3" t="s">
        <v>1582</v>
      </c>
      <c r="G581" s="3" t="s">
        <v>3930</v>
      </c>
      <c r="H581" s="6">
        <v>16912.128000000001</v>
      </c>
    </row>
    <row r="582" spans="1:8" ht="15.75" hidden="1" customHeight="1" x14ac:dyDescent="0.35">
      <c r="A582" s="15"/>
      <c r="B582" s="3" t="s">
        <v>745</v>
      </c>
      <c r="C582" s="3" t="s">
        <v>3293</v>
      </c>
      <c r="D582" s="3" t="s">
        <v>861</v>
      </c>
      <c r="E582" s="3" t="s">
        <v>2434</v>
      </c>
      <c r="F582" s="3" t="s">
        <v>1583</v>
      </c>
      <c r="G582" s="3" t="s">
        <v>3931</v>
      </c>
      <c r="H582" s="6">
        <v>116134.07999999999</v>
      </c>
    </row>
    <row r="583" spans="1:8" ht="15.75" hidden="1" customHeight="1" x14ac:dyDescent="0.35">
      <c r="A583" s="15"/>
      <c r="B583" s="3" t="s">
        <v>750</v>
      </c>
      <c r="C583" s="3" t="s">
        <v>3298</v>
      </c>
      <c r="D583" s="3" t="s">
        <v>860</v>
      </c>
      <c r="E583" s="3" t="s">
        <v>2439</v>
      </c>
      <c r="F583" s="3" t="s">
        <v>1588</v>
      </c>
      <c r="G583" s="3" t="s">
        <v>3937</v>
      </c>
      <c r="H583" s="6">
        <v>14007.711999999998</v>
      </c>
    </row>
    <row r="584" spans="1:8" ht="15.75" hidden="1" customHeight="1" x14ac:dyDescent="0.35">
      <c r="A584" s="15"/>
      <c r="B584" s="3" t="s">
        <v>751</v>
      </c>
      <c r="C584" s="3" t="s">
        <v>3299</v>
      </c>
      <c r="D584" s="3" t="s">
        <v>861</v>
      </c>
      <c r="E584" s="3" t="s">
        <v>2440</v>
      </c>
      <c r="F584" s="3" t="s">
        <v>1589</v>
      </c>
      <c r="G584" s="3" t="s">
        <v>3938</v>
      </c>
      <c r="H584" s="6">
        <v>10747.616</v>
      </c>
    </row>
    <row r="585" spans="1:8" ht="15.75" hidden="1" customHeight="1" x14ac:dyDescent="0.35">
      <c r="A585" s="15"/>
      <c r="B585" s="3" t="s">
        <v>752</v>
      </c>
      <c r="C585" s="3" t="s">
        <v>3300</v>
      </c>
      <c r="D585" s="3" t="s">
        <v>861</v>
      </c>
      <c r="E585" s="3" t="s">
        <v>2441</v>
      </c>
      <c r="F585" s="3" t="s">
        <v>1590</v>
      </c>
      <c r="G585" s="3" t="s">
        <v>3680</v>
      </c>
      <c r="H585" s="6">
        <v>10588.32</v>
      </c>
    </row>
    <row r="586" spans="1:8" ht="15.75" hidden="1" customHeight="1" x14ac:dyDescent="0.35">
      <c r="A586" s="15"/>
      <c r="B586" s="3" t="s">
        <v>753</v>
      </c>
      <c r="C586" s="3" t="s">
        <v>3301</v>
      </c>
      <c r="D586" s="3" t="s">
        <v>860</v>
      </c>
      <c r="E586" s="3" t="s">
        <v>2442</v>
      </c>
      <c r="F586" s="3" t="s">
        <v>1591</v>
      </c>
      <c r="G586" s="3" t="s">
        <v>3939</v>
      </c>
      <c r="H586" s="6">
        <v>40725.056000000004</v>
      </c>
    </row>
    <row r="587" spans="1:8" ht="15.75" hidden="1" customHeight="1" x14ac:dyDescent="0.35">
      <c r="A587" s="15"/>
      <c r="B587" s="3" t="s">
        <v>754</v>
      </c>
      <c r="C587" s="3" t="s">
        <v>3302</v>
      </c>
      <c r="D587" s="3" t="s">
        <v>860</v>
      </c>
      <c r="E587" s="3" t="s">
        <v>2443</v>
      </c>
      <c r="F587" s="3" t="s">
        <v>1592</v>
      </c>
      <c r="G587" s="3" t="s">
        <v>3680</v>
      </c>
      <c r="H587" s="6">
        <v>10588.32</v>
      </c>
    </row>
    <row r="588" spans="1:8" ht="15.75" hidden="1" customHeight="1" x14ac:dyDescent="0.35">
      <c r="A588" s="15"/>
      <c r="B588" s="3" t="s">
        <v>758</v>
      </c>
      <c r="C588" s="3" t="s">
        <v>3306</v>
      </c>
      <c r="D588" s="3" t="s">
        <v>861</v>
      </c>
      <c r="E588" s="3" t="s">
        <v>2447</v>
      </c>
      <c r="F588" s="3" t="s">
        <v>1595</v>
      </c>
      <c r="G588" s="3" t="s">
        <v>3938</v>
      </c>
      <c r="H588" s="6">
        <v>35118.688000000002</v>
      </c>
    </row>
    <row r="589" spans="1:8" ht="15.75" hidden="1" customHeight="1" x14ac:dyDescent="0.35">
      <c r="A589" s="15"/>
      <c r="B589" s="3" t="s">
        <v>759</v>
      </c>
      <c r="C589" s="3" t="s">
        <v>3307</v>
      </c>
      <c r="D589" s="3" t="s">
        <v>861</v>
      </c>
      <c r="E589" s="3" t="s">
        <v>2448</v>
      </c>
      <c r="F589" s="3" t="s">
        <v>1596</v>
      </c>
      <c r="G589" s="3" t="s">
        <v>3940</v>
      </c>
      <c r="H589" s="6">
        <v>14338.464</v>
      </c>
    </row>
    <row r="590" spans="1:8" ht="15.75" hidden="1" customHeight="1" x14ac:dyDescent="0.35">
      <c r="A590" s="15"/>
      <c r="B590" s="3" t="s">
        <v>6039</v>
      </c>
      <c r="C590" s="3" t="s">
        <v>6040</v>
      </c>
      <c r="D590" s="3" t="s">
        <v>860</v>
      </c>
      <c r="E590" s="3" t="s">
        <v>6041</v>
      </c>
      <c r="F590" s="3" t="s">
        <v>6042</v>
      </c>
      <c r="G590" s="3" t="s">
        <v>6043</v>
      </c>
      <c r="H590" s="6">
        <v>23037.727999999999</v>
      </c>
    </row>
    <row r="591" spans="1:8" ht="15.75" hidden="1" customHeight="1" x14ac:dyDescent="0.35">
      <c r="A591" s="15"/>
      <c r="B591" s="3" t="s">
        <v>6044</v>
      </c>
      <c r="C591" s="3" t="s">
        <v>6045</v>
      </c>
      <c r="D591" s="3" t="s">
        <v>860</v>
      </c>
      <c r="E591" s="3" t="s">
        <v>6046</v>
      </c>
      <c r="F591" s="3" t="s">
        <v>6047</v>
      </c>
      <c r="G591" s="3" t="s">
        <v>6043</v>
      </c>
      <c r="H591" s="6">
        <v>38131.327999999994</v>
      </c>
    </row>
    <row r="592" spans="1:8" ht="15.75" hidden="1" customHeight="1" x14ac:dyDescent="0.35">
      <c r="A592" s="15"/>
      <c r="B592" s="3" t="s">
        <v>763</v>
      </c>
      <c r="C592" s="3" t="s">
        <v>3311</v>
      </c>
      <c r="D592" s="3" t="s">
        <v>861</v>
      </c>
      <c r="E592" s="3" t="s">
        <v>2452</v>
      </c>
      <c r="F592" s="3" t="s">
        <v>1600</v>
      </c>
      <c r="G592" s="3" t="s">
        <v>3941</v>
      </c>
      <c r="H592" s="6">
        <v>12083.392</v>
      </c>
    </row>
    <row r="593" spans="1:8" ht="15.75" hidden="1" customHeight="1" x14ac:dyDescent="0.35">
      <c r="A593" s="15"/>
      <c r="B593" s="3" t="s">
        <v>765</v>
      </c>
      <c r="C593" s="3" t="s">
        <v>3313</v>
      </c>
      <c r="D593" s="3" t="s">
        <v>860</v>
      </c>
      <c r="E593" s="3" t="s">
        <v>2454</v>
      </c>
      <c r="F593" s="3" t="s">
        <v>1602</v>
      </c>
      <c r="G593" s="3" t="s">
        <v>3942</v>
      </c>
      <c r="H593" s="6">
        <v>24830.111999999997</v>
      </c>
    </row>
    <row r="594" spans="1:8" ht="15.75" hidden="1" customHeight="1" x14ac:dyDescent="0.35">
      <c r="A594" s="15"/>
      <c r="B594" s="3" t="s">
        <v>766</v>
      </c>
      <c r="C594" s="3" t="s">
        <v>3314</v>
      </c>
      <c r="D594" s="3" t="s">
        <v>861</v>
      </c>
      <c r="E594" s="3" t="s">
        <v>2455</v>
      </c>
      <c r="F594" s="3" t="s">
        <v>1603</v>
      </c>
      <c r="G594" s="3" t="s">
        <v>3943</v>
      </c>
      <c r="H594" s="6">
        <v>14912.415999999999</v>
      </c>
    </row>
    <row r="595" spans="1:8" ht="15.75" hidden="1" customHeight="1" x14ac:dyDescent="0.35">
      <c r="A595" s="15"/>
      <c r="B595" s="3" t="s">
        <v>767</v>
      </c>
      <c r="C595" s="3" t="s">
        <v>3315</v>
      </c>
      <c r="D595" s="3" t="s">
        <v>861</v>
      </c>
      <c r="E595" s="3" t="s">
        <v>2456</v>
      </c>
      <c r="F595" s="3" t="s">
        <v>1604</v>
      </c>
      <c r="G595" s="3" t="s">
        <v>3943</v>
      </c>
      <c r="H595" s="6">
        <v>39707.264000000003</v>
      </c>
    </row>
    <row r="596" spans="1:8" ht="15.75" customHeight="1" x14ac:dyDescent="0.35">
      <c r="A596" s="15"/>
      <c r="B596" s="3" t="s">
        <v>3944</v>
      </c>
      <c r="C596" s="3" t="s">
        <v>3945</v>
      </c>
      <c r="D596" s="3" t="s">
        <v>861</v>
      </c>
      <c r="E596" s="3" t="s">
        <v>3946</v>
      </c>
      <c r="F596" s="3" t="s">
        <v>1072</v>
      </c>
      <c r="G596" s="3" t="s">
        <v>3947</v>
      </c>
      <c r="H596" s="6">
        <v>36516.480000000003</v>
      </c>
    </row>
    <row r="597" spans="1:8" ht="15.75" hidden="1" customHeight="1" x14ac:dyDescent="0.35">
      <c r="A597" s="15"/>
      <c r="B597" s="3" t="s">
        <v>770</v>
      </c>
      <c r="C597" s="3" t="s">
        <v>3318</v>
      </c>
      <c r="D597" s="3" t="s">
        <v>861</v>
      </c>
      <c r="E597" s="3" t="s">
        <v>2459</v>
      </c>
      <c r="F597" s="3" t="s">
        <v>1607</v>
      </c>
      <c r="G597" s="3" t="s">
        <v>3948</v>
      </c>
      <c r="H597" s="6">
        <v>19963.071999999996</v>
      </c>
    </row>
    <row r="598" spans="1:8" ht="15.75" hidden="1" customHeight="1" x14ac:dyDescent="0.35">
      <c r="A598" s="15"/>
      <c r="B598" s="3" t="s">
        <v>773</v>
      </c>
      <c r="C598" s="3" t="s">
        <v>3321</v>
      </c>
      <c r="D598" s="3" t="s">
        <v>860</v>
      </c>
      <c r="E598" s="3" t="s">
        <v>2462</v>
      </c>
      <c r="F598" s="3" t="s">
        <v>1499</v>
      </c>
      <c r="G598" s="3" t="s">
        <v>3949</v>
      </c>
      <c r="H598" s="6">
        <v>14559.168</v>
      </c>
    </row>
    <row r="599" spans="1:8" ht="15.75" hidden="1" customHeight="1" x14ac:dyDescent="0.35">
      <c r="A599" s="15"/>
      <c r="B599" s="3" t="s">
        <v>775</v>
      </c>
      <c r="C599" s="3" t="s">
        <v>3323</v>
      </c>
      <c r="D599" s="3" t="s">
        <v>861</v>
      </c>
      <c r="E599" s="3" t="s">
        <v>2464</v>
      </c>
      <c r="F599" s="3" t="s">
        <v>1611</v>
      </c>
      <c r="G599" s="3" t="s">
        <v>3950</v>
      </c>
      <c r="H599" s="6">
        <v>76420.804096000007</v>
      </c>
    </row>
    <row r="600" spans="1:8" ht="15.75" customHeight="1" x14ac:dyDescent="0.35">
      <c r="A600" s="15"/>
      <c r="B600" s="3" t="s">
        <v>5824</v>
      </c>
      <c r="C600" s="3" t="s">
        <v>6048</v>
      </c>
      <c r="D600" s="3" t="s">
        <v>860</v>
      </c>
      <c r="E600" s="3" t="s">
        <v>5825</v>
      </c>
      <c r="F600" s="3" t="s">
        <v>5826</v>
      </c>
      <c r="G600" s="3" t="s">
        <v>5633</v>
      </c>
      <c r="H600" s="6">
        <v>53248.031999999992</v>
      </c>
    </row>
    <row r="601" spans="1:8" ht="15.75" hidden="1" customHeight="1" x14ac:dyDescent="0.35">
      <c r="A601" s="15"/>
      <c r="B601" s="3" t="s">
        <v>778</v>
      </c>
      <c r="C601" s="3" t="s">
        <v>3326</v>
      </c>
      <c r="D601" s="3" t="s">
        <v>861</v>
      </c>
      <c r="E601" s="3" t="s">
        <v>2467</v>
      </c>
      <c r="F601" s="3" t="s">
        <v>1614</v>
      </c>
      <c r="G601" s="3" t="s">
        <v>3951</v>
      </c>
      <c r="H601" s="6">
        <v>19770.944</v>
      </c>
    </row>
    <row r="602" spans="1:8" ht="15.75" hidden="1" customHeight="1" x14ac:dyDescent="0.35">
      <c r="A602" s="15"/>
      <c r="B602" s="3" t="s">
        <v>779</v>
      </c>
      <c r="C602" s="3" t="s">
        <v>3327</v>
      </c>
      <c r="D602" s="3" t="s">
        <v>860</v>
      </c>
      <c r="E602" s="3" t="s">
        <v>2468</v>
      </c>
      <c r="F602" s="3" t="s">
        <v>1615</v>
      </c>
      <c r="G602" s="3" t="s">
        <v>3951</v>
      </c>
      <c r="H602" s="6">
        <v>17378.464</v>
      </c>
    </row>
    <row r="603" spans="1:8" ht="15.75" hidden="1" customHeight="1" x14ac:dyDescent="0.35">
      <c r="A603" s="15"/>
      <c r="B603" s="3" t="s">
        <v>780</v>
      </c>
      <c r="C603" s="3" t="s">
        <v>3328</v>
      </c>
      <c r="D603" s="3" t="s">
        <v>861</v>
      </c>
      <c r="E603" s="3" t="s">
        <v>2469</v>
      </c>
      <c r="F603" s="3" t="s">
        <v>1616</v>
      </c>
      <c r="G603" s="3" t="s">
        <v>3951</v>
      </c>
      <c r="H603" s="6">
        <v>20410.559999999998</v>
      </c>
    </row>
    <row r="604" spans="1:8" ht="15.75" hidden="1" customHeight="1" x14ac:dyDescent="0.35">
      <c r="A604" s="15"/>
      <c r="B604" s="3" t="s">
        <v>782</v>
      </c>
      <c r="C604" s="3" t="s">
        <v>3330</v>
      </c>
      <c r="D604" s="3" t="s">
        <v>860</v>
      </c>
      <c r="E604" s="3" t="s">
        <v>2471</v>
      </c>
      <c r="F604" s="3" t="s">
        <v>1618</v>
      </c>
      <c r="G604" s="3" t="s">
        <v>3951</v>
      </c>
      <c r="H604" s="6">
        <v>21725.055999999997</v>
      </c>
    </row>
    <row r="605" spans="1:8" ht="15.75" hidden="1" customHeight="1" x14ac:dyDescent="0.35">
      <c r="A605" s="15"/>
      <c r="B605" s="3" t="s">
        <v>783</v>
      </c>
      <c r="C605" s="3" t="s">
        <v>3331</v>
      </c>
      <c r="D605" s="3" t="s">
        <v>861</v>
      </c>
      <c r="E605" s="3" t="s">
        <v>2472</v>
      </c>
      <c r="F605" s="3" t="s">
        <v>1619</v>
      </c>
      <c r="G605" s="3" t="s">
        <v>5801</v>
      </c>
      <c r="H605" s="6">
        <v>17289.696</v>
      </c>
    </row>
    <row r="606" spans="1:8" ht="15.75" customHeight="1" x14ac:dyDescent="0.35">
      <c r="A606" s="15"/>
      <c r="B606" s="3" t="s">
        <v>6049</v>
      </c>
      <c r="C606" s="3" t="s">
        <v>6050</v>
      </c>
      <c r="D606" s="3" t="s">
        <v>861</v>
      </c>
      <c r="E606" s="3" t="s">
        <v>6051</v>
      </c>
      <c r="F606" s="3" t="s">
        <v>6052</v>
      </c>
      <c r="G606" s="3" t="s">
        <v>3880</v>
      </c>
      <c r="H606" s="6">
        <v>6354.8159999999998</v>
      </c>
    </row>
    <row r="607" spans="1:8" ht="15.75" hidden="1" customHeight="1" x14ac:dyDescent="0.35">
      <c r="A607" s="15"/>
      <c r="B607" s="3" t="s">
        <v>787</v>
      </c>
      <c r="C607" s="3" t="s">
        <v>3335</v>
      </c>
      <c r="D607" s="3" t="s">
        <v>861</v>
      </c>
      <c r="E607" s="3" t="s">
        <v>2476</v>
      </c>
      <c r="F607" s="3" t="s">
        <v>1623</v>
      </c>
      <c r="G607" s="3" t="s">
        <v>3953</v>
      </c>
      <c r="H607" s="6">
        <v>10588.32</v>
      </c>
    </row>
    <row r="608" spans="1:8" ht="15.75" hidden="1" customHeight="1" x14ac:dyDescent="0.35">
      <c r="A608" s="15"/>
      <c r="B608" s="3" t="s">
        <v>789</v>
      </c>
      <c r="C608" s="3" t="s">
        <v>3337</v>
      </c>
      <c r="D608" s="3" t="s">
        <v>861</v>
      </c>
      <c r="E608" s="3" t="s">
        <v>2478</v>
      </c>
      <c r="F608" s="3" t="s">
        <v>1625</v>
      </c>
      <c r="G608" s="3" t="s">
        <v>3953</v>
      </c>
      <c r="H608" s="6">
        <v>22059.455999999998</v>
      </c>
    </row>
    <row r="609" spans="1:8" ht="15.75" hidden="1" customHeight="1" x14ac:dyDescent="0.35">
      <c r="A609" s="15"/>
      <c r="B609" s="3" t="s">
        <v>790</v>
      </c>
      <c r="C609" s="3" t="s">
        <v>3338</v>
      </c>
      <c r="D609" s="3" t="s">
        <v>860</v>
      </c>
      <c r="E609" s="3" t="s">
        <v>2479</v>
      </c>
      <c r="F609" s="3" t="s">
        <v>1626</v>
      </c>
      <c r="G609" s="3" t="s">
        <v>3953</v>
      </c>
      <c r="H609" s="6">
        <v>10588.32</v>
      </c>
    </row>
    <row r="610" spans="1:8" ht="15.75" hidden="1" customHeight="1" x14ac:dyDescent="0.35">
      <c r="A610" s="15"/>
      <c r="B610" s="3" t="s">
        <v>791</v>
      </c>
      <c r="C610" s="3" t="s">
        <v>3339</v>
      </c>
      <c r="D610" s="3" t="s">
        <v>861</v>
      </c>
      <c r="E610" s="3" t="s">
        <v>2480</v>
      </c>
      <c r="F610" s="3" t="s">
        <v>1627</v>
      </c>
      <c r="G610" s="3" t="s">
        <v>3954</v>
      </c>
      <c r="H610" s="6">
        <v>10588.32</v>
      </c>
    </row>
    <row r="611" spans="1:8" ht="15.75" hidden="1" customHeight="1" x14ac:dyDescent="0.35">
      <c r="A611" s="15"/>
      <c r="B611" s="3" t="s">
        <v>793</v>
      </c>
      <c r="C611" s="3" t="s">
        <v>3341</v>
      </c>
      <c r="D611" s="3" t="s">
        <v>861</v>
      </c>
      <c r="E611" s="3" t="s">
        <v>2482</v>
      </c>
      <c r="F611" s="3" t="s">
        <v>1629</v>
      </c>
      <c r="G611" s="3" t="s">
        <v>3955</v>
      </c>
      <c r="H611" s="6">
        <v>15073.535999999998</v>
      </c>
    </row>
    <row r="612" spans="1:8" ht="15.75" hidden="1" customHeight="1" x14ac:dyDescent="0.35">
      <c r="A612" s="15"/>
      <c r="B612" s="3" t="s">
        <v>794</v>
      </c>
      <c r="C612" s="3" t="s">
        <v>3342</v>
      </c>
      <c r="D612" s="3" t="s">
        <v>861</v>
      </c>
      <c r="E612" s="3" t="s">
        <v>2483</v>
      </c>
      <c r="F612" s="3" t="s">
        <v>1630</v>
      </c>
      <c r="G612" s="3" t="s">
        <v>3955</v>
      </c>
      <c r="H612" s="6">
        <v>25743.936000000002</v>
      </c>
    </row>
    <row r="613" spans="1:8" ht="15.75" hidden="1" customHeight="1" x14ac:dyDescent="0.35">
      <c r="A613" s="15"/>
      <c r="B613" s="3" t="s">
        <v>799</v>
      </c>
      <c r="C613" s="3" t="s">
        <v>3347</v>
      </c>
      <c r="D613" s="3" t="s">
        <v>860</v>
      </c>
      <c r="E613" s="3" t="s">
        <v>2488</v>
      </c>
      <c r="F613" s="3" t="s">
        <v>1635</v>
      </c>
      <c r="G613" s="3" t="s">
        <v>3956</v>
      </c>
      <c r="H613" s="6">
        <v>13130.368</v>
      </c>
    </row>
    <row r="614" spans="1:8" ht="15.75" hidden="1" customHeight="1" x14ac:dyDescent="0.35">
      <c r="A614" s="15"/>
      <c r="B614" s="3" t="s">
        <v>801</v>
      </c>
      <c r="C614" s="3" t="s">
        <v>3349</v>
      </c>
      <c r="D614" s="3" t="s">
        <v>861</v>
      </c>
      <c r="E614" s="3" t="s">
        <v>2490</v>
      </c>
      <c r="F614" s="3" t="s">
        <v>1637</v>
      </c>
      <c r="G614" s="3" t="s">
        <v>5881</v>
      </c>
      <c r="H614" s="6">
        <v>12083.392</v>
      </c>
    </row>
    <row r="615" spans="1:8" ht="15.75" hidden="1" customHeight="1" x14ac:dyDescent="0.35">
      <c r="A615" s="15"/>
      <c r="B615" s="3" t="s">
        <v>802</v>
      </c>
      <c r="C615" s="3" t="s">
        <v>3350</v>
      </c>
      <c r="D615" s="3" t="s">
        <v>861</v>
      </c>
      <c r="E615" s="3" t="s">
        <v>2491</v>
      </c>
      <c r="F615" s="3" t="s">
        <v>1638</v>
      </c>
      <c r="G615" s="3" t="s">
        <v>3957</v>
      </c>
      <c r="H615" s="6">
        <v>22059.455999999998</v>
      </c>
    </row>
    <row r="616" spans="1:8" ht="15.75" hidden="1" customHeight="1" x14ac:dyDescent="0.35">
      <c r="A616" s="15"/>
      <c r="B616" s="3" t="s">
        <v>805</v>
      </c>
      <c r="C616" s="3" t="s">
        <v>3353</v>
      </c>
      <c r="D616" s="3" t="s">
        <v>860</v>
      </c>
      <c r="E616" s="3" t="s">
        <v>2494</v>
      </c>
      <c r="F616" s="3" t="s">
        <v>1641</v>
      </c>
      <c r="G616" s="3" t="s">
        <v>3958</v>
      </c>
      <c r="H616" s="6">
        <v>36649.631999999998</v>
      </c>
    </row>
    <row r="617" spans="1:8" ht="15.75" hidden="1" customHeight="1" x14ac:dyDescent="0.35">
      <c r="A617" s="15"/>
      <c r="B617" s="3" t="s">
        <v>809</v>
      </c>
      <c r="C617" s="3" t="s">
        <v>3357</v>
      </c>
      <c r="D617" s="3" t="s">
        <v>861</v>
      </c>
      <c r="E617" s="3" t="s">
        <v>2498</v>
      </c>
      <c r="F617" s="3" t="s">
        <v>1645</v>
      </c>
      <c r="G617" s="3" t="s">
        <v>3959</v>
      </c>
      <c r="H617" s="6">
        <v>15621.951999999999</v>
      </c>
    </row>
    <row r="618" spans="1:8" ht="15.75" hidden="1" customHeight="1" x14ac:dyDescent="0.35">
      <c r="A618" s="15"/>
      <c r="B618" s="3" t="s">
        <v>810</v>
      </c>
      <c r="C618" s="3" t="s">
        <v>3358</v>
      </c>
      <c r="D618" s="3" t="s">
        <v>861</v>
      </c>
      <c r="E618" s="3" t="s">
        <v>2499</v>
      </c>
      <c r="F618" s="3" t="s">
        <v>1646</v>
      </c>
      <c r="G618" s="3" t="s">
        <v>3959</v>
      </c>
      <c r="H618" s="6">
        <v>14924.575999999999</v>
      </c>
    </row>
    <row r="619" spans="1:8" ht="15.75" hidden="1" customHeight="1" x14ac:dyDescent="0.35">
      <c r="A619" s="15"/>
      <c r="B619" s="3" t="s">
        <v>811</v>
      </c>
      <c r="C619" s="3" t="s">
        <v>3359</v>
      </c>
      <c r="D619" s="3" t="s">
        <v>860</v>
      </c>
      <c r="E619" s="3" t="s">
        <v>2500</v>
      </c>
      <c r="F619" s="3" t="s">
        <v>1647</v>
      </c>
      <c r="G619" s="3" t="s">
        <v>3959</v>
      </c>
      <c r="H619" s="6">
        <v>10737.888000000001</v>
      </c>
    </row>
    <row r="620" spans="1:8" ht="15.75" customHeight="1" x14ac:dyDescent="0.35">
      <c r="A620" s="15"/>
      <c r="B620" s="3" t="s">
        <v>6053</v>
      </c>
      <c r="C620" s="3" t="s">
        <v>6054</v>
      </c>
      <c r="D620" s="3" t="s">
        <v>861</v>
      </c>
      <c r="E620" s="3" t="s">
        <v>6055</v>
      </c>
      <c r="F620" s="3" t="s">
        <v>6056</v>
      </c>
      <c r="G620" s="3" t="s">
        <v>5579</v>
      </c>
      <c r="H620" s="6">
        <v>15887.039999999999</v>
      </c>
    </row>
    <row r="621" spans="1:8" ht="15.75" hidden="1" customHeight="1" x14ac:dyDescent="0.35">
      <c r="A621" s="15"/>
      <c r="B621" s="3" t="s">
        <v>814</v>
      </c>
      <c r="C621" s="3" t="s">
        <v>3362</v>
      </c>
      <c r="D621" s="3" t="s">
        <v>860</v>
      </c>
      <c r="E621" s="3" t="s">
        <v>2503</v>
      </c>
      <c r="F621" s="3" t="s">
        <v>1310</v>
      </c>
      <c r="G621" s="3" t="s">
        <v>3960</v>
      </c>
      <c r="H621" s="6">
        <v>10181.567999999999</v>
      </c>
    </row>
    <row r="622" spans="1:8" ht="15.75" hidden="1" customHeight="1" x14ac:dyDescent="0.35">
      <c r="A622" s="15"/>
      <c r="B622" s="3" t="s">
        <v>815</v>
      </c>
      <c r="C622" s="3" t="s">
        <v>3363</v>
      </c>
      <c r="D622" s="3" t="s">
        <v>860</v>
      </c>
      <c r="E622" s="3" t="s">
        <v>2504</v>
      </c>
      <c r="F622" s="3" t="s">
        <v>1650</v>
      </c>
      <c r="G622" s="3" t="s">
        <v>3960</v>
      </c>
      <c r="H622" s="6">
        <v>10181.567999999999</v>
      </c>
    </row>
    <row r="623" spans="1:8" ht="15.75" hidden="1" customHeight="1" x14ac:dyDescent="0.35">
      <c r="A623" s="15"/>
      <c r="B623" s="3" t="s">
        <v>816</v>
      </c>
      <c r="C623" s="3" t="s">
        <v>3364</v>
      </c>
      <c r="D623" s="3" t="s">
        <v>861</v>
      </c>
      <c r="E623" s="3" t="s">
        <v>2505</v>
      </c>
      <c r="F623" s="3" t="s">
        <v>1651</v>
      </c>
      <c r="G623" s="3" t="s">
        <v>3960</v>
      </c>
      <c r="H623" s="6">
        <v>10181.567999999999</v>
      </c>
    </row>
    <row r="624" spans="1:8" ht="15.75" hidden="1" customHeight="1" x14ac:dyDescent="0.35">
      <c r="A624" s="15"/>
      <c r="B624" s="3" t="s">
        <v>817</v>
      </c>
      <c r="C624" s="3" t="s">
        <v>3365</v>
      </c>
      <c r="D624" s="3" t="s">
        <v>861</v>
      </c>
      <c r="E624" s="3" t="s">
        <v>2506</v>
      </c>
      <c r="F624" s="3" t="s">
        <v>1652</v>
      </c>
      <c r="G624" s="3" t="s">
        <v>3960</v>
      </c>
      <c r="H624" s="6">
        <v>20585.055999999997</v>
      </c>
    </row>
    <row r="625" spans="1:8" ht="15.75" hidden="1" customHeight="1" x14ac:dyDescent="0.35">
      <c r="A625" s="15"/>
      <c r="B625" s="3" t="s">
        <v>818</v>
      </c>
      <c r="C625" s="3" t="s">
        <v>3366</v>
      </c>
      <c r="D625" s="3" t="s">
        <v>861</v>
      </c>
      <c r="E625" s="3" t="s">
        <v>2507</v>
      </c>
      <c r="F625" s="3" t="s">
        <v>1653</v>
      </c>
      <c r="G625" s="3" t="s">
        <v>3960</v>
      </c>
      <c r="H625" s="6">
        <v>10181.567999999999</v>
      </c>
    </row>
    <row r="626" spans="1:8" ht="15.75" hidden="1" customHeight="1" x14ac:dyDescent="0.35">
      <c r="A626" s="15"/>
      <c r="B626" s="3" t="s">
        <v>819</v>
      </c>
      <c r="C626" s="3" t="s">
        <v>3367</v>
      </c>
      <c r="D626" s="3" t="s">
        <v>861</v>
      </c>
      <c r="E626" s="3" t="s">
        <v>2508</v>
      </c>
      <c r="F626" s="3" t="s">
        <v>1654</v>
      </c>
      <c r="G626" s="3" t="s">
        <v>3960</v>
      </c>
      <c r="H626" s="6">
        <v>22575.040000000001</v>
      </c>
    </row>
    <row r="627" spans="1:8" ht="15.75" hidden="1" customHeight="1" x14ac:dyDescent="0.35">
      <c r="A627" s="15"/>
      <c r="B627" s="3" t="s">
        <v>820</v>
      </c>
      <c r="C627" s="3" t="s">
        <v>3368</v>
      </c>
      <c r="D627" s="3" t="s">
        <v>861</v>
      </c>
      <c r="E627" s="3" t="s">
        <v>2509</v>
      </c>
      <c r="F627" s="3" t="s">
        <v>1655</v>
      </c>
      <c r="G627" s="3" t="s">
        <v>3960</v>
      </c>
      <c r="H627" s="6">
        <v>10181.567999999999</v>
      </c>
    </row>
    <row r="628" spans="1:8" ht="15.75" hidden="1" customHeight="1" x14ac:dyDescent="0.35">
      <c r="A628" s="15"/>
      <c r="B628" s="3" t="s">
        <v>823</v>
      </c>
      <c r="C628" s="3" t="s">
        <v>3371</v>
      </c>
      <c r="D628" s="3" t="s">
        <v>861</v>
      </c>
      <c r="E628" s="3" t="s">
        <v>2512</v>
      </c>
      <c r="F628" s="3" t="s">
        <v>1657</v>
      </c>
      <c r="G628" s="3" t="s">
        <v>3961</v>
      </c>
      <c r="H628" s="6">
        <v>10181.567999999999</v>
      </c>
    </row>
    <row r="629" spans="1:8" ht="15.75" hidden="1" customHeight="1" x14ac:dyDescent="0.35">
      <c r="A629" s="15"/>
      <c r="B629" s="3" t="s">
        <v>826</v>
      </c>
      <c r="C629" s="3" t="s">
        <v>3374</v>
      </c>
      <c r="D629" s="3" t="s">
        <v>861</v>
      </c>
      <c r="E629" s="3" t="s">
        <v>2515</v>
      </c>
      <c r="F629" s="3" t="s">
        <v>1660</v>
      </c>
      <c r="G629" s="3" t="s">
        <v>3962</v>
      </c>
      <c r="H629" s="6">
        <v>15364.159999999998</v>
      </c>
    </row>
    <row r="630" spans="1:8" ht="15.75" hidden="1" customHeight="1" x14ac:dyDescent="0.35">
      <c r="A630" s="15"/>
      <c r="B630" s="3" t="s">
        <v>827</v>
      </c>
      <c r="C630" s="3" t="s">
        <v>3375</v>
      </c>
      <c r="D630" s="3" t="s">
        <v>861</v>
      </c>
      <c r="E630" s="3" t="s">
        <v>2516</v>
      </c>
      <c r="F630" s="3" t="s">
        <v>1661</v>
      </c>
      <c r="G630" s="3" t="s">
        <v>3962</v>
      </c>
      <c r="H630" s="6">
        <v>12473.727999999999</v>
      </c>
    </row>
    <row r="631" spans="1:8" ht="15.75" hidden="1" customHeight="1" x14ac:dyDescent="0.35">
      <c r="A631" s="15"/>
      <c r="B631" s="3" t="s">
        <v>829</v>
      </c>
      <c r="C631" s="3" t="s">
        <v>3377</v>
      </c>
      <c r="D631" s="3" t="s">
        <v>861</v>
      </c>
      <c r="E631" s="3" t="s">
        <v>2518</v>
      </c>
      <c r="F631" s="3" t="s">
        <v>1663</v>
      </c>
      <c r="G631" s="3" t="s">
        <v>3963</v>
      </c>
      <c r="H631" s="6">
        <v>25829.663999999997</v>
      </c>
    </row>
    <row r="632" spans="1:8" ht="15.75" customHeight="1" x14ac:dyDescent="0.35">
      <c r="A632" s="15"/>
      <c r="B632" s="3" t="s">
        <v>5878</v>
      </c>
      <c r="C632" s="3" t="s">
        <v>6057</v>
      </c>
      <c r="D632" s="3" t="s">
        <v>861</v>
      </c>
      <c r="E632" s="3" t="s">
        <v>5879</v>
      </c>
      <c r="F632" s="3" t="s">
        <v>5880</v>
      </c>
      <c r="G632" s="3" t="s">
        <v>3828</v>
      </c>
      <c r="H632" s="6">
        <v>55535.935999999994</v>
      </c>
    </row>
    <row r="633" spans="1:8" ht="15.75" customHeight="1" x14ac:dyDescent="0.35">
      <c r="A633" s="15"/>
      <c r="B633" s="3" t="s">
        <v>3969</v>
      </c>
      <c r="C633" s="3" t="s">
        <v>3970</v>
      </c>
      <c r="D633" s="3" t="s">
        <v>860</v>
      </c>
      <c r="E633" s="3" t="s">
        <v>3971</v>
      </c>
      <c r="F633" s="3" t="s">
        <v>3972</v>
      </c>
      <c r="G633" s="3" t="s">
        <v>3973</v>
      </c>
      <c r="H633" s="6">
        <v>95322.239999999991</v>
      </c>
    </row>
    <row r="634" spans="1:8" ht="15.75" customHeight="1" x14ac:dyDescent="0.35">
      <c r="A634" s="15"/>
      <c r="B634" s="3" t="s">
        <v>3974</v>
      </c>
      <c r="C634" s="3" t="s">
        <v>3975</v>
      </c>
      <c r="D634" s="3" t="s">
        <v>861</v>
      </c>
      <c r="E634" s="3" t="s">
        <v>3976</v>
      </c>
      <c r="F634" s="3" t="s">
        <v>3977</v>
      </c>
      <c r="G634" s="3" t="s">
        <v>3978</v>
      </c>
      <c r="H634" s="6">
        <v>30363.519999999997</v>
      </c>
    </row>
    <row r="635" spans="1:8" ht="15.75" customHeight="1" x14ac:dyDescent="0.35">
      <c r="A635" s="15"/>
      <c r="B635" s="3" t="s">
        <v>3979</v>
      </c>
      <c r="C635" s="3" t="s">
        <v>3980</v>
      </c>
      <c r="D635" s="3" t="s">
        <v>860</v>
      </c>
      <c r="E635" s="3" t="s">
        <v>3981</v>
      </c>
      <c r="F635" s="3" t="s">
        <v>3982</v>
      </c>
      <c r="G635" s="3" t="s">
        <v>3978</v>
      </c>
      <c r="H635" s="6">
        <v>24482.944</v>
      </c>
    </row>
    <row r="636" spans="1:8" ht="15.75" customHeight="1" x14ac:dyDescent="0.35">
      <c r="A636" s="15"/>
      <c r="B636" s="3" t="s">
        <v>3983</v>
      </c>
      <c r="C636" s="3" t="s">
        <v>3984</v>
      </c>
      <c r="D636" s="3" t="s">
        <v>860</v>
      </c>
      <c r="E636" s="3" t="s">
        <v>3985</v>
      </c>
      <c r="F636" s="3" t="s">
        <v>3986</v>
      </c>
      <c r="G636" s="3" t="s">
        <v>3987</v>
      </c>
      <c r="H636" s="6">
        <v>30313.663999999997</v>
      </c>
    </row>
    <row r="637" spans="1:8" ht="15.75" customHeight="1" x14ac:dyDescent="0.35">
      <c r="A637" s="15"/>
      <c r="B637" s="3" t="s">
        <v>3988</v>
      </c>
      <c r="C637" s="3" t="s">
        <v>3989</v>
      </c>
      <c r="D637" s="3" t="s">
        <v>861</v>
      </c>
      <c r="E637" s="3" t="s">
        <v>3990</v>
      </c>
      <c r="F637" s="3" t="s">
        <v>3991</v>
      </c>
      <c r="G637" s="3" t="s">
        <v>3992</v>
      </c>
      <c r="H637" s="6">
        <v>34574.527999999998</v>
      </c>
    </row>
    <row r="638" spans="1:8" ht="15.75" customHeight="1" x14ac:dyDescent="0.35">
      <c r="A638" s="15"/>
      <c r="B638" s="3" t="s">
        <v>3993</v>
      </c>
      <c r="C638" s="3" t="s">
        <v>3994</v>
      </c>
      <c r="D638" s="3" t="s">
        <v>861</v>
      </c>
      <c r="E638" s="3" t="s">
        <v>3995</v>
      </c>
      <c r="F638" s="3" t="s">
        <v>3996</v>
      </c>
      <c r="G638" s="3" t="s">
        <v>3947</v>
      </c>
      <c r="H638" s="6">
        <v>21929.647999999997</v>
      </c>
    </row>
    <row r="639" spans="1:8" ht="15.75" customHeight="1" x14ac:dyDescent="0.35">
      <c r="A639" s="15"/>
      <c r="B639" s="3" t="s">
        <v>3997</v>
      </c>
      <c r="C639" s="3" t="s">
        <v>3998</v>
      </c>
      <c r="D639" s="3" t="s">
        <v>861</v>
      </c>
      <c r="E639" s="3" t="s">
        <v>3999</v>
      </c>
      <c r="F639" s="3" t="s">
        <v>4000</v>
      </c>
      <c r="G639" s="3" t="s">
        <v>4001</v>
      </c>
      <c r="H639" s="6">
        <v>15251.375999999998</v>
      </c>
    </row>
    <row r="640" spans="1:8" ht="15.75" customHeight="1" x14ac:dyDescent="0.35">
      <c r="A640" s="15"/>
      <c r="B640" s="3" t="s">
        <v>6058</v>
      </c>
      <c r="C640" s="3" t="s">
        <v>6059</v>
      </c>
      <c r="D640" s="3" t="s">
        <v>860</v>
      </c>
      <c r="E640" s="3" t="s">
        <v>6060</v>
      </c>
      <c r="F640" s="3" t="s">
        <v>4862</v>
      </c>
      <c r="G640" s="3" t="s">
        <v>3947</v>
      </c>
      <c r="H640" s="6">
        <v>13699.152</v>
      </c>
    </row>
    <row r="641" spans="1:8" ht="15.75" customHeight="1" x14ac:dyDescent="0.35">
      <c r="A641" s="15"/>
      <c r="B641" s="3" t="s">
        <v>4007</v>
      </c>
      <c r="C641" s="3" t="s">
        <v>4008</v>
      </c>
      <c r="D641" s="3" t="s">
        <v>861</v>
      </c>
      <c r="E641" s="3" t="s">
        <v>4009</v>
      </c>
      <c r="F641" s="3" t="s">
        <v>4010</v>
      </c>
      <c r="G641" s="3" t="s">
        <v>3947</v>
      </c>
      <c r="H641" s="6">
        <v>19238.64</v>
      </c>
    </row>
    <row r="642" spans="1:8" ht="15.75" customHeight="1" x14ac:dyDescent="0.35">
      <c r="A642" s="15"/>
      <c r="B642" s="3" t="s">
        <v>4011</v>
      </c>
      <c r="C642" s="3" t="s">
        <v>4012</v>
      </c>
      <c r="D642" s="3" t="s">
        <v>860</v>
      </c>
      <c r="E642" s="3" t="s">
        <v>4013</v>
      </c>
      <c r="F642" s="3" t="s">
        <v>4014</v>
      </c>
      <c r="G642" s="3" t="s">
        <v>3947</v>
      </c>
      <c r="H642" s="6">
        <v>17145.295999999998</v>
      </c>
    </row>
    <row r="643" spans="1:8" ht="15.75" customHeight="1" x14ac:dyDescent="0.35">
      <c r="A643" s="15"/>
      <c r="B643" s="3" t="s">
        <v>4015</v>
      </c>
      <c r="C643" s="3" t="s">
        <v>4016</v>
      </c>
      <c r="D643" s="3" t="s">
        <v>860</v>
      </c>
      <c r="E643" s="3" t="s">
        <v>4017</v>
      </c>
      <c r="F643" s="3" t="s">
        <v>4018</v>
      </c>
      <c r="G643" s="3" t="s">
        <v>4019</v>
      </c>
      <c r="H643" s="6">
        <v>15251.375999999998</v>
      </c>
    </row>
    <row r="644" spans="1:8" ht="15.75" customHeight="1" x14ac:dyDescent="0.35">
      <c r="A644" s="15"/>
      <c r="B644" s="3" t="s">
        <v>4020</v>
      </c>
      <c r="C644" s="3" t="s">
        <v>4021</v>
      </c>
      <c r="D644" s="3" t="s">
        <v>860</v>
      </c>
      <c r="E644" s="3" t="s">
        <v>4022</v>
      </c>
      <c r="F644" s="3" t="s">
        <v>4023</v>
      </c>
      <c r="G644" s="3" t="s">
        <v>4019</v>
      </c>
      <c r="H644" s="6">
        <v>15251.375999999998</v>
      </c>
    </row>
    <row r="645" spans="1:8" ht="15.75" customHeight="1" x14ac:dyDescent="0.35">
      <c r="A645" s="15"/>
      <c r="B645" s="3" t="s">
        <v>6061</v>
      </c>
      <c r="C645" s="3" t="s">
        <v>6062</v>
      </c>
      <c r="D645" s="3" t="s">
        <v>860</v>
      </c>
      <c r="E645" s="3" t="s">
        <v>6063</v>
      </c>
      <c r="F645" s="3" t="s">
        <v>6064</v>
      </c>
      <c r="G645" s="3" t="s">
        <v>4019</v>
      </c>
      <c r="H645" s="6">
        <v>20335.471999999998</v>
      </c>
    </row>
    <row r="646" spans="1:8" ht="15.75" customHeight="1" x14ac:dyDescent="0.35">
      <c r="A646" s="15"/>
      <c r="B646" s="3" t="s">
        <v>5744</v>
      </c>
      <c r="C646" s="3" t="s">
        <v>6065</v>
      </c>
      <c r="D646" s="3" t="s">
        <v>861</v>
      </c>
      <c r="E646" s="3" t="s">
        <v>5745</v>
      </c>
      <c r="F646" s="3" t="s">
        <v>5746</v>
      </c>
      <c r="G646" s="3" t="s">
        <v>4019</v>
      </c>
      <c r="H646" s="6">
        <v>15251.375999999998</v>
      </c>
    </row>
    <row r="647" spans="1:8" ht="15.75" customHeight="1" x14ac:dyDescent="0.35">
      <c r="A647" s="15"/>
      <c r="B647" s="3" t="s">
        <v>4024</v>
      </c>
      <c r="C647" s="3" t="s">
        <v>4025</v>
      </c>
      <c r="D647" s="3" t="s">
        <v>861</v>
      </c>
      <c r="E647" s="3" t="s">
        <v>4026</v>
      </c>
      <c r="F647" s="3" t="s">
        <v>4027</v>
      </c>
      <c r="G647" s="3" t="s">
        <v>4019</v>
      </c>
      <c r="H647" s="6">
        <v>15251.375999999998</v>
      </c>
    </row>
    <row r="648" spans="1:8" ht="15.75" customHeight="1" x14ac:dyDescent="0.35">
      <c r="A648" s="15"/>
      <c r="B648" s="3" t="s">
        <v>4028</v>
      </c>
      <c r="C648" s="3" t="s">
        <v>4029</v>
      </c>
      <c r="D648" s="3" t="s">
        <v>861</v>
      </c>
      <c r="E648" s="3" t="s">
        <v>4030</v>
      </c>
      <c r="F648" s="3" t="s">
        <v>4031</v>
      </c>
      <c r="G648" s="3" t="s">
        <v>4032</v>
      </c>
      <c r="H648" s="6">
        <v>38128.896000000001</v>
      </c>
    </row>
    <row r="649" spans="1:8" ht="15.75" customHeight="1" x14ac:dyDescent="0.35">
      <c r="A649" s="15"/>
      <c r="B649" s="3" t="s">
        <v>5766</v>
      </c>
      <c r="C649" s="3" t="s">
        <v>6066</v>
      </c>
      <c r="D649" s="3" t="s">
        <v>860</v>
      </c>
      <c r="E649" s="3" t="s">
        <v>5767</v>
      </c>
      <c r="F649" s="3" t="s">
        <v>5768</v>
      </c>
      <c r="G649" s="3" t="s">
        <v>4037</v>
      </c>
      <c r="H649" s="6">
        <v>204333.59999999998</v>
      </c>
    </row>
    <row r="650" spans="1:8" ht="15.75" customHeight="1" x14ac:dyDescent="0.35">
      <c r="A650" s="15"/>
      <c r="B650" s="3" t="s">
        <v>5638</v>
      </c>
      <c r="C650" s="3" t="s">
        <v>6067</v>
      </c>
      <c r="D650" s="3" t="s">
        <v>861</v>
      </c>
      <c r="E650" s="3" t="s">
        <v>5639</v>
      </c>
      <c r="F650" s="3" t="s">
        <v>5640</v>
      </c>
      <c r="G650" s="3" t="s">
        <v>4037</v>
      </c>
      <c r="H650" s="6">
        <v>179523.552</v>
      </c>
    </row>
    <row r="651" spans="1:8" ht="15.75" customHeight="1" x14ac:dyDescent="0.35">
      <c r="A651" s="15"/>
      <c r="B651" s="3" t="s">
        <v>4033</v>
      </c>
      <c r="C651" s="3" t="s">
        <v>4034</v>
      </c>
      <c r="D651" s="3" t="s">
        <v>861</v>
      </c>
      <c r="E651" s="3" t="s">
        <v>4035</v>
      </c>
      <c r="F651" s="3" t="s">
        <v>4036</v>
      </c>
      <c r="G651" s="3" t="s">
        <v>4037</v>
      </c>
      <c r="H651" s="6">
        <v>57193.343999999997</v>
      </c>
    </row>
    <row r="652" spans="1:8" ht="15.75" customHeight="1" x14ac:dyDescent="0.35">
      <c r="A652" s="15"/>
      <c r="B652" s="3" t="s">
        <v>5755</v>
      </c>
      <c r="C652" s="3" t="s">
        <v>6068</v>
      </c>
      <c r="D652" s="3" t="s">
        <v>860</v>
      </c>
      <c r="E652" s="3" t="s">
        <v>5756</v>
      </c>
      <c r="F652" s="3" t="s">
        <v>5757</v>
      </c>
      <c r="G652" s="3" t="s">
        <v>4037</v>
      </c>
      <c r="H652" s="6">
        <v>39333.952000000005</v>
      </c>
    </row>
    <row r="653" spans="1:8" ht="15.75" customHeight="1" x14ac:dyDescent="0.35">
      <c r="A653" s="15"/>
      <c r="B653" s="3" t="s">
        <v>4038</v>
      </c>
      <c r="C653" s="3" t="s">
        <v>4039</v>
      </c>
      <c r="D653" s="3" t="s">
        <v>861</v>
      </c>
      <c r="E653" s="3" t="s">
        <v>4040</v>
      </c>
      <c r="F653" s="3" t="s">
        <v>4041</v>
      </c>
      <c r="G653" s="3" t="s">
        <v>4042</v>
      </c>
      <c r="H653" s="6">
        <v>25180.928</v>
      </c>
    </row>
    <row r="654" spans="1:8" ht="15.75" customHeight="1" x14ac:dyDescent="0.35">
      <c r="A654" s="15"/>
      <c r="B654" s="3" t="s">
        <v>6069</v>
      </c>
      <c r="C654" s="3" t="s">
        <v>6070</v>
      </c>
      <c r="D654" s="3" t="s">
        <v>861</v>
      </c>
      <c r="E654" s="3" t="s">
        <v>6071</v>
      </c>
      <c r="F654" s="3" t="s">
        <v>6072</v>
      </c>
      <c r="G654" s="3" t="s">
        <v>4052</v>
      </c>
      <c r="H654" s="6">
        <v>63548.159999999996</v>
      </c>
    </row>
    <row r="655" spans="1:8" ht="15.75" customHeight="1" x14ac:dyDescent="0.35">
      <c r="A655" s="15"/>
      <c r="B655" s="3" t="s">
        <v>5848</v>
      </c>
      <c r="C655" s="3" t="s">
        <v>6073</v>
      </c>
      <c r="D655" s="3" t="s">
        <v>861</v>
      </c>
      <c r="E655" s="3" t="s">
        <v>5849</v>
      </c>
      <c r="F655" s="3" t="s">
        <v>5850</v>
      </c>
      <c r="G655" s="3" t="s">
        <v>4052</v>
      </c>
      <c r="H655" s="6">
        <v>15251.375999999998</v>
      </c>
    </row>
    <row r="656" spans="1:8" ht="15.75" customHeight="1" x14ac:dyDescent="0.35">
      <c r="A656" s="15"/>
      <c r="B656" s="3" t="s">
        <v>6074</v>
      </c>
      <c r="C656" s="3" t="s">
        <v>6075</v>
      </c>
      <c r="D656" s="3" t="s">
        <v>861</v>
      </c>
      <c r="E656" s="3" t="s">
        <v>6076</v>
      </c>
      <c r="F656" s="3" t="s">
        <v>6077</v>
      </c>
      <c r="G656" s="3" t="s">
        <v>4052</v>
      </c>
      <c r="H656" s="6">
        <v>15251.375999999998</v>
      </c>
    </row>
    <row r="657" spans="1:8" ht="15.75" customHeight="1" x14ac:dyDescent="0.35">
      <c r="A657" s="15"/>
      <c r="B657" s="3" t="s">
        <v>5775</v>
      </c>
      <c r="C657" s="3" t="s">
        <v>6078</v>
      </c>
      <c r="D657" s="3" t="s">
        <v>860</v>
      </c>
      <c r="E657" s="3" t="s">
        <v>5776</v>
      </c>
      <c r="F657" s="3" t="s">
        <v>5777</v>
      </c>
      <c r="G657" s="3" t="s">
        <v>4052</v>
      </c>
      <c r="H657" s="6">
        <v>31774.079999999998</v>
      </c>
    </row>
    <row r="658" spans="1:8" ht="15.75" customHeight="1" x14ac:dyDescent="0.35">
      <c r="A658" s="15"/>
      <c r="B658" s="3" t="s">
        <v>6079</v>
      </c>
      <c r="C658" s="3" t="s">
        <v>6080</v>
      </c>
      <c r="D658" s="3" t="s">
        <v>861</v>
      </c>
      <c r="E658" s="3" t="s">
        <v>6081</v>
      </c>
      <c r="F658" s="3" t="s">
        <v>6082</v>
      </c>
      <c r="G658" s="3" t="s">
        <v>4052</v>
      </c>
      <c r="H658" s="6">
        <v>15251.375999999998</v>
      </c>
    </row>
    <row r="659" spans="1:8" ht="15.75" customHeight="1" x14ac:dyDescent="0.35">
      <c r="A659" s="15"/>
      <c r="B659" s="3" t="s">
        <v>4048</v>
      </c>
      <c r="C659" s="3" t="s">
        <v>4049</v>
      </c>
      <c r="D659" s="3" t="s">
        <v>860</v>
      </c>
      <c r="E659" s="3" t="s">
        <v>4050</v>
      </c>
      <c r="F659" s="3" t="s">
        <v>4051</v>
      </c>
      <c r="G659" s="3" t="s">
        <v>4052</v>
      </c>
      <c r="H659" s="6">
        <v>21479.423999999999</v>
      </c>
    </row>
    <row r="660" spans="1:8" ht="15.75" customHeight="1" x14ac:dyDescent="0.35">
      <c r="A660" s="15"/>
      <c r="B660" s="3" t="s">
        <v>4053</v>
      </c>
      <c r="C660" s="3" t="s">
        <v>4054</v>
      </c>
      <c r="D660" s="3" t="s">
        <v>860</v>
      </c>
      <c r="E660" s="3" t="s">
        <v>4055</v>
      </c>
      <c r="F660" s="3" t="s">
        <v>4056</v>
      </c>
      <c r="G660" s="3" t="s">
        <v>4057</v>
      </c>
      <c r="H660" s="6">
        <v>27622.655999999999</v>
      </c>
    </row>
    <row r="661" spans="1:8" ht="15.75" customHeight="1" x14ac:dyDescent="0.35">
      <c r="A661" s="15"/>
      <c r="B661" s="3" t="s">
        <v>4058</v>
      </c>
      <c r="C661" s="3" t="s">
        <v>4059</v>
      </c>
      <c r="D661" s="3" t="s">
        <v>860</v>
      </c>
      <c r="E661" s="3" t="s">
        <v>4060</v>
      </c>
      <c r="F661" s="3" t="s">
        <v>1099</v>
      </c>
      <c r="G661" s="3" t="s">
        <v>4061</v>
      </c>
      <c r="H661" s="6">
        <v>18939.503999999997</v>
      </c>
    </row>
    <row r="662" spans="1:8" ht="15.75" customHeight="1" x14ac:dyDescent="0.35">
      <c r="A662" s="15"/>
      <c r="B662" s="3" t="s">
        <v>4062</v>
      </c>
      <c r="C662" s="3" t="s">
        <v>4063</v>
      </c>
      <c r="D662" s="3" t="s">
        <v>860</v>
      </c>
      <c r="E662" s="3" t="s">
        <v>4064</v>
      </c>
      <c r="F662" s="3" t="s">
        <v>4065</v>
      </c>
      <c r="G662" s="3" t="s">
        <v>4066</v>
      </c>
      <c r="H662" s="6">
        <v>63548.159999999996</v>
      </c>
    </row>
    <row r="663" spans="1:8" ht="15.75" customHeight="1" x14ac:dyDescent="0.35">
      <c r="A663" s="15"/>
      <c r="B663" s="3" t="s">
        <v>4067</v>
      </c>
      <c r="C663" s="3" t="s">
        <v>4068</v>
      </c>
      <c r="D663" s="3" t="s">
        <v>861</v>
      </c>
      <c r="E663" s="3" t="s">
        <v>4069</v>
      </c>
      <c r="F663" s="3" t="s">
        <v>4070</v>
      </c>
      <c r="G663" s="3" t="s">
        <v>4071</v>
      </c>
      <c r="H663" s="6">
        <v>34200</v>
      </c>
    </row>
    <row r="664" spans="1:8" ht="15.75" customHeight="1" x14ac:dyDescent="0.35">
      <c r="A664" s="15"/>
      <c r="B664" s="3" t="s">
        <v>6083</v>
      </c>
      <c r="C664" s="3" t="s">
        <v>6084</v>
      </c>
      <c r="D664" s="3" t="s">
        <v>860</v>
      </c>
      <c r="E664" s="3" t="s">
        <v>6085</v>
      </c>
      <c r="F664" s="3" t="s">
        <v>6086</v>
      </c>
      <c r="G664" s="3" t="s">
        <v>4071</v>
      </c>
      <c r="H664" s="6">
        <v>15999.215999999999</v>
      </c>
    </row>
    <row r="665" spans="1:8" ht="15.75" customHeight="1" x14ac:dyDescent="0.35">
      <c r="A665" s="15"/>
      <c r="B665" s="3" t="s">
        <v>5649</v>
      </c>
      <c r="C665" s="3" t="s">
        <v>6087</v>
      </c>
      <c r="D665" s="3" t="s">
        <v>861</v>
      </c>
      <c r="E665" s="3" t="s">
        <v>5650</v>
      </c>
      <c r="F665" s="3" t="s">
        <v>5651</v>
      </c>
      <c r="G665" s="3" t="s">
        <v>5652</v>
      </c>
      <c r="H665" s="6">
        <v>20833.423999999999</v>
      </c>
    </row>
    <row r="666" spans="1:8" ht="15.75" customHeight="1" x14ac:dyDescent="0.35">
      <c r="A666" s="15"/>
      <c r="B666" s="3" t="s">
        <v>4072</v>
      </c>
      <c r="C666" s="3" t="s">
        <v>4073</v>
      </c>
      <c r="D666" s="3" t="s">
        <v>860</v>
      </c>
      <c r="E666" s="3" t="s">
        <v>4074</v>
      </c>
      <c r="F666" s="3" t="s">
        <v>4075</v>
      </c>
      <c r="G666" s="3" t="s">
        <v>4076</v>
      </c>
      <c r="H666" s="6">
        <v>71491.679999999993</v>
      </c>
    </row>
    <row r="667" spans="1:8" ht="15.75" customHeight="1" x14ac:dyDescent="0.35">
      <c r="A667" s="15"/>
      <c r="B667" s="3" t="s">
        <v>4077</v>
      </c>
      <c r="C667" s="3" t="s">
        <v>4078</v>
      </c>
      <c r="D667" s="3" t="s">
        <v>861</v>
      </c>
      <c r="E667" s="3" t="s">
        <v>4079</v>
      </c>
      <c r="F667" s="3" t="s">
        <v>4080</v>
      </c>
      <c r="G667" s="3" t="s">
        <v>4081</v>
      </c>
      <c r="H667" s="6">
        <v>25380.351999999999</v>
      </c>
    </row>
    <row r="668" spans="1:8" ht="15.75" customHeight="1" x14ac:dyDescent="0.35">
      <c r="A668" s="15"/>
      <c r="B668" s="3" t="s">
        <v>4082</v>
      </c>
      <c r="C668" s="3" t="s">
        <v>4083</v>
      </c>
      <c r="D668" s="3" t="s">
        <v>861</v>
      </c>
      <c r="E668" s="3" t="s">
        <v>4084</v>
      </c>
      <c r="F668" s="3" t="s">
        <v>4085</v>
      </c>
      <c r="G668" s="3" t="s">
        <v>4086</v>
      </c>
      <c r="H668" s="6">
        <v>41306.303999999996</v>
      </c>
    </row>
    <row r="669" spans="1:8" ht="15.75" customHeight="1" x14ac:dyDescent="0.35">
      <c r="A669" s="15"/>
      <c r="B669" s="3" t="s">
        <v>4087</v>
      </c>
      <c r="C669" s="3" t="s">
        <v>4088</v>
      </c>
      <c r="D669" s="3" t="s">
        <v>861</v>
      </c>
      <c r="E669" s="3" t="s">
        <v>4089</v>
      </c>
      <c r="F669" s="3" t="s">
        <v>4090</v>
      </c>
      <c r="G669" s="3" t="s">
        <v>4091</v>
      </c>
      <c r="H669" s="6">
        <v>204333.59999999998</v>
      </c>
    </row>
    <row r="670" spans="1:8" ht="15.75" customHeight="1" x14ac:dyDescent="0.35">
      <c r="A670" s="15"/>
      <c r="B670" s="3" t="s">
        <v>4092</v>
      </c>
      <c r="C670" s="3" t="s">
        <v>4093</v>
      </c>
      <c r="D670" s="3" t="s">
        <v>860</v>
      </c>
      <c r="E670" s="3" t="s">
        <v>4094</v>
      </c>
      <c r="F670" s="3" t="s">
        <v>4095</v>
      </c>
      <c r="G670" s="3" t="s">
        <v>4096</v>
      </c>
      <c r="H670" s="6">
        <v>120435.07199999999</v>
      </c>
    </row>
    <row r="671" spans="1:8" ht="15.75" customHeight="1" x14ac:dyDescent="0.35">
      <c r="A671" s="15"/>
      <c r="B671" s="3" t="s">
        <v>4097</v>
      </c>
      <c r="C671" s="3" t="s">
        <v>4098</v>
      </c>
      <c r="D671" s="3" t="s">
        <v>861</v>
      </c>
      <c r="E671" s="3" t="s">
        <v>4099</v>
      </c>
      <c r="F671" s="3" t="s">
        <v>4100</v>
      </c>
      <c r="G671" s="3" t="s">
        <v>4101</v>
      </c>
      <c r="H671" s="6">
        <v>122330.208</v>
      </c>
    </row>
    <row r="672" spans="1:8" ht="15.75" customHeight="1" x14ac:dyDescent="0.35">
      <c r="A672" s="15"/>
      <c r="B672" s="3" t="s">
        <v>5737</v>
      </c>
      <c r="C672" s="3" t="s">
        <v>6088</v>
      </c>
      <c r="D672" s="3" t="s">
        <v>861</v>
      </c>
      <c r="E672" s="3" t="s">
        <v>5738</v>
      </c>
      <c r="F672" s="3" t="s">
        <v>5739</v>
      </c>
      <c r="G672" s="3" t="s">
        <v>5592</v>
      </c>
      <c r="H672" s="6">
        <v>15480.288</v>
      </c>
    </row>
    <row r="673" spans="1:8" ht="15.75" customHeight="1" x14ac:dyDescent="0.35">
      <c r="A673" s="15"/>
      <c r="B673" s="3" t="s">
        <v>5843</v>
      </c>
      <c r="C673" s="3" t="s">
        <v>6089</v>
      </c>
      <c r="D673" s="3" t="s">
        <v>860</v>
      </c>
      <c r="E673" s="3" t="s">
        <v>5844</v>
      </c>
      <c r="F673" s="3" t="s">
        <v>5845</v>
      </c>
      <c r="G673" s="3" t="s">
        <v>4106</v>
      </c>
      <c r="H673" s="6">
        <v>33054.527999999998</v>
      </c>
    </row>
    <row r="674" spans="1:8" ht="15.75" customHeight="1" x14ac:dyDescent="0.35">
      <c r="A674" s="15"/>
      <c r="B674" s="3" t="s">
        <v>4102</v>
      </c>
      <c r="C674" s="3" t="s">
        <v>4103</v>
      </c>
      <c r="D674" s="3" t="s">
        <v>861</v>
      </c>
      <c r="E674" s="3" t="s">
        <v>4104</v>
      </c>
      <c r="F674" s="3" t="s">
        <v>4105</v>
      </c>
      <c r="G674" s="3" t="s">
        <v>4106</v>
      </c>
      <c r="H674" s="6">
        <v>20035.727999999999</v>
      </c>
    </row>
    <row r="675" spans="1:8" ht="15.75" customHeight="1" x14ac:dyDescent="0.35">
      <c r="A675" s="15"/>
      <c r="B675" s="3" t="s">
        <v>4107</v>
      </c>
      <c r="C675" s="3" t="s">
        <v>4108</v>
      </c>
      <c r="D675" s="3" t="s">
        <v>860</v>
      </c>
      <c r="E675" s="3" t="s">
        <v>4109</v>
      </c>
      <c r="F675" s="3" t="s">
        <v>4110</v>
      </c>
      <c r="G675" s="3" t="s">
        <v>4111</v>
      </c>
      <c r="H675" s="6">
        <v>30263.807999999997</v>
      </c>
    </row>
    <row r="676" spans="1:8" ht="15.75" customHeight="1" x14ac:dyDescent="0.35">
      <c r="A676" s="15"/>
      <c r="B676" s="3" t="s">
        <v>4112</v>
      </c>
      <c r="C676" s="3" t="s">
        <v>4113</v>
      </c>
      <c r="D676" s="3" t="s">
        <v>861</v>
      </c>
      <c r="E676" s="3" t="s">
        <v>4114</v>
      </c>
      <c r="F676" s="3" t="s">
        <v>4115</v>
      </c>
      <c r="G676" s="3" t="s">
        <v>4116</v>
      </c>
      <c r="H676" s="6">
        <v>10320.192000000001</v>
      </c>
    </row>
    <row r="677" spans="1:8" ht="15.75" customHeight="1" x14ac:dyDescent="0.35">
      <c r="A677" s="15"/>
      <c r="B677" s="3" t="s">
        <v>4117</v>
      </c>
      <c r="C677" s="3" t="s">
        <v>4118</v>
      </c>
      <c r="D677" s="3" t="s">
        <v>861</v>
      </c>
      <c r="E677" s="3" t="s">
        <v>4119</v>
      </c>
      <c r="F677" s="3" t="s">
        <v>4120</v>
      </c>
      <c r="G677" s="3" t="s">
        <v>4116</v>
      </c>
      <c r="H677" s="6">
        <v>25419.263999999999</v>
      </c>
    </row>
    <row r="678" spans="1:8" ht="15.75" customHeight="1" x14ac:dyDescent="0.35">
      <c r="A678" s="15"/>
      <c r="B678" s="3" t="s">
        <v>4121</v>
      </c>
      <c r="C678" s="3" t="s">
        <v>4122</v>
      </c>
      <c r="D678" s="3" t="s">
        <v>861</v>
      </c>
      <c r="E678" s="3" t="s">
        <v>4123</v>
      </c>
      <c r="F678" s="3" t="s">
        <v>4124</v>
      </c>
      <c r="G678" s="3" t="s">
        <v>4125</v>
      </c>
      <c r="H678" s="6">
        <v>24757.151999999998</v>
      </c>
    </row>
    <row r="679" spans="1:8" ht="15.75" customHeight="1" x14ac:dyDescent="0.35">
      <c r="A679" s="15"/>
      <c r="B679" s="3" t="s">
        <v>4126</v>
      </c>
      <c r="C679" s="3" t="s">
        <v>4127</v>
      </c>
      <c r="D679" s="3" t="s">
        <v>861</v>
      </c>
      <c r="E679" s="3" t="s">
        <v>4128</v>
      </c>
      <c r="F679" s="3" t="s">
        <v>4129</v>
      </c>
      <c r="G679" s="3" t="s">
        <v>4130</v>
      </c>
      <c r="H679" s="6">
        <v>21288.815999999999</v>
      </c>
    </row>
    <row r="680" spans="1:8" ht="15.75" customHeight="1" x14ac:dyDescent="0.35">
      <c r="A680" s="15"/>
      <c r="B680" s="3" t="s">
        <v>5714</v>
      </c>
      <c r="C680" s="3" t="s">
        <v>6090</v>
      </c>
      <c r="D680" s="3" t="s">
        <v>860</v>
      </c>
      <c r="E680" s="3" t="s">
        <v>5715</v>
      </c>
      <c r="F680" s="3" t="s">
        <v>5716</v>
      </c>
      <c r="G680" s="3" t="s">
        <v>5717</v>
      </c>
      <c r="H680" s="6">
        <v>28353.471999999998</v>
      </c>
    </row>
    <row r="681" spans="1:8" ht="15.75" customHeight="1" x14ac:dyDescent="0.35">
      <c r="A681" s="15"/>
      <c r="B681" s="3" t="s">
        <v>6091</v>
      </c>
      <c r="C681" s="3" t="s">
        <v>6092</v>
      </c>
      <c r="D681" s="3" t="s">
        <v>861</v>
      </c>
      <c r="E681" s="3" t="s">
        <v>6093</v>
      </c>
      <c r="F681" s="3" t="s">
        <v>6094</v>
      </c>
      <c r="G681" s="3" t="s">
        <v>5717</v>
      </c>
      <c r="H681" s="6">
        <v>40829.023999999998</v>
      </c>
    </row>
    <row r="682" spans="1:8" ht="15.75" customHeight="1" x14ac:dyDescent="0.35">
      <c r="A682" s="15"/>
      <c r="B682" s="3" t="s">
        <v>6095</v>
      </c>
      <c r="C682" s="3" t="s">
        <v>6096</v>
      </c>
      <c r="D682" s="3" t="s">
        <v>860</v>
      </c>
      <c r="E682" s="3" t="s">
        <v>6097</v>
      </c>
      <c r="F682" s="3" t="s">
        <v>6098</v>
      </c>
      <c r="G682" s="3" t="s">
        <v>5717</v>
      </c>
      <c r="H682" s="6">
        <v>15480.288</v>
      </c>
    </row>
    <row r="683" spans="1:8" ht="15.75" customHeight="1" x14ac:dyDescent="0.35">
      <c r="A683" s="15"/>
      <c r="B683" s="3" t="s">
        <v>4131</v>
      </c>
      <c r="C683" s="3" t="s">
        <v>4132</v>
      </c>
      <c r="D683" s="3" t="s">
        <v>861</v>
      </c>
      <c r="E683" s="3" t="s">
        <v>4133</v>
      </c>
      <c r="F683" s="3" t="s">
        <v>4134</v>
      </c>
      <c r="G683" s="3" t="s">
        <v>4135</v>
      </c>
      <c r="H683" s="6">
        <v>18764.399999999998</v>
      </c>
    </row>
    <row r="684" spans="1:8" ht="15.75" customHeight="1" x14ac:dyDescent="0.35">
      <c r="A684" s="15"/>
      <c r="B684" s="3" t="s">
        <v>4136</v>
      </c>
      <c r="C684" s="3" t="s">
        <v>4137</v>
      </c>
      <c r="D684" s="3" t="s">
        <v>861</v>
      </c>
      <c r="E684" s="3" t="s">
        <v>4138</v>
      </c>
      <c r="F684" s="3" t="s">
        <v>4139</v>
      </c>
      <c r="G684" s="3" t="s">
        <v>4140</v>
      </c>
      <c r="H684" s="6">
        <v>33902.080000000002</v>
      </c>
    </row>
    <row r="685" spans="1:8" ht="15.75" customHeight="1" x14ac:dyDescent="0.35">
      <c r="A685" s="15"/>
      <c r="B685" s="3" t="s">
        <v>4141</v>
      </c>
      <c r="C685" s="3" t="s">
        <v>4142</v>
      </c>
      <c r="D685" s="3" t="s">
        <v>860</v>
      </c>
      <c r="E685" s="3" t="s">
        <v>4143</v>
      </c>
      <c r="F685" s="3" t="s">
        <v>4144</v>
      </c>
      <c r="G685" s="3" t="s">
        <v>4145</v>
      </c>
      <c r="H685" s="6">
        <v>54244.543999999994</v>
      </c>
    </row>
    <row r="686" spans="1:8" ht="15.75" customHeight="1" x14ac:dyDescent="0.35">
      <c r="A686" s="15"/>
      <c r="B686" s="3" t="s">
        <v>4146</v>
      </c>
      <c r="C686" s="3" t="s">
        <v>4147</v>
      </c>
      <c r="D686" s="3" t="s">
        <v>860</v>
      </c>
      <c r="E686" s="3" t="s">
        <v>4148</v>
      </c>
      <c r="F686" s="3" t="s">
        <v>4149</v>
      </c>
      <c r="G686" s="3" t="s">
        <v>4150</v>
      </c>
      <c r="H686" s="6">
        <v>38128.896000000001</v>
      </c>
    </row>
    <row r="687" spans="1:8" ht="15.75" customHeight="1" x14ac:dyDescent="0.35">
      <c r="A687" s="15"/>
      <c r="B687" s="3" t="s">
        <v>4151</v>
      </c>
      <c r="C687" s="3" t="s">
        <v>4152</v>
      </c>
      <c r="D687" s="3" t="s">
        <v>860</v>
      </c>
      <c r="E687" s="3" t="s">
        <v>4153</v>
      </c>
      <c r="F687" s="3" t="s">
        <v>4154</v>
      </c>
      <c r="G687" s="3" t="s">
        <v>4145</v>
      </c>
      <c r="H687" s="6">
        <v>41113.567999999999</v>
      </c>
    </row>
    <row r="688" spans="1:8" ht="15.75" customHeight="1" x14ac:dyDescent="0.35">
      <c r="A688" s="15"/>
      <c r="B688" s="3" t="s">
        <v>5731</v>
      </c>
      <c r="C688" s="3" t="s">
        <v>6099</v>
      </c>
      <c r="D688" s="3" t="s">
        <v>861</v>
      </c>
      <c r="E688" s="3" t="s">
        <v>5732</v>
      </c>
      <c r="F688" s="3" t="s">
        <v>5733</v>
      </c>
      <c r="G688" s="3" t="s">
        <v>4150</v>
      </c>
      <c r="H688" s="6">
        <v>16746.448</v>
      </c>
    </row>
    <row r="689" spans="1:8" ht="15.75" customHeight="1" x14ac:dyDescent="0.35">
      <c r="A689" s="15"/>
      <c r="B689" s="3" t="s">
        <v>4155</v>
      </c>
      <c r="C689" s="3" t="s">
        <v>4156</v>
      </c>
      <c r="D689" s="3" t="s">
        <v>860</v>
      </c>
      <c r="E689" s="3" t="s">
        <v>4157</v>
      </c>
      <c r="F689" s="3" t="s">
        <v>4158</v>
      </c>
      <c r="G689" s="3" t="s">
        <v>4159</v>
      </c>
      <c r="H689" s="6">
        <v>23586.144</v>
      </c>
    </row>
    <row r="690" spans="1:8" ht="15.75" customHeight="1" x14ac:dyDescent="0.35">
      <c r="A690" s="15"/>
      <c r="B690" s="3" t="s">
        <v>5909</v>
      </c>
      <c r="C690" s="3" t="s">
        <v>6100</v>
      </c>
      <c r="D690" s="3" t="s">
        <v>860</v>
      </c>
      <c r="E690" s="3" t="s">
        <v>5910</v>
      </c>
      <c r="F690" s="3" t="s">
        <v>5911</v>
      </c>
      <c r="G690" s="3" t="s">
        <v>4159</v>
      </c>
      <c r="H690" s="6">
        <v>37041.792000000001</v>
      </c>
    </row>
    <row r="691" spans="1:8" ht="15.75" customHeight="1" x14ac:dyDescent="0.35">
      <c r="A691" s="15"/>
      <c r="B691" s="3" t="s">
        <v>4160</v>
      </c>
      <c r="C691" s="3" t="s">
        <v>4161</v>
      </c>
      <c r="D691" s="3" t="s">
        <v>860</v>
      </c>
      <c r="E691" s="3" t="s">
        <v>4162</v>
      </c>
      <c r="F691" s="3" t="s">
        <v>4163</v>
      </c>
      <c r="G691" s="3" t="s">
        <v>4164</v>
      </c>
      <c r="H691" s="6">
        <v>27473.088</v>
      </c>
    </row>
    <row r="692" spans="1:8" ht="15.75" customHeight="1" x14ac:dyDescent="0.35">
      <c r="A692" s="15"/>
      <c r="B692" s="3" t="s">
        <v>4165</v>
      </c>
      <c r="C692" s="3" t="s">
        <v>4166</v>
      </c>
      <c r="D692" s="3" t="s">
        <v>860</v>
      </c>
      <c r="E692" s="3" t="s">
        <v>4167</v>
      </c>
      <c r="F692" s="3" t="s">
        <v>4168</v>
      </c>
      <c r="G692" s="3" t="s">
        <v>4159</v>
      </c>
      <c r="H692" s="6">
        <v>30363.519999999997</v>
      </c>
    </row>
    <row r="693" spans="1:8" ht="15.75" customHeight="1" x14ac:dyDescent="0.35">
      <c r="A693" s="15"/>
      <c r="B693" s="3" t="s">
        <v>5956</v>
      </c>
      <c r="C693" s="3" t="s">
        <v>6101</v>
      </c>
      <c r="D693" s="3" t="s">
        <v>861</v>
      </c>
      <c r="E693" s="3" t="s">
        <v>5957</v>
      </c>
      <c r="F693" s="3" t="s">
        <v>1532</v>
      </c>
      <c r="G693" s="3" t="s">
        <v>3823</v>
      </c>
      <c r="H693" s="6">
        <v>15251.375999999998</v>
      </c>
    </row>
    <row r="694" spans="1:8" ht="15.75" customHeight="1" x14ac:dyDescent="0.35">
      <c r="A694" s="15"/>
      <c r="B694" s="3" t="s">
        <v>5890</v>
      </c>
      <c r="C694" s="3" t="s">
        <v>6102</v>
      </c>
      <c r="D694" s="3" t="s">
        <v>860</v>
      </c>
      <c r="E694" s="3" t="s">
        <v>5891</v>
      </c>
      <c r="F694" s="3" t="s">
        <v>5892</v>
      </c>
      <c r="G694" s="3" t="s">
        <v>5508</v>
      </c>
      <c r="H694" s="6">
        <v>15251.375999999998</v>
      </c>
    </row>
    <row r="695" spans="1:8" ht="15.75" customHeight="1" x14ac:dyDescent="0.35">
      <c r="A695" s="15"/>
      <c r="B695" s="3" t="s">
        <v>5690</v>
      </c>
      <c r="C695" s="3" t="s">
        <v>6103</v>
      </c>
      <c r="D695" s="3" t="s">
        <v>861</v>
      </c>
      <c r="E695" s="3" t="s">
        <v>5691</v>
      </c>
      <c r="F695" s="3" t="s">
        <v>5692</v>
      </c>
      <c r="G695" s="3" t="s">
        <v>5508</v>
      </c>
      <c r="H695" s="6">
        <v>15251.375999999998</v>
      </c>
    </row>
    <row r="696" spans="1:8" ht="15.75" customHeight="1" x14ac:dyDescent="0.35">
      <c r="A696" s="15"/>
      <c r="B696" s="3" t="s">
        <v>4169</v>
      </c>
      <c r="C696" s="3" t="s">
        <v>4170</v>
      </c>
      <c r="D696" s="3" t="s">
        <v>861</v>
      </c>
      <c r="E696" s="3" t="s">
        <v>4171</v>
      </c>
      <c r="F696" s="3" t="s">
        <v>4172</v>
      </c>
      <c r="G696" s="3" t="s">
        <v>4173</v>
      </c>
      <c r="H696" s="6">
        <v>15251.375999999998</v>
      </c>
    </row>
    <row r="697" spans="1:8" ht="15.75" customHeight="1" x14ac:dyDescent="0.35">
      <c r="A697" s="15"/>
      <c r="B697" s="3" t="s">
        <v>5905</v>
      </c>
      <c r="C697" s="3" t="s">
        <v>6104</v>
      </c>
      <c r="D697" s="3" t="s">
        <v>861</v>
      </c>
      <c r="E697" s="3" t="s">
        <v>5906</v>
      </c>
      <c r="F697" s="3" t="s">
        <v>5907</v>
      </c>
      <c r="G697" s="3" t="s">
        <v>5508</v>
      </c>
      <c r="H697" s="6">
        <v>25419.263999999999</v>
      </c>
    </row>
    <row r="698" spans="1:8" ht="15.75" customHeight="1" x14ac:dyDescent="0.35">
      <c r="A698" s="15"/>
      <c r="B698" s="3" t="s">
        <v>4174</v>
      </c>
      <c r="C698" s="3" t="s">
        <v>4175</v>
      </c>
      <c r="D698" s="3" t="s">
        <v>860</v>
      </c>
      <c r="E698" s="3" t="s">
        <v>4176</v>
      </c>
      <c r="F698" s="3" t="s">
        <v>4177</v>
      </c>
      <c r="G698" s="3" t="s">
        <v>4178</v>
      </c>
      <c r="H698" s="6">
        <v>15251.375999999998</v>
      </c>
    </row>
    <row r="699" spans="1:8" ht="15.75" customHeight="1" x14ac:dyDescent="0.35">
      <c r="A699" s="15"/>
      <c r="B699" s="3" t="s">
        <v>4179</v>
      </c>
      <c r="C699" s="3" t="s">
        <v>4180</v>
      </c>
      <c r="D699" s="3" t="s">
        <v>861</v>
      </c>
      <c r="E699" s="3" t="s">
        <v>4181</v>
      </c>
      <c r="F699" s="3" t="s">
        <v>4182</v>
      </c>
      <c r="G699" s="3" t="s">
        <v>3823</v>
      </c>
      <c r="H699" s="6">
        <v>15251.375999999998</v>
      </c>
    </row>
    <row r="700" spans="1:8" ht="15.75" customHeight="1" x14ac:dyDescent="0.35">
      <c r="A700" s="15"/>
      <c r="B700" s="3" t="s">
        <v>4183</v>
      </c>
      <c r="C700" s="3" t="s">
        <v>4184</v>
      </c>
      <c r="D700" s="3" t="s">
        <v>861</v>
      </c>
      <c r="E700" s="3" t="s">
        <v>4185</v>
      </c>
      <c r="F700" s="3" t="s">
        <v>4186</v>
      </c>
      <c r="G700" s="3" t="s">
        <v>3823</v>
      </c>
      <c r="H700" s="6">
        <v>22079.215999999997</v>
      </c>
    </row>
    <row r="701" spans="1:8" ht="15.75" customHeight="1" x14ac:dyDescent="0.35">
      <c r="A701" s="15"/>
      <c r="B701" s="3" t="s">
        <v>4187</v>
      </c>
      <c r="C701" s="3" t="s">
        <v>4188</v>
      </c>
      <c r="D701" s="3" t="s">
        <v>860</v>
      </c>
      <c r="E701" s="3" t="s">
        <v>4189</v>
      </c>
      <c r="F701" s="3" t="s">
        <v>4190</v>
      </c>
      <c r="G701" s="3" t="s">
        <v>5754</v>
      </c>
      <c r="H701" s="6">
        <v>20902.128000000001</v>
      </c>
    </row>
    <row r="702" spans="1:8" ht="15.75" customHeight="1" x14ac:dyDescent="0.35">
      <c r="A702" s="15"/>
      <c r="B702" s="3" t="s">
        <v>5851</v>
      </c>
      <c r="C702" s="3" t="s">
        <v>6105</v>
      </c>
      <c r="D702" s="3" t="s">
        <v>861</v>
      </c>
      <c r="E702" s="3" t="s">
        <v>5852</v>
      </c>
      <c r="F702" s="3" t="s">
        <v>5853</v>
      </c>
      <c r="G702" s="3" t="s">
        <v>5754</v>
      </c>
      <c r="H702" s="6">
        <v>15251.375999999998</v>
      </c>
    </row>
    <row r="703" spans="1:8" ht="15.75" customHeight="1" x14ac:dyDescent="0.35">
      <c r="A703" s="15"/>
      <c r="B703" s="3" t="s">
        <v>6106</v>
      </c>
      <c r="C703" s="3" t="s">
        <v>6107</v>
      </c>
      <c r="D703" s="3" t="s">
        <v>860</v>
      </c>
      <c r="E703" s="3" t="s">
        <v>6108</v>
      </c>
      <c r="F703" s="3" t="s">
        <v>6109</v>
      </c>
      <c r="G703" s="3" t="s">
        <v>4196</v>
      </c>
      <c r="H703" s="6">
        <v>24831.936000000002</v>
      </c>
    </row>
    <row r="704" spans="1:8" ht="15.75" customHeight="1" x14ac:dyDescent="0.35">
      <c r="A704" s="15"/>
      <c r="B704" s="3" t="s">
        <v>4192</v>
      </c>
      <c r="C704" s="3" t="s">
        <v>4193</v>
      </c>
      <c r="D704" s="3" t="s">
        <v>861</v>
      </c>
      <c r="E704" s="3" t="s">
        <v>4194</v>
      </c>
      <c r="F704" s="3" t="s">
        <v>4195</v>
      </c>
      <c r="G704" s="3" t="s">
        <v>4196</v>
      </c>
      <c r="H704" s="6">
        <v>67161.504000000001</v>
      </c>
    </row>
    <row r="705" spans="1:8" ht="15.75" customHeight="1" x14ac:dyDescent="0.35">
      <c r="A705" s="15"/>
      <c r="B705" s="3" t="s">
        <v>4197</v>
      </c>
      <c r="C705" s="3" t="s">
        <v>4198</v>
      </c>
      <c r="D705" s="3" t="s">
        <v>860</v>
      </c>
      <c r="E705" s="3" t="s">
        <v>4199</v>
      </c>
      <c r="F705" s="3" t="s">
        <v>4200</v>
      </c>
      <c r="G705" s="3" t="s">
        <v>4201</v>
      </c>
      <c r="H705" s="6">
        <v>35424.815999999999</v>
      </c>
    </row>
    <row r="706" spans="1:8" ht="15.75" customHeight="1" x14ac:dyDescent="0.35">
      <c r="A706" s="15"/>
      <c r="B706" s="3" t="s">
        <v>4202</v>
      </c>
      <c r="C706" s="3" t="s">
        <v>4203</v>
      </c>
      <c r="D706" s="3" t="s">
        <v>860</v>
      </c>
      <c r="E706" s="3" t="s">
        <v>4204</v>
      </c>
      <c r="F706" s="3" t="s">
        <v>4205</v>
      </c>
      <c r="G706" s="3" t="s">
        <v>4201</v>
      </c>
      <c r="H706" s="6">
        <v>21605.583999999999</v>
      </c>
    </row>
    <row r="707" spans="1:8" ht="15.75" customHeight="1" x14ac:dyDescent="0.35">
      <c r="A707" s="15"/>
      <c r="B707" s="3" t="s">
        <v>4206</v>
      </c>
      <c r="C707" s="3" t="s">
        <v>4207</v>
      </c>
      <c r="D707" s="3" t="s">
        <v>860</v>
      </c>
      <c r="E707" s="3" t="s">
        <v>4208</v>
      </c>
      <c r="F707" s="3" t="s">
        <v>4209</v>
      </c>
      <c r="G707" s="3" t="s">
        <v>4201</v>
      </c>
      <c r="H707" s="6">
        <v>19686.736000000001</v>
      </c>
    </row>
    <row r="708" spans="1:8" ht="15.75" customHeight="1" x14ac:dyDescent="0.35">
      <c r="A708" s="15"/>
      <c r="B708" s="3" t="s">
        <v>4210</v>
      </c>
      <c r="C708" s="3" t="s">
        <v>4211</v>
      </c>
      <c r="D708" s="3" t="s">
        <v>861</v>
      </c>
      <c r="E708" s="3" t="s">
        <v>4212</v>
      </c>
      <c r="F708" s="3" t="s">
        <v>4213</v>
      </c>
      <c r="G708" s="3" t="s">
        <v>4196</v>
      </c>
      <c r="H708" s="6">
        <v>31774.079999999998</v>
      </c>
    </row>
    <row r="709" spans="1:8" ht="15.75" customHeight="1" x14ac:dyDescent="0.35">
      <c r="A709" s="15"/>
      <c r="B709" s="3" t="s">
        <v>5694</v>
      </c>
      <c r="C709" s="3" t="s">
        <v>6110</v>
      </c>
      <c r="D709" s="3" t="s">
        <v>860</v>
      </c>
      <c r="E709" s="3" t="s">
        <v>5695</v>
      </c>
      <c r="F709" s="3" t="s">
        <v>5696</v>
      </c>
      <c r="G709" s="3" t="s">
        <v>4201</v>
      </c>
      <c r="H709" s="6">
        <v>31774.079999999998</v>
      </c>
    </row>
    <row r="710" spans="1:8" ht="15.75" customHeight="1" x14ac:dyDescent="0.35">
      <c r="A710" s="15"/>
      <c r="B710" s="3" t="s">
        <v>5668</v>
      </c>
      <c r="C710" s="3" t="s">
        <v>6111</v>
      </c>
      <c r="D710" s="3" t="s">
        <v>860</v>
      </c>
      <c r="E710" s="3" t="s">
        <v>5669</v>
      </c>
      <c r="F710" s="3" t="s">
        <v>5670</v>
      </c>
      <c r="G710" s="3" t="s">
        <v>5671</v>
      </c>
      <c r="H710" s="6">
        <v>24034.239999999998</v>
      </c>
    </row>
    <row r="711" spans="1:8" ht="15.75" customHeight="1" x14ac:dyDescent="0.35">
      <c r="A711" s="15"/>
      <c r="B711" s="3" t="s">
        <v>5758</v>
      </c>
      <c r="C711" s="3" t="s">
        <v>6112</v>
      </c>
      <c r="D711" s="3" t="s">
        <v>860</v>
      </c>
      <c r="E711" s="3" t="s">
        <v>5759</v>
      </c>
      <c r="F711" s="3" t="s">
        <v>5760</v>
      </c>
      <c r="G711" s="3" t="s">
        <v>4218</v>
      </c>
      <c r="H711" s="6">
        <v>19636.88</v>
      </c>
    </row>
    <row r="712" spans="1:8" ht="15.75" customHeight="1" x14ac:dyDescent="0.35">
      <c r="A712" s="15"/>
      <c r="B712" s="3" t="s">
        <v>4214</v>
      </c>
      <c r="C712" s="3" t="s">
        <v>4215</v>
      </c>
      <c r="D712" s="3" t="s">
        <v>861</v>
      </c>
      <c r="E712" s="3" t="s">
        <v>4216</v>
      </c>
      <c r="F712" s="3" t="s">
        <v>4217</v>
      </c>
      <c r="G712" s="3" t="s">
        <v>4218</v>
      </c>
      <c r="H712" s="6">
        <v>20085.583999999999</v>
      </c>
    </row>
    <row r="713" spans="1:8" ht="15.75" customHeight="1" x14ac:dyDescent="0.35">
      <c r="A713" s="15"/>
      <c r="B713" s="3" t="s">
        <v>4219</v>
      </c>
      <c r="C713" s="3" t="s">
        <v>4220</v>
      </c>
      <c r="D713" s="3" t="s">
        <v>861</v>
      </c>
      <c r="E713" s="3" t="s">
        <v>4221</v>
      </c>
      <c r="F713" s="3" t="s">
        <v>4222</v>
      </c>
      <c r="G713" s="3" t="s">
        <v>4223</v>
      </c>
      <c r="H713" s="6">
        <v>15480.288</v>
      </c>
    </row>
    <row r="714" spans="1:8" ht="15.75" customHeight="1" x14ac:dyDescent="0.35">
      <c r="A714" s="15"/>
      <c r="B714" s="3" t="s">
        <v>4224</v>
      </c>
      <c r="C714" s="3" t="s">
        <v>4225</v>
      </c>
      <c r="D714" s="3" t="s">
        <v>861</v>
      </c>
      <c r="E714" s="3" t="s">
        <v>4226</v>
      </c>
      <c r="F714" s="3" t="s">
        <v>4227</v>
      </c>
      <c r="G714" s="3" t="s">
        <v>4228</v>
      </c>
      <c r="H714" s="6">
        <v>27223.807999999997</v>
      </c>
    </row>
    <row r="715" spans="1:8" ht="15.75" customHeight="1" x14ac:dyDescent="0.35">
      <c r="A715" s="15"/>
      <c r="B715" s="3" t="s">
        <v>4229</v>
      </c>
      <c r="C715" s="3" t="s">
        <v>4230</v>
      </c>
      <c r="D715" s="3" t="s">
        <v>861</v>
      </c>
      <c r="E715" s="3" t="s">
        <v>4231</v>
      </c>
      <c r="F715" s="3" t="s">
        <v>4232</v>
      </c>
      <c r="G715" s="3" t="s">
        <v>3828</v>
      </c>
      <c r="H715" s="6">
        <v>27007.967999999997</v>
      </c>
    </row>
    <row r="716" spans="1:8" ht="15.75" customHeight="1" x14ac:dyDescent="0.35">
      <c r="A716" s="15"/>
      <c r="B716" s="3" t="s">
        <v>6113</v>
      </c>
      <c r="C716" s="3" t="s">
        <v>6114</v>
      </c>
      <c r="D716" s="3" t="s">
        <v>861</v>
      </c>
      <c r="E716" s="3" t="s">
        <v>6115</v>
      </c>
      <c r="F716" s="3" t="s">
        <v>6116</v>
      </c>
      <c r="G716" s="3" t="s">
        <v>3828</v>
      </c>
      <c r="H716" s="6">
        <v>15480.288</v>
      </c>
    </row>
    <row r="717" spans="1:8" ht="15.75" customHeight="1" x14ac:dyDescent="0.35">
      <c r="A717" s="15"/>
      <c r="B717" s="3" t="s">
        <v>6117</v>
      </c>
      <c r="C717" s="3" t="s">
        <v>6118</v>
      </c>
      <c r="D717" s="3" t="s">
        <v>861</v>
      </c>
      <c r="E717" s="3" t="s">
        <v>6119</v>
      </c>
      <c r="F717" s="3" t="s">
        <v>6120</v>
      </c>
      <c r="G717" s="3" t="s">
        <v>6121</v>
      </c>
      <c r="H717" s="6">
        <v>23830.559999999998</v>
      </c>
    </row>
    <row r="718" spans="1:8" ht="15.75" customHeight="1" x14ac:dyDescent="0.35">
      <c r="A718" s="15"/>
      <c r="B718" s="3" t="s">
        <v>4233</v>
      </c>
      <c r="C718" s="3" t="s">
        <v>4234</v>
      </c>
      <c r="D718" s="3" t="s">
        <v>860</v>
      </c>
      <c r="E718" s="3" t="s">
        <v>4235</v>
      </c>
      <c r="F718" s="3" t="s">
        <v>1463</v>
      </c>
      <c r="G718" s="3" t="s">
        <v>3464</v>
      </c>
      <c r="H718" s="6">
        <v>27572.799999999999</v>
      </c>
    </row>
    <row r="719" spans="1:8" ht="15.75" customHeight="1" x14ac:dyDescent="0.35">
      <c r="A719" s="15"/>
      <c r="B719" s="3" t="s">
        <v>4236</v>
      </c>
      <c r="C719" s="3" t="s">
        <v>4237</v>
      </c>
      <c r="D719" s="3" t="s">
        <v>861</v>
      </c>
      <c r="E719" s="3" t="s">
        <v>4238</v>
      </c>
      <c r="F719" s="3" t="s">
        <v>4239</v>
      </c>
      <c r="G719" s="3" t="s">
        <v>4240</v>
      </c>
      <c r="H719" s="6">
        <v>24059.167999999998</v>
      </c>
    </row>
    <row r="720" spans="1:8" ht="15.75" customHeight="1" x14ac:dyDescent="0.35">
      <c r="A720" s="15"/>
      <c r="B720" s="3" t="s">
        <v>4241</v>
      </c>
      <c r="C720" s="3" t="s">
        <v>4242</v>
      </c>
      <c r="D720" s="3" t="s">
        <v>860</v>
      </c>
      <c r="E720" s="3" t="s">
        <v>4243</v>
      </c>
      <c r="F720" s="3" t="s">
        <v>4244</v>
      </c>
      <c r="G720" s="3" t="s">
        <v>4240</v>
      </c>
      <c r="H720" s="6">
        <v>26875.423999999995</v>
      </c>
    </row>
    <row r="721" spans="1:8" ht="15.75" customHeight="1" x14ac:dyDescent="0.35">
      <c r="A721" s="15"/>
      <c r="B721" s="3" t="s">
        <v>6122</v>
      </c>
      <c r="C721" s="3" t="s">
        <v>6123</v>
      </c>
      <c r="D721" s="3" t="s">
        <v>861</v>
      </c>
      <c r="E721" s="3" t="s">
        <v>6124</v>
      </c>
      <c r="F721" s="3" t="s">
        <v>6125</v>
      </c>
      <c r="G721" s="3" t="s">
        <v>4240</v>
      </c>
      <c r="H721" s="6">
        <v>27234.144</v>
      </c>
    </row>
    <row r="722" spans="1:8" ht="15.75" customHeight="1" x14ac:dyDescent="0.35">
      <c r="A722" s="15"/>
      <c r="B722" s="3" t="s">
        <v>5794</v>
      </c>
      <c r="C722" s="3" t="s">
        <v>6126</v>
      </c>
      <c r="D722" s="3" t="s">
        <v>861</v>
      </c>
      <c r="E722" s="3" t="s">
        <v>5795</v>
      </c>
      <c r="F722" s="3" t="s">
        <v>5121</v>
      </c>
      <c r="G722" s="3" t="s">
        <v>4240</v>
      </c>
      <c r="H722" s="6">
        <v>24675.68</v>
      </c>
    </row>
    <row r="723" spans="1:8" ht="15.75" customHeight="1" x14ac:dyDescent="0.35">
      <c r="A723" s="15"/>
      <c r="B723" s="3" t="s">
        <v>6127</v>
      </c>
      <c r="C723" s="3" t="s">
        <v>6128</v>
      </c>
      <c r="D723" s="3" t="s">
        <v>861</v>
      </c>
      <c r="E723" s="3" t="s">
        <v>6129</v>
      </c>
      <c r="F723" s="3" t="s">
        <v>6130</v>
      </c>
      <c r="G723" s="3" t="s">
        <v>4240</v>
      </c>
      <c r="H723" s="6">
        <v>24597.248</v>
      </c>
    </row>
    <row r="724" spans="1:8" ht="15.75" customHeight="1" x14ac:dyDescent="0.35">
      <c r="A724" s="15"/>
      <c r="B724" s="3" t="s">
        <v>4245</v>
      </c>
      <c r="C724" s="3" t="s">
        <v>4246</v>
      </c>
      <c r="D724" s="3" t="s">
        <v>860</v>
      </c>
      <c r="E724" s="3" t="s">
        <v>4247</v>
      </c>
      <c r="F724" s="3" t="s">
        <v>4248</v>
      </c>
      <c r="G724" s="3" t="s">
        <v>4240</v>
      </c>
      <c r="H724" s="6">
        <v>22877.519999999997</v>
      </c>
    </row>
    <row r="725" spans="1:8" ht="15.75" customHeight="1" x14ac:dyDescent="0.35">
      <c r="A725" s="15"/>
      <c r="B725" s="3" t="s">
        <v>4249</v>
      </c>
      <c r="C725" s="3" t="s">
        <v>4250</v>
      </c>
      <c r="D725" s="3" t="s">
        <v>861</v>
      </c>
      <c r="E725" s="3" t="s">
        <v>4251</v>
      </c>
      <c r="F725" s="3" t="s">
        <v>4252</v>
      </c>
      <c r="G725" s="3" t="s">
        <v>4253</v>
      </c>
      <c r="H725" s="6">
        <v>27238.399999999998</v>
      </c>
    </row>
    <row r="726" spans="1:8" ht="15.75" customHeight="1" x14ac:dyDescent="0.35">
      <c r="A726" s="15"/>
      <c r="B726" s="3" t="s">
        <v>4254</v>
      </c>
      <c r="C726" s="3" t="s">
        <v>4255</v>
      </c>
      <c r="D726" s="3" t="s">
        <v>860</v>
      </c>
      <c r="E726" s="3" t="s">
        <v>4256</v>
      </c>
      <c r="F726" s="3" t="s">
        <v>4257</v>
      </c>
      <c r="G726" s="3" t="s">
        <v>4253</v>
      </c>
      <c r="H726" s="6">
        <v>27502.576000000001</v>
      </c>
    </row>
    <row r="727" spans="1:8" ht="15.75" customHeight="1" x14ac:dyDescent="0.35">
      <c r="A727" s="15"/>
      <c r="B727" s="3" t="s">
        <v>4258</v>
      </c>
      <c r="C727" s="3" t="s">
        <v>4259</v>
      </c>
      <c r="D727" s="3" t="s">
        <v>861</v>
      </c>
      <c r="E727" s="3" t="s">
        <v>4260</v>
      </c>
      <c r="F727" s="3" t="s">
        <v>4261</v>
      </c>
      <c r="G727" s="3" t="s">
        <v>4262</v>
      </c>
      <c r="H727" s="6">
        <v>31774.079999999998</v>
      </c>
    </row>
    <row r="728" spans="1:8" ht="15.75" customHeight="1" x14ac:dyDescent="0.35">
      <c r="A728" s="15"/>
      <c r="B728" s="3" t="s">
        <v>4263</v>
      </c>
      <c r="C728" s="3" t="s">
        <v>4264</v>
      </c>
      <c r="D728" s="3" t="s">
        <v>861</v>
      </c>
      <c r="E728" s="3" t="s">
        <v>4265</v>
      </c>
      <c r="F728" s="3" t="s">
        <v>4266</v>
      </c>
      <c r="G728" s="3" t="s">
        <v>4262</v>
      </c>
      <c r="H728" s="6">
        <v>25156</v>
      </c>
    </row>
    <row r="729" spans="1:8" ht="15.75" customHeight="1" x14ac:dyDescent="0.35">
      <c r="A729" s="15"/>
      <c r="B729" s="3" t="s">
        <v>4267</v>
      </c>
      <c r="C729" s="3" t="s">
        <v>4268</v>
      </c>
      <c r="D729" s="3" t="s">
        <v>861</v>
      </c>
      <c r="E729" s="3" t="s">
        <v>4269</v>
      </c>
      <c r="F729" s="3" t="s">
        <v>4270</v>
      </c>
      <c r="G729" s="3" t="s">
        <v>4271</v>
      </c>
      <c r="H729" s="6">
        <v>30812.223999999998</v>
      </c>
    </row>
    <row r="730" spans="1:8" ht="15.75" customHeight="1" x14ac:dyDescent="0.35">
      <c r="A730" s="15"/>
      <c r="B730" s="3" t="s">
        <v>6131</v>
      </c>
      <c r="C730" s="3" t="s">
        <v>6132</v>
      </c>
      <c r="D730" s="3" t="s">
        <v>860</v>
      </c>
      <c r="E730" s="3" t="s">
        <v>6133</v>
      </c>
      <c r="F730" s="3" t="s">
        <v>6134</v>
      </c>
      <c r="G730" s="3" t="s">
        <v>4271</v>
      </c>
      <c r="H730" s="6">
        <v>7862.0479999999998</v>
      </c>
    </row>
    <row r="731" spans="1:8" ht="15.75" customHeight="1" x14ac:dyDescent="0.35">
      <c r="A731" s="15"/>
      <c r="B731" s="3" t="s">
        <v>4272</v>
      </c>
      <c r="C731" s="3" t="s">
        <v>4273</v>
      </c>
      <c r="D731" s="3" t="s">
        <v>860</v>
      </c>
      <c r="E731" s="3" t="s">
        <v>4274</v>
      </c>
      <c r="F731" s="3" t="s">
        <v>4275</v>
      </c>
      <c r="G731" s="3" t="s">
        <v>4271</v>
      </c>
      <c r="H731" s="6">
        <v>24545.567999999999</v>
      </c>
    </row>
    <row r="732" spans="1:8" ht="15.75" customHeight="1" x14ac:dyDescent="0.35">
      <c r="A732" s="15"/>
      <c r="B732" s="3" t="s">
        <v>5805</v>
      </c>
      <c r="C732" s="3" t="s">
        <v>6135</v>
      </c>
      <c r="D732" s="3" t="s">
        <v>861</v>
      </c>
      <c r="E732" s="3" t="s">
        <v>5806</v>
      </c>
      <c r="F732" s="3" t="s">
        <v>5807</v>
      </c>
      <c r="G732" s="3" t="s">
        <v>4280</v>
      </c>
      <c r="H732" s="6">
        <v>31774.079999999998</v>
      </c>
    </row>
    <row r="733" spans="1:8" ht="15.75" customHeight="1" x14ac:dyDescent="0.35">
      <c r="A733" s="15"/>
      <c r="B733" s="3" t="s">
        <v>4276</v>
      </c>
      <c r="C733" s="3" t="s">
        <v>4277</v>
      </c>
      <c r="D733" s="3" t="s">
        <v>861</v>
      </c>
      <c r="E733" s="3" t="s">
        <v>4278</v>
      </c>
      <c r="F733" s="3" t="s">
        <v>4279</v>
      </c>
      <c r="G733" s="3" t="s">
        <v>4280</v>
      </c>
      <c r="H733" s="6">
        <v>24732.223999999998</v>
      </c>
    </row>
    <row r="734" spans="1:8" ht="15.75" customHeight="1" x14ac:dyDescent="0.35">
      <c r="A734" s="15"/>
      <c r="B734" s="3" t="s">
        <v>4281</v>
      </c>
      <c r="C734" s="3" t="s">
        <v>4282</v>
      </c>
      <c r="D734" s="3" t="s">
        <v>861</v>
      </c>
      <c r="E734" s="3" t="s">
        <v>4283</v>
      </c>
      <c r="F734" s="3" t="s">
        <v>1626</v>
      </c>
      <c r="G734" s="3" t="s">
        <v>4280</v>
      </c>
      <c r="H734" s="6">
        <v>25330.495999999999</v>
      </c>
    </row>
    <row r="735" spans="1:8" ht="15.75" customHeight="1" x14ac:dyDescent="0.35">
      <c r="A735" s="15"/>
      <c r="B735" s="3" t="s">
        <v>4289</v>
      </c>
      <c r="C735" s="3" t="s">
        <v>4290</v>
      </c>
      <c r="D735" s="3" t="s">
        <v>860</v>
      </c>
      <c r="E735" s="3" t="s">
        <v>4291</v>
      </c>
      <c r="F735" s="3" t="s">
        <v>4292</v>
      </c>
      <c r="G735" s="3" t="s">
        <v>4280</v>
      </c>
      <c r="H735" s="6">
        <v>24408.16</v>
      </c>
    </row>
    <row r="736" spans="1:8" ht="15.75" customHeight="1" x14ac:dyDescent="0.35">
      <c r="A736" s="15"/>
      <c r="B736" s="3" t="s">
        <v>4293</v>
      </c>
      <c r="C736" s="3" t="s">
        <v>4294</v>
      </c>
      <c r="D736" s="3" t="s">
        <v>861</v>
      </c>
      <c r="E736" s="3" t="s">
        <v>4295</v>
      </c>
      <c r="F736" s="3" t="s">
        <v>4296</v>
      </c>
      <c r="G736" s="3" t="s">
        <v>4280</v>
      </c>
      <c r="H736" s="6">
        <v>24931.647999999997</v>
      </c>
    </row>
    <row r="737" spans="1:8" ht="15.75" customHeight="1" x14ac:dyDescent="0.35">
      <c r="A737" s="15"/>
      <c r="B737" s="3" t="s">
        <v>5802</v>
      </c>
      <c r="C737" s="3" t="s">
        <v>6136</v>
      </c>
      <c r="D737" s="3" t="s">
        <v>861</v>
      </c>
      <c r="E737" s="3" t="s">
        <v>5803</v>
      </c>
      <c r="F737" s="3" t="s">
        <v>5804</v>
      </c>
      <c r="G737" s="3" t="s">
        <v>5484</v>
      </c>
      <c r="H737" s="6">
        <v>27687.103999999999</v>
      </c>
    </row>
    <row r="738" spans="1:8" ht="15.75" customHeight="1" x14ac:dyDescent="0.35">
      <c r="A738" s="15"/>
      <c r="B738" s="3" t="s">
        <v>4297</v>
      </c>
      <c r="C738" s="3" t="s">
        <v>4298</v>
      </c>
      <c r="D738" s="3" t="s">
        <v>861</v>
      </c>
      <c r="E738" s="3" t="s">
        <v>4299</v>
      </c>
      <c r="F738" s="3" t="s">
        <v>1423</v>
      </c>
      <c r="G738" s="3" t="s">
        <v>3832</v>
      </c>
      <c r="H738" s="6">
        <v>15480.288</v>
      </c>
    </row>
    <row r="739" spans="1:8" ht="15.75" customHeight="1" x14ac:dyDescent="0.35">
      <c r="A739" s="15"/>
      <c r="B739" s="3" t="s">
        <v>4300</v>
      </c>
      <c r="C739" s="3" t="s">
        <v>4301</v>
      </c>
      <c r="D739" s="3" t="s">
        <v>861</v>
      </c>
      <c r="E739" s="3" t="s">
        <v>4302</v>
      </c>
      <c r="F739" s="3" t="s">
        <v>4303</v>
      </c>
      <c r="G739" s="3" t="s">
        <v>3832</v>
      </c>
      <c r="H739" s="6">
        <v>21479.423999999999</v>
      </c>
    </row>
    <row r="740" spans="1:8" ht="15.75" customHeight="1" x14ac:dyDescent="0.35">
      <c r="A740" s="15"/>
      <c r="B740" s="3" t="s">
        <v>4304</v>
      </c>
      <c r="C740" s="3" t="s">
        <v>4305</v>
      </c>
      <c r="D740" s="3" t="s">
        <v>861</v>
      </c>
      <c r="E740" s="3" t="s">
        <v>4306</v>
      </c>
      <c r="F740" s="3" t="s">
        <v>4307</v>
      </c>
      <c r="G740" s="3" t="s">
        <v>3832</v>
      </c>
      <c r="H740" s="6">
        <v>23586.144</v>
      </c>
    </row>
    <row r="741" spans="1:8" ht="15.75" customHeight="1" x14ac:dyDescent="0.35">
      <c r="A741" s="15"/>
      <c r="B741" s="3" t="s">
        <v>4308</v>
      </c>
      <c r="C741" s="3" t="s">
        <v>4309</v>
      </c>
      <c r="D741" s="3" t="s">
        <v>861</v>
      </c>
      <c r="E741" s="3" t="s">
        <v>4310</v>
      </c>
      <c r="F741" s="3" t="s">
        <v>4311</v>
      </c>
      <c r="G741" s="3" t="s">
        <v>5471</v>
      </c>
      <c r="H741" s="6">
        <v>15480.288</v>
      </c>
    </row>
    <row r="742" spans="1:8" ht="15.75" customHeight="1" x14ac:dyDescent="0.35">
      <c r="A742" s="15"/>
      <c r="B742" s="3" t="s">
        <v>4313</v>
      </c>
      <c r="C742" s="3" t="s">
        <v>4314</v>
      </c>
      <c r="D742" s="3" t="s">
        <v>861</v>
      </c>
      <c r="E742" s="3" t="s">
        <v>4315</v>
      </c>
      <c r="F742" s="3" t="s">
        <v>1586</v>
      </c>
      <c r="G742" s="3" t="s">
        <v>4331</v>
      </c>
      <c r="H742" s="6">
        <v>24996.095999999998</v>
      </c>
    </row>
    <row r="743" spans="1:8" ht="15.75" customHeight="1" x14ac:dyDescent="0.35">
      <c r="A743" s="15"/>
      <c r="B743" s="3" t="s">
        <v>6137</v>
      </c>
      <c r="C743" s="3" t="s">
        <v>6138</v>
      </c>
      <c r="D743" s="3" t="s">
        <v>860</v>
      </c>
      <c r="E743" s="3" t="s">
        <v>6139</v>
      </c>
      <c r="F743" s="3" t="s">
        <v>6140</v>
      </c>
      <c r="G743" s="3" t="s">
        <v>5578</v>
      </c>
      <c r="H743" s="6">
        <v>25430.207999999999</v>
      </c>
    </row>
    <row r="744" spans="1:8" ht="15.75" customHeight="1" x14ac:dyDescent="0.35">
      <c r="A744" s="15"/>
      <c r="B744" s="3" t="s">
        <v>4317</v>
      </c>
      <c r="C744" s="3" t="s">
        <v>4318</v>
      </c>
      <c r="D744" s="3" t="s">
        <v>861</v>
      </c>
      <c r="E744" s="3" t="s">
        <v>4319</v>
      </c>
      <c r="F744" s="3" t="s">
        <v>4320</v>
      </c>
      <c r="G744" s="3" t="s">
        <v>4321</v>
      </c>
      <c r="H744" s="6">
        <v>28596.671999999999</v>
      </c>
    </row>
    <row r="745" spans="1:8" ht="15.75" customHeight="1" x14ac:dyDescent="0.35">
      <c r="A745" s="15"/>
      <c r="B745" s="3" t="s">
        <v>4322</v>
      </c>
      <c r="C745" s="3" t="s">
        <v>4323</v>
      </c>
      <c r="D745" s="3" t="s">
        <v>861</v>
      </c>
      <c r="E745" s="3" t="s">
        <v>4324</v>
      </c>
      <c r="F745" s="3" t="s">
        <v>4325</v>
      </c>
      <c r="G745" s="3" t="s">
        <v>4326</v>
      </c>
      <c r="H745" s="6">
        <v>79435.199999999997</v>
      </c>
    </row>
    <row r="746" spans="1:8" ht="15.75" customHeight="1" x14ac:dyDescent="0.35">
      <c r="A746" s="15"/>
      <c r="B746" s="3" t="s">
        <v>4327</v>
      </c>
      <c r="C746" s="3" t="s">
        <v>4328</v>
      </c>
      <c r="D746" s="3" t="s">
        <v>861</v>
      </c>
      <c r="E746" s="3" t="s">
        <v>4329</v>
      </c>
      <c r="F746" s="3" t="s">
        <v>4330</v>
      </c>
      <c r="G746" s="3" t="s">
        <v>4331</v>
      </c>
      <c r="H746" s="6">
        <v>23685.856</v>
      </c>
    </row>
    <row r="747" spans="1:8" ht="15.75" customHeight="1" x14ac:dyDescent="0.35">
      <c r="A747" s="15"/>
      <c r="B747" s="3" t="s">
        <v>4332</v>
      </c>
      <c r="C747" s="3" t="s">
        <v>4333</v>
      </c>
      <c r="D747" s="3" t="s">
        <v>861</v>
      </c>
      <c r="E747" s="3" t="s">
        <v>4334</v>
      </c>
      <c r="F747" s="3" t="s">
        <v>4335</v>
      </c>
      <c r="G747" s="3" t="s">
        <v>4336</v>
      </c>
      <c r="H747" s="6">
        <v>15480.288</v>
      </c>
    </row>
    <row r="748" spans="1:8" ht="15.75" customHeight="1" x14ac:dyDescent="0.35">
      <c r="A748" s="15"/>
      <c r="B748" s="3" t="s">
        <v>4337</v>
      </c>
      <c r="C748" s="3" t="s">
        <v>4338</v>
      </c>
      <c r="D748" s="3" t="s">
        <v>861</v>
      </c>
      <c r="E748" s="3" t="s">
        <v>4339</v>
      </c>
      <c r="F748" s="3" t="s">
        <v>4340</v>
      </c>
      <c r="G748" s="3" t="s">
        <v>4336</v>
      </c>
      <c r="H748" s="6">
        <v>23830.559999999998</v>
      </c>
    </row>
    <row r="749" spans="1:8" ht="15.75" customHeight="1" x14ac:dyDescent="0.35">
      <c r="A749" s="15"/>
      <c r="B749" s="3" t="s">
        <v>5833</v>
      </c>
      <c r="C749" s="3" t="s">
        <v>6141</v>
      </c>
      <c r="D749" s="3" t="s">
        <v>861</v>
      </c>
      <c r="E749" s="3" t="s">
        <v>5834</v>
      </c>
      <c r="F749" s="3" t="s">
        <v>5835</v>
      </c>
      <c r="G749" s="3" t="s">
        <v>4336</v>
      </c>
      <c r="H749" s="6">
        <v>23885.279999999999</v>
      </c>
    </row>
    <row r="750" spans="1:8" ht="15.75" customHeight="1" x14ac:dyDescent="0.35">
      <c r="A750" s="15"/>
      <c r="B750" s="3" t="s">
        <v>4341</v>
      </c>
      <c r="C750" s="3" t="s">
        <v>4342</v>
      </c>
      <c r="D750" s="3" t="s">
        <v>860</v>
      </c>
      <c r="E750" s="3" t="s">
        <v>4343</v>
      </c>
      <c r="F750" s="3" t="s">
        <v>1653</v>
      </c>
      <c r="G750" s="3" t="s">
        <v>4344</v>
      </c>
      <c r="H750" s="6">
        <v>14827.903999999999</v>
      </c>
    </row>
    <row r="751" spans="1:8" ht="15.75" customHeight="1" x14ac:dyDescent="0.35">
      <c r="A751" s="15"/>
      <c r="B751" s="3" t="s">
        <v>5953</v>
      </c>
      <c r="C751" s="3" t="s">
        <v>6142</v>
      </c>
      <c r="D751" s="3" t="s">
        <v>861</v>
      </c>
      <c r="E751" s="3" t="s">
        <v>5954</v>
      </c>
      <c r="F751" s="3" t="s">
        <v>5955</v>
      </c>
      <c r="G751" s="3" t="s">
        <v>3554</v>
      </c>
      <c r="H751" s="6">
        <v>15251.375999999998</v>
      </c>
    </row>
    <row r="752" spans="1:8" ht="15.75" customHeight="1" x14ac:dyDescent="0.35">
      <c r="A752" s="15"/>
      <c r="B752" s="3" t="s">
        <v>4345</v>
      </c>
      <c r="C752" s="3" t="s">
        <v>4346</v>
      </c>
      <c r="D752" s="3" t="s">
        <v>860</v>
      </c>
      <c r="E752" s="3" t="s">
        <v>4347</v>
      </c>
      <c r="F752" s="3" t="s">
        <v>4348</v>
      </c>
      <c r="G752" s="3" t="s">
        <v>4349</v>
      </c>
      <c r="H752" s="6">
        <v>15710.415999999997</v>
      </c>
    </row>
    <row r="753" spans="1:8" ht="15.75" customHeight="1" x14ac:dyDescent="0.35">
      <c r="A753" s="15"/>
      <c r="B753" s="3" t="s">
        <v>6143</v>
      </c>
      <c r="C753" s="3" t="s">
        <v>6144</v>
      </c>
      <c r="D753" s="3" t="s">
        <v>861</v>
      </c>
      <c r="E753" s="3" t="s">
        <v>6145</v>
      </c>
      <c r="F753" s="3" t="s">
        <v>6146</v>
      </c>
      <c r="G753" s="3" t="s">
        <v>3585</v>
      </c>
      <c r="H753" s="6">
        <v>24110.239999999998</v>
      </c>
    </row>
    <row r="754" spans="1:8" ht="15.75" customHeight="1" x14ac:dyDescent="0.35">
      <c r="A754" s="15"/>
      <c r="B754" s="3" t="s">
        <v>4350</v>
      </c>
      <c r="C754" s="3" t="s">
        <v>4351</v>
      </c>
      <c r="D754" s="3" t="s">
        <v>860</v>
      </c>
      <c r="E754" s="3" t="s">
        <v>4352</v>
      </c>
      <c r="F754" s="3" t="s">
        <v>4292</v>
      </c>
      <c r="G754" s="3" t="s">
        <v>4353</v>
      </c>
      <c r="H754" s="6">
        <v>31774.079999999998</v>
      </c>
    </row>
    <row r="755" spans="1:8" ht="15.75" customHeight="1" x14ac:dyDescent="0.35">
      <c r="A755" s="15"/>
      <c r="B755" s="3" t="s">
        <v>4354</v>
      </c>
      <c r="C755" s="3" t="s">
        <v>4355</v>
      </c>
      <c r="D755" s="3" t="s">
        <v>861</v>
      </c>
      <c r="E755" s="3" t="s">
        <v>4356</v>
      </c>
      <c r="F755" s="3" t="s">
        <v>1280</v>
      </c>
      <c r="G755" s="3" t="s">
        <v>4353</v>
      </c>
      <c r="H755" s="6">
        <v>79435.199999999997</v>
      </c>
    </row>
    <row r="756" spans="1:8" ht="15.75" customHeight="1" x14ac:dyDescent="0.35">
      <c r="A756" s="15"/>
      <c r="B756" s="3" t="s">
        <v>5734</v>
      </c>
      <c r="C756" s="3" t="s">
        <v>6147</v>
      </c>
      <c r="D756" s="3" t="s">
        <v>860</v>
      </c>
      <c r="E756" s="3" t="s">
        <v>5735</v>
      </c>
      <c r="F756" s="3" t="s">
        <v>5736</v>
      </c>
      <c r="G756" s="3" t="s">
        <v>3585</v>
      </c>
      <c r="H756" s="6">
        <v>15748.111999999999</v>
      </c>
    </row>
    <row r="757" spans="1:8" ht="15.75" customHeight="1" x14ac:dyDescent="0.35">
      <c r="A757" s="15"/>
      <c r="B757" s="3" t="s">
        <v>4357</v>
      </c>
      <c r="C757" s="3" t="s">
        <v>4358</v>
      </c>
      <c r="D757" s="3" t="s">
        <v>861</v>
      </c>
      <c r="E757" s="3" t="s">
        <v>4359</v>
      </c>
      <c r="F757" s="3" t="s">
        <v>4360</v>
      </c>
      <c r="G757" s="3" t="s">
        <v>4361</v>
      </c>
      <c r="H757" s="6">
        <v>30690.015999999996</v>
      </c>
    </row>
    <row r="758" spans="1:8" ht="15.75" customHeight="1" x14ac:dyDescent="0.35">
      <c r="A758" s="15"/>
      <c r="B758" s="3" t="s">
        <v>4362</v>
      </c>
      <c r="C758" s="3" t="s">
        <v>4363</v>
      </c>
      <c r="D758" s="3" t="s">
        <v>861</v>
      </c>
      <c r="E758" s="3" t="s">
        <v>4364</v>
      </c>
      <c r="F758" s="3" t="s">
        <v>4365</v>
      </c>
      <c r="G758" s="3" t="s">
        <v>4366</v>
      </c>
      <c r="H758" s="6">
        <v>21479.423999999999</v>
      </c>
    </row>
    <row r="759" spans="1:8" ht="15.75" customHeight="1" x14ac:dyDescent="0.35">
      <c r="A759" s="15"/>
      <c r="B759" s="3" t="s">
        <v>6148</v>
      </c>
      <c r="C759" s="3" t="s">
        <v>6149</v>
      </c>
      <c r="D759" s="3" t="s">
        <v>860</v>
      </c>
      <c r="E759" s="3" t="s">
        <v>6150</v>
      </c>
      <c r="F759" s="3" t="s">
        <v>6151</v>
      </c>
      <c r="G759" s="3" t="s">
        <v>5488</v>
      </c>
      <c r="H759" s="6">
        <v>16946.175999999999</v>
      </c>
    </row>
    <row r="760" spans="1:8" ht="15.75" customHeight="1" x14ac:dyDescent="0.35">
      <c r="A760" s="15"/>
      <c r="B760" s="3" t="s">
        <v>6152</v>
      </c>
      <c r="C760" s="3" t="s">
        <v>6153</v>
      </c>
      <c r="D760" s="3" t="s">
        <v>861</v>
      </c>
      <c r="E760" s="3" t="s">
        <v>6154</v>
      </c>
      <c r="F760" s="3" t="s">
        <v>6155</v>
      </c>
      <c r="G760" s="3" t="s">
        <v>5621</v>
      </c>
      <c r="H760" s="6">
        <v>0</v>
      </c>
    </row>
    <row r="761" spans="1:8" ht="15.75" customHeight="1" x14ac:dyDescent="0.35">
      <c r="A761" s="15"/>
      <c r="B761" s="3" t="s">
        <v>6156</v>
      </c>
      <c r="C761" s="3" t="s">
        <v>6157</v>
      </c>
      <c r="D761" s="3" t="s">
        <v>860</v>
      </c>
      <c r="E761" s="3" t="s">
        <v>6158</v>
      </c>
      <c r="F761" s="3" t="s">
        <v>6159</v>
      </c>
      <c r="G761" s="3" t="s">
        <v>5621</v>
      </c>
      <c r="H761" s="6">
        <v>25419.263999999999</v>
      </c>
    </row>
    <row r="762" spans="1:8" ht="15.75" customHeight="1" x14ac:dyDescent="0.35">
      <c r="A762" s="15"/>
      <c r="B762" s="3" t="s">
        <v>4367</v>
      </c>
      <c r="C762" s="3" t="s">
        <v>4368</v>
      </c>
      <c r="D762" s="3" t="s">
        <v>860</v>
      </c>
      <c r="E762" s="3" t="s">
        <v>4369</v>
      </c>
      <c r="F762" s="3" t="s">
        <v>4370</v>
      </c>
      <c r="G762" s="3" t="s">
        <v>4371</v>
      </c>
      <c r="H762" s="6">
        <v>31774.079999999998</v>
      </c>
    </row>
    <row r="763" spans="1:8" ht="15.75" customHeight="1" x14ac:dyDescent="0.35">
      <c r="A763" s="15"/>
      <c r="B763" s="3" t="s">
        <v>4372</v>
      </c>
      <c r="C763" s="3" t="s">
        <v>4373</v>
      </c>
      <c r="D763" s="3" t="s">
        <v>860</v>
      </c>
      <c r="E763" s="3" t="s">
        <v>4374</v>
      </c>
      <c r="F763" s="3" t="s">
        <v>4375</v>
      </c>
      <c r="G763" s="3" t="s">
        <v>4376</v>
      </c>
      <c r="H763" s="6">
        <v>15251.375999999998</v>
      </c>
    </row>
    <row r="764" spans="1:8" ht="15.75" customHeight="1" x14ac:dyDescent="0.35">
      <c r="A764" s="15"/>
      <c r="B764" s="3" t="s">
        <v>6160</v>
      </c>
      <c r="C764" s="3" t="s">
        <v>6161</v>
      </c>
      <c r="D764" s="3" t="s">
        <v>861</v>
      </c>
      <c r="E764" s="3" t="s">
        <v>6162</v>
      </c>
      <c r="F764" s="3" t="s">
        <v>6163</v>
      </c>
      <c r="G764" s="3" t="s">
        <v>4376</v>
      </c>
      <c r="H764" s="6">
        <v>22241.856</v>
      </c>
    </row>
    <row r="765" spans="1:8" ht="15.75" customHeight="1" x14ac:dyDescent="0.35">
      <c r="A765" s="15"/>
      <c r="B765" s="3" t="s">
        <v>4377</v>
      </c>
      <c r="C765" s="3" t="s">
        <v>4378</v>
      </c>
      <c r="D765" s="3" t="s">
        <v>860</v>
      </c>
      <c r="E765" s="3" t="s">
        <v>4379</v>
      </c>
      <c r="F765" s="3" t="s">
        <v>4380</v>
      </c>
      <c r="G765" s="3" t="s">
        <v>4376</v>
      </c>
      <c r="H765" s="6">
        <v>23830.559999999998</v>
      </c>
    </row>
    <row r="766" spans="1:8" ht="15.75" customHeight="1" x14ac:dyDescent="0.35">
      <c r="A766" s="15"/>
      <c r="B766" s="3" t="s">
        <v>4381</v>
      </c>
      <c r="C766" s="3" t="s">
        <v>4382</v>
      </c>
      <c r="D766" s="3" t="s">
        <v>861</v>
      </c>
      <c r="E766" s="3" t="s">
        <v>4383</v>
      </c>
      <c r="F766" s="3" t="s">
        <v>4384</v>
      </c>
      <c r="G766" s="3" t="s">
        <v>4376</v>
      </c>
      <c r="H766" s="6">
        <v>21479.423999999999</v>
      </c>
    </row>
    <row r="767" spans="1:8" ht="15.75" customHeight="1" x14ac:dyDescent="0.35">
      <c r="A767" s="15"/>
      <c r="B767" s="3" t="s">
        <v>5997</v>
      </c>
      <c r="C767" s="3" t="s">
        <v>6164</v>
      </c>
      <c r="D767" s="3" t="s">
        <v>860</v>
      </c>
      <c r="E767" s="3" t="s">
        <v>5998</v>
      </c>
      <c r="F767" s="3" t="s">
        <v>5999</v>
      </c>
      <c r="G767" s="3" t="s">
        <v>5621</v>
      </c>
      <c r="H767" s="6">
        <v>25419.263999999999</v>
      </c>
    </row>
    <row r="768" spans="1:8" ht="15.75" customHeight="1" x14ac:dyDescent="0.35">
      <c r="A768" s="15"/>
      <c r="B768" s="3" t="s">
        <v>5718</v>
      </c>
      <c r="C768" s="3" t="s">
        <v>6165</v>
      </c>
      <c r="D768" s="3" t="s">
        <v>860</v>
      </c>
      <c r="E768" s="3" t="s">
        <v>5719</v>
      </c>
      <c r="F768" s="3" t="s">
        <v>884</v>
      </c>
      <c r="G768" s="3" t="s">
        <v>5720</v>
      </c>
      <c r="H768" s="6">
        <v>35764.991999999998</v>
      </c>
    </row>
    <row r="769" spans="1:8" ht="15.75" customHeight="1" x14ac:dyDescent="0.35">
      <c r="A769" s="15"/>
      <c r="B769" s="3" t="s">
        <v>4386</v>
      </c>
      <c r="C769" s="3" t="s">
        <v>4387</v>
      </c>
      <c r="D769" s="3" t="s">
        <v>860</v>
      </c>
      <c r="E769" s="3" t="s">
        <v>4388</v>
      </c>
      <c r="F769" s="3" t="s">
        <v>4389</v>
      </c>
      <c r="G769" s="3" t="s">
        <v>4390</v>
      </c>
      <c r="H769" s="6">
        <v>35764.991999999998</v>
      </c>
    </row>
    <row r="770" spans="1:8" ht="15.75" customHeight="1" x14ac:dyDescent="0.35">
      <c r="A770" s="15"/>
      <c r="B770" s="3" t="s">
        <v>5701</v>
      </c>
      <c r="C770" s="3" t="s">
        <v>6166</v>
      </c>
      <c r="D770" s="3" t="s">
        <v>860</v>
      </c>
      <c r="E770" s="3" t="s">
        <v>5702</v>
      </c>
      <c r="F770" s="3" t="s">
        <v>5703</v>
      </c>
      <c r="G770" s="3" t="s">
        <v>4395</v>
      </c>
      <c r="H770" s="6">
        <v>63548.159999999996</v>
      </c>
    </row>
    <row r="771" spans="1:8" ht="15.75" customHeight="1" x14ac:dyDescent="0.35">
      <c r="A771" s="15"/>
      <c r="B771" s="3" t="s">
        <v>4391</v>
      </c>
      <c r="C771" s="3" t="s">
        <v>4392</v>
      </c>
      <c r="D771" s="3" t="s">
        <v>861</v>
      </c>
      <c r="E771" s="3" t="s">
        <v>4393</v>
      </c>
      <c r="F771" s="3" t="s">
        <v>4394</v>
      </c>
      <c r="G771" s="3" t="s">
        <v>4395</v>
      </c>
      <c r="H771" s="6">
        <v>31774.079999999998</v>
      </c>
    </row>
    <row r="772" spans="1:8" ht="15.75" customHeight="1" x14ac:dyDescent="0.35">
      <c r="A772" s="15"/>
      <c r="B772" s="3" t="s">
        <v>4396</v>
      </c>
      <c r="C772" s="3" t="s">
        <v>4397</v>
      </c>
      <c r="D772" s="3" t="s">
        <v>861</v>
      </c>
      <c r="E772" s="3" t="s">
        <v>4398</v>
      </c>
      <c r="F772" s="3" t="s">
        <v>4399</v>
      </c>
      <c r="G772" s="3" t="s">
        <v>4395</v>
      </c>
      <c r="H772" s="6">
        <v>15251.375999999998</v>
      </c>
    </row>
    <row r="773" spans="1:8" ht="15.75" customHeight="1" x14ac:dyDescent="0.35">
      <c r="A773" s="15"/>
      <c r="B773" s="3" t="s">
        <v>6005</v>
      </c>
      <c r="C773" s="3" t="s">
        <v>6167</v>
      </c>
      <c r="D773" s="3" t="s">
        <v>860</v>
      </c>
      <c r="E773" s="3" t="s">
        <v>6006</v>
      </c>
      <c r="F773" s="3" t="s">
        <v>6007</v>
      </c>
      <c r="G773" s="3" t="s">
        <v>5516</v>
      </c>
      <c r="H773" s="6">
        <v>15251.375999999998</v>
      </c>
    </row>
    <row r="774" spans="1:8" ht="15.75" customHeight="1" x14ac:dyDescent="0.35">
      <c r="A774" s="15"/>
      <c r="B774" s="3" t="s">
        <v>6168</v>
      </c>
      <c r="C774" s="3" t="s">
        <v>6169</v>
      </c>
      <c r="D774" s="3" t="s">
        <v>860</v>
      </c>
      <c r="E774" s="3" t="s">
        <v>6170</v>
      </c>
      <c r="F774" s="3" t="s">
        <v>6171</v>
      </c>
      <c r="G774" s="3" t="s">
        <v>5516</v>
      </c>
      <c r="H774" s="6">
        <v>15251.375999999998</v>
      </c>
    </row>
    <row r="775" spans="1:8" ht="15.75" customHeight="1" x14ac:dyDescent="0.35">
      <c r="A775" s="15"/>
      <c r="B775" s="3" t="s">
        <v>4400</v>
      </c>
      <c r="C775" s="3" t="s">
        <v>4401</v>
      </c>
      <c r="D775" s="3" t="s">
        <v>860</v>
      </c>
      <c r="E775" s="3" t="s">
        <v>4402</v>
      </c>
      <c r="F775" s="3" t="s">
        <v>4403</v>
      </c>
      <c r="G775" s="3" t="s">
        <v>4395</v>
      </c>
      <c r="H775" s="6">
        <v>28596.671999999999</v>
      </c>
    </row>
    <row r="776" spans="1:8" ht="15.75" customHeight="1" x14ac:dyDescent="0.35">
      <c r="A776" s="15"/>
      <c r="B776" s="3" t="s">
        <v>4404</v>
      </c>
      <c r="C776" s="3" t="s">
        <v>4405</v>
      </c>
      <c r="D776" s="3" t="s">
        <v>861</v>
      </c>
      <c r="E776" s="3" t="s">
        <v>4406</v>
      </c>
      <c r="F776" s="3" t="s">
        <v>4407</v>
      </c>
      <c r="G776" s="3" t="s">
        <v>3796</v>
      </c>
      <c r="H776" s="6">
        <v>15251.375999999998</v>
      </c>
    </row>
    <row r="777" spans="1:8" ht="15.75" customHeight="1" x14ac:dyDescent="0.35">
      <c r="A777" s="15"/>
      <c r="B777" s="3" t="s">
        <v>4408</v>
      </c>
      <c r="C777" s="3" t="s">
        <v>4409</v>
      </c>
      <c r="D777" s="3" t="s">
        <v>861</v>
      </c>
      <c r="E777" s="3" t="s">
        <v>4410</v>
      </c>
      <c r="F777" s="3" t="s">
        <v>4411</v>
      </c>
      <c r="G777" s="3" t="s">
        <v>3796</v>
      </c>
      <c r="H777" s="6">
        <v>22241.856</v>
      </c>
    </row>
    <row r="778" spans="1:8" ht="15.75" customHeight="1" x14ac:dyDescent="0.35">
      <c r="A778" s="15"/>
      <c r="B778" s="3" t="s">
        <v>5660</v>
      </c>
      <c r="C778" s="3" t="s">
        <v>6172</v>
      </c>
      <c r="D778" s="3" t="s">
        <v>860</v>
      </c>
      <c r="E778" s="3" t="s">
        <v>5661</v>
      </c>
      <c r="F778" s="3" t="s">
        <v>5662</v>
      </c>
      <c r="G778" s="3" t="s">
        <v>4416</v>
      </c>
      <c r="H778" s="6">
        <v>50584.08</v>
      </c>
    </row>
    <row r="779" spans="1:8" ht="15.75" customHeight="1" x14ac:dyDescent="0.35">
      <c r="A779" s="15"/>
      <c r="B779" s="3" t="s">
        <v>4412</v>
      </c>
      <c r="C779" s="3" t="s">
        <v>4413</v>
      </c>
      <c r="D779" s="3" t="s">
        <v>861</v>
      </c>
      <c r="E779" s="3" t="s">
        <v>4414</v>
      </c>
      <c r="F779" s="3" t="s">
        <v>4415</v>
      </c>
      <c r="G779" s="3" t="s">
        <v>4416</v>
      </c>
      <c r="H779" s="6">
        <v>15251.375999999998</v>
      </c>
    </row>
    <row r="780" spans="1:8" ht="15.75" customHeight="1" x14ac:dyDescent="0.35">
      <c r="A780" s="15"/>
      <c r="B780" s="3" t="s">
        <v>5672</v>
      </c>
      <c r="C780" s="3" t="s">
        <v>6173</v>
      </c>
      <c r="D780" s="3" t="s">
        <v>860</v>
      </c>
      <c r="E780" s="3" t="s">
        <v>5673</v>
      </c>
      <c r="F780" s="3" t="s">
        <v>5674</v>
      </c>
      <c r="G780" s="3" t="s">
        <v>4416</v>
      </c>
      <c r="H780" s="6">
        <v>15251.375999999998</v>
      </c>
    </row>
    <row r="781" spans="1:8" ht="15.75" customHeight="1" x14ac:dyDescent="0.35">
      <c r="A781" s="15"/>
      <c r="B781" s="3" t="s">
        <v>4417</v>
      </c>
      <c r="C781" s="3" t="s">
        <v>4418</v>
      </c>
      <c r="D781" s="3" t="s">
        <v>861</v>
      </c>
      <c r="E781" s="3" t="s">
        <v>4419</v>
      </c>
      <c r="F781" s="3" t="s">
        <v>4420</v>
      </c>
      <c r="G781" s="3" t="s">
        <v>3880</v>
      </c>
      <c r="H781" s="6">
        <v>28596.671999999999</v>
      </c>
    </row>
    <row r="782" spans="1:8" ht="15.75" customHeight="1" x14ac:dyDescent="0.35">
      <c r="A782" s="15"/>
      <c r="B782" s="3" t="s">
        <v>4421</v>
      </c>
      <c r="C782" s="3" t="s">
        <v>4422</v>
      </c>
      <c r="D782" s="3" t="s">
        <v>861</v>
      </c>
      <c r="E782" s="3" t="s">
        <v>4423</v>
      </c>
      <c r="F782" s="3" t="s">
        <v>4424</v>
      </c>
      <c r="G782" s="3" t="s">
        <v>3880</v>
      </c>
      <c r="H782" s="6">
        <v>15480.288</v>
      </c>
    </row>
    <row r="783" spans="1:8" ht="15.75" customHeight="1" x14ac:dyDescent="0.35">
      <c r="A783" s="15"/>
      <c r="B783" s="3" t="s">
        <v>4425</v>
      </c>
      <c r="C783" s="3" t="s">
        <v>4426</v>
      </c>
      <c r="D783" s="3" t="s">
        <v>861</v>
      </c>
      <c r="E783" s="3" t="s">
        <v>4427</v>
      </c>
      <c r="F783" s="3" t="s">
        <v>4428</v>
      </c>
      <c r="G783" s="3" t="s">
        <v>3880</v>
      </c>
      <c r="H783" s="6">
        <v>29140.223999999998</v>
      </c>
    </row>
    <row r="784" spans="1:8" ht="15.75" customHeight="1" x14ac:dyDescent="0.35">
      <c r="A784" s="15"/>
      <c r="B784" s="3" t="s">
        <v>6174</v>
      </c>
      <c r="C784" s="3" t="s">
        <v>6175</v>
      </c>
      <c r="D784" s="3" t="s">
        <v>860</v>
      </c>
      <c r="E784" s="3" t="s">
        <v>6176</v>
      </c>
      <c r="F784" s="3" t="s">
        <v>6177</v>
      </c>
      <c r="G784" s="3" t="s">
        <v>5574</v>
      </c>
      <c r="H784" s="6">
        <v>10320.192000000001</v>
      </c>
    </row>
    <row r="785" spans="1:8" ht="15.75" customHeight="1" x14ac:dyDescent="0.35">
      <c r="A785" s="15"/>
      <c r="B785" s="3" t="s">
        <v>4429</v>
      </c>
      <c r="C785" s="3" t="s">
        <v>4430</v>
      </c>
      <c r="D785" s="3" t="s">
        <v>861</v>
      </c>
      <c r="E785" s="3" t="s">
        <v>4431</v>
      </c>
      <c r="F785" s="3" t="s">
        <v>4432</v>
      </c>
      <c r="G785" s="3" t="s">
        <v>4433</v>
      </c>
      <c r="H785" s="6">
        <v>38128.896000000001</v>
      </c>
    </row>
    <row r="786" spans="1:8" ht="15.75" customHeight="1" x14ac:dyDescent="0.35">
      <c r="A786" s="15"/>
      <c r="B786" s="3" t="s">
        <v>6178</v>
      </c>
      <c r="C786" s="3" t="s">
        <v>6179</v>
      </c>
      <c r="D786" s="3" t="s">
        <v>860</v>
      </c>
      <c r="E786" s="3" t="s">
        <v>6180</v>
      </c>
      <c r="F786" s="3" t="s">
        <v>6181</v>
      </c>
      <c r="G786" s="3" t="s">
        <v>5531</v>
      </c>
      <c r="H786" s="6">
        <v>111209.27999999998</v>
      </c>
    </row>
    <row r="787" spans="1:8" ht="15.75" customHeight="1" x14ac:dyDescent="0.35">
      <c r="A787" s="15"/>
      <c r="B787" s="3" t="s">
        <v>6182</v>
      </c>
      <c r="C787" s="3" t="s">
        <v>6183</v>
      </c>
      <c r="D787" s="3" t="s">
        <v>861</v>
      </c>
      <c r="E787" s="3" t="s">
        <v>6184</v>
      </c>
      <c r="F787" s="3" t="s">
        <v>6185</v>
      </c>
      <c r="G787" s="3" t="s">
        <v>5531</v>
      </c>
      <c r="H787" s="6">
        <v>15480.288</v>
      </c>
    </row>
    <row r="788" spans="1:8" ht="15.75" customHeight="1" x14ac:dyDescent="0.35">
      <c r="A788" s="15"/>
      <c r="B788" s="3" t="s">
        <v>5917</v>
      </c>
      <c r="C788" s="3" t="s">
        <v>6186</v>
      </c>
      <c r="D788" s="3" t="s">
        <v>861</v>
      </c>
      <c r="E788" s="3" t="s">
        <v>5918</v>
      </c>
      <c r="F788" s="3" t="s">
        <v>5919</v>
      </c>
      <c r="G788" s="3" t="s">
        <v>5602</v>
      </c>
      <c r="H788" s="6">
        <v>15480.288</v>
      </c>
    </row>
    <row r="789" spans="1:8" ht="15.75" customHeight="1" x14ac:dyDescent="0.35">
      <c r="A789" s="15"/>
      <c r="B789" s="3" t="s">
        <v>4434</v>
      </c>
      <c r="C789" s="3" t="s">
        <v>4435</v>
      </c>
      <c r="D789" s="3" t="s">
        <v>860</v>
      </c>
      <c r="E789" s="3" t="s">
        <v>4436</v>
      </c>
      <c r="F789" s="3" t="s">
        <v>4437</v>
      </c>
      <c r="G789" s="3" t="s">
        <v>5822</v>
      </c>
      <c r="H789" s="6">
        <v>28596.671999999999</v>
      </c>
    </row>
    <row r="790" spans="1:8" ht="15.75" customHeight="1" x14ac:dyDescent="0.35">
      <c r="A790" s="15"/>
      <c r="B790" s="3" t="s">
        <v>4438</v>
      </c>
      <c r="C790" s="3" t="s">
        <v>4439</v>
      </c>
      <c r="D790" s="3" t="s">
        <v>861</v>
      </c>
      <c r="E790" s="3" t="s">
        <v>4440</v>
      </c>
      <c r="F790" s="3" t="s">
        <v>962</v>
      </c>
      <c r="G790" s="3" t="s">
        <v>4441</v>
      </c>
      <c r="H790" s="6">
        <v>23586.144</v>
      </c>
    </row>
    <row r="791" spans="1:8" ht="15.75" customHeight="1" x14ac:dyDescent="0.35">
      <c r="A791" s="15"/>
      <c r="B791" s="3" t="s">
        <v>4442</v>
      </c>
      <c r="C791" s="3" t="s">
        <v>4443</v>
      </c>
      <c r="D791" s="3" t="s">
        <v>860</v>
      </c>
      <c r="E791" s="3" t="s">
        <v>4444</v>
      </c>
      <c r="F791" s="3" t="s">
        <v>1499</v>
      </c>
      <c r="G791" s="3" t="s">
        <v>4445</v>
      </c>
      <c r="H791" s="6">
        <v>17369.951999999997</v>
      </c>
    </row>
    <row r="792" spans="1:8" ht="15.75" customHeight="1" x14ac:dyDescent="0.35">
      <c r="A792" s="15"/>
      <c r="B792" s="3" t="s">
        <v>6187</v>
      </c>
      <c r="C792" s="3" t="s">
        <v>6188</v>
      </c>
      <c r="D792" s="3" t="s">
        <v>861</v>
      </c>
      <c r="E792" s="3" t="s">
        <v>6189</v>
      </c>
      <c r="F792" s="3" t="s">
        <v>6190</v>
      </c>
      <c r="G792" s="3" t="s">
        <v>4445</v>
      </c>
      <c r="H792" s="6">
        <v>25419.263999999999</v>
      </c>
    </row>
    <row r="793" spans="1:8" ht="15.75" customHeight="1" x14ac:dyDescent="0.35">
      <c r="A793" s="15"/>
      <c r="B793" s="3" t="s">
        <v>4446</v>
      </c>
      <c r="C793" s="3" t="s">
        <v>4447</v>
      </c>
      <c r="D793" s="3" t="s">
        <v>860</v>
      </c>
      <c r="E793" s="3" t="s">
        <v>4448</v>
      </c>
      <c r="F793" s="3" t="s">
        <v>4449</v>
      </c>
      <c r="G793" s="3" t="s">
        <v>4001</v>
      </c>
      <c r="H793" s="6">
        <v>15724.096</v>
      </c>
    </row>
    <row r="794" spans="1:8" ht="15.75" customHeight="1" x14ac:dyDescent="0.35">
      <c r="A794" s="15"/>
      <c r="B794" s="3" t="s">
        <v>4450</v>
      </c>
      <c r="C794" s="3" t="s">
        <v>4451</v>
      </c>
      <c r="D794" s="3" t="s">
        <v>860</v>
      </c>
      <c r="E794" s="3" t="s">
        <v>4452</v>
      </c>
      <c r="F794" s="3" t="s">
        <v>4453</v>
      </c>
      <c r="G794" s="3" t="s">
        <v>4001</v>
      </c>
      <c r="H794" s="6">
        <v>15724.096</v>
      </c>
    </row>
    <row r="795" spans="1:8" ht="15.75" customHeight="1" x14ac:dyDescent="0.35">
      <c r="A795" s="15"/>
      <c r="B795" s="3" t="s">
        <v>5664</v>
      </c>
      <c r="C795" s="3" t="s">
        <v>6191</v>
      </c>
      <c r="D795" s="3" t="s">
        <v>860</v>
      </c>
      <c r="E795" s="3" t="s">
        <v>5665</v>
      </c>
      <c r="F795" s="3" t="s">
        <v>5666</v>
      </c>
      <c r="G795" s="3" t="s">
        <v>4001</v>
      </c>
      <c r="H795" s="6">
        <v>21182.719999999998</v>
      </c>
    </row>
    <row r="796" spans="1:8" ht="15.75" customHeight="1" x14ac:dyDescent="0.35">
      <c r="A796" s="15"/>
      <c r="B796" s="3" t="s">
        <v>6192</v>
      </c>
      <c r="C796" s="3" t="s">
        <v>6193</v>
      </c>
      <c r="D796" s="3" t="s">
        <v>860</v>
      </c>
      <c r="E796" s="3" t="s">
        <v>6194</v>
      </c>
      <c r="F796" s="3" t="s">
        <v>6195</v>
      </c>
      <c r="G796" s="3" t="s">
        <v>4001</v>
      </c>
      <c r="H796" s="6">
        <v>13450.784</v>
      </c>
    </row>
    <row r="797" spans="1:8" ht="15.75" customHeight="1" x14ac:dyDescent="0.35">
      <c r="A797" s="15"/>
      <c r="B797" s="3" t="s">
        <v>4454</v>
      </c>
      <c r="C797" s="3" t="s">
        <v>4455</v>
      </c>
      <c r="D797" s="3" t="s">
        <v>861</v>
      </c>
      <c r="E797" s="3" t="s">
        <v>4456</v>
      </c>
      <c r="F797" s="3" t="s">
        <v>4457</v>
      </c>
      <c r="G797" s="3" t="s">
        <v>4001</v>
      </c>
      <c r="H797" s="6">
        <v>10167.583999999999</v>
      </c>
    </row>
    <row r="798" spans="1:8" ht="15.75" customHeight="1" x14ac:dyDescent="0.35">
      <c r="A798" s="15"/>
      <c r="B798" s="3" t="s">
        <v>5727</v>
      </c>
      <c r="C798" s="3" t="s">
        <v>6196</v>
      </c>
      <c r="D798" s="3" t="s">
        <v>860</v>
      </c>
      <c r="E798" s="3" t="s">
        <v>5728</v>
      </c>
      <c r="F798" s="3" t="s">
        <v>5729</v>
      </c>
      <c r="G798" s="3" t="s">
        <v>4001</v>
      </c>
      <c r="H798" s="6">
        <v>10167.583999999999</v>
      </c>
    </row>
    <row r="799" spans="1:8" ht="15.75" customHeight="1" x14ac:dyDescent="0.35">
      <c r="A799" s="15"/>
      <c r="B799" s="3" t="s">
        <v>4458</v>
      </c>
      <c r="C799" s="3" t="s">
        <v>4459</v>
      </c>
      <c r="D799" s="3" t="s">
        <v>860</v>
      </c>
      <c r="E799" s="3" t="s">
        <v>4460</v>
      </c>
      <c r="F799" s="3" t="s">
        <v>4461</v>
      </c>
      <c r="G799" s="3" t="s">
        <v>4462</v>
      </c>
      <c r="H799" s="6">
        <v>23586.144</v>
      </c>
    </row>
    <row r="800" spans="1:8" ht="15.75" hidden="1" customHeight="1" x14ac:dyDescent="0.35">
      <c r="A800" s="15"/>
      <c r="B800" s="3" t="s">
        <v>834</v>
      </c>
      <c r="C800" s="3" t="s">
        <v>3382</v>
      </c>
      <c r="D800" s="3" t="s">
        <v>861</v>
      </c>
      <c r="E800" s="3" t="s">
        <v>2523</v>
      </c>
      <c r="F800" s="3" t="s">
        <v>1667</v>
      </c>
      <c r="G800" s="19">
        <v>35856</v>
      </c>
      <c r="H800" s="6">
        <v>164973.81610666667</v>
      </c>
    </row>
    <row r="801" spans="1:8" ht="15.75" hidden="1" customHeight="1" x14ac:dyDescent="0.35">
      <c r="A801" s="15"/>
      <c r="B801" s="3" t="s">
        <v>835</v>
      </c>
      <c r="C801" s="3" t="s">
        <v>3383</v>
      </c>
      <c r="D801" s="3" t="s">
        <v>860</v>
      </c>
      <c r="E801" s="3" t="s">
        <v>2524</v>
      </c>
      <c r="F801" s="3" t="s">
        <v>1668</v>
      </c>
      <c r="G801" s="3" t="s">
        <v>5404</v>
      </c>
      <c r="H801" s="6">
        <v>165396.46933333328</v>
      </c>
    </row>
    <row r="802" spans="1:8" ht="15.75" hidden="1" customHeight="1" x14ac:dyDescent="0.35">
      <c r="A802" s="15"/>
      <c r="B802" s="3" t="s">
        <v>836</v>
      </c>
      <c r="C802" s="3" t="s">
        <v>3384</v>
      </c>
      <c r="D802" s="3" t="s">
        <v>860</v>
      </c>
      <c r="E802" s="3" t="s">
        <v>2525</v>
      </c>
      <c r="F802" s="3" t="s">
        <v>1669</v>
      </c>
      <c r="G802" s="3" t="s">
        <v>3775</v>
      </c>
      <c r="H802" s="6">
        <v>225873.74617599996</v>
      </c>
    </row>
    <row r="803" spans="1:8" ht="15.75" hidden="1" customHeight="1" x14ac:dyDescent="0.35">
      <c r="A803" s="15"/>
      <c r="B803" s="3" t="s">
        <v>838</v>
      </c>
      <c r="C803" s="3" t="s">
        <v>3386</v>
      </c>
      <c r="D803" s="3" t="s">
        <v>860</v>
      </c>
      <c r="E803" s="3" t="s">
        <v>2527</v>
      </c>
      <c r="F803" s="3" t="s">
        <v>1671</v>
      </c>
      <c r="G803" s="3" t="s">
        <v>5405</v>
      </c>
      <c r="H803" s="6">
        <v>333034.37667199993</v>
      </c>
    </row>
    <row r="804" spans="1:8" ht="15.75" customHeight="1" x14ac:dyDescent="0.35">
      <c r="A804" s="15"/>
      <c r="B804" s="3" t="s">
        <v>5406</v>
      </c>
      <c r="C804" s="3" t="s">
        <v>5407</v>
      </c>
      <c r="D804" s="3" t="s">
        <v>861</v>
      </c>
      <c r="E804" s="3" t="s">
        <v>5408</v>
      </c>
      <c r="F804" s="3" t="s">
        <v>5409</v>
      </c>
      <c r="G804" s="3" t="s">
        <v>3832</v>
      </c>
      <c r="H804" s="6">
        <v>132665.60000000001</v>
      </c>
    </row>
    <row r="805" spans="1:8" ht="15.75" hidden="1" customHeight="1" x14ac:dyDescent="0.35">
      <c r="A805" s="15"/>
      <c r="B805" s="3" t="s">
        <v>839</v>
      </c>
      <c r="C805" s="3" t="s">
        <v>3387</v>
      </c>
      <c r="D805" s="3" t="s">
        <v>861</v>
      </c>
      <c r="E805" s="3" t="s">
        <v>2528</v>
      </c>
      <c r="F805" s="3" t="s">
        <v>1149</v>
      </c>
      <c r="G805" s="3" t="s">
        <v>5414</v>
      </c>
      <c r="H805" s="6">
        <v>37398.383999999998</v>
      </c>
    </row>
    <row r="806" spans="1:8" ht="15.75" hidden="1" customHeight="1" x14ac:dyDescent="0.35">
      <c r="A806" s="15"/>
      <c r="B806" s="3" t="s">
        <v>840</v>
      </c>
      <c r="C806" s="3" t="s">
        <v>3388</v>
      </c>
      <c r="D806" s="3" t="s">
        <v>861</v>
      </c>
      <c r="E806" s="3" t="s">
        <v>2529</v>
      </c>
      <c r="F806" s="3" t="s">
        <v>1176</v>
      </c>
      <c r="G806" s="3" t="s">
        <v>5415</v>
      </c>
      <c r="H806" s="6">
        <v>17815.919999999998</v>
      </c>
    </row>
    <row r="807" spans="1:8" ht="15.75" hidden="1" customHeight="1" x14ac:dyDescent="0.35">
      <c r="A807" s="15"/>
      <c r="B807" s="3" t="s">
        <v>841</v>
      </c>
      <c r="C807" s="3" t="s">
        <v>3389</v>
      </c>
      <c r="D807" s="3" t="s">
        <v>861</v>
      </c>
      <c r="E807" s="3" t="s">
        <v>2530</v>
      </c>
      <c r="F807" s="3" t="s">
        <v>1672</v>
      </c>
      <c r="G807" s="3" t="s">
        <v>5416</v>
      </c>
      <c r="H807" s="6">
        <v>17815.919999999998</v>
      </c>
    </row>
    <row r="808" spans="1:8" ht="15.75" hidden="1" customHeight="1" x14ac:dyDescent="0.35">
      <c r="A808" s="15"/>
      <c r="B808" s="3" t="s">
        <v>843</v>
      </c>
      <c r="C808" s="3" t="s">
        <v>3391</v>
      </c>
      <c r="D808" s="3" t="s">
        <v>860</v>
      </c>
      <c r="E808" s="3" t="s">
        <v>2532</v>
      </c>
      <c r="F808" s="3" t="s">
        <v>864</v>
      </c>
      <c r="G808" s="3" t="s">
        <v>3671</v>
      </c>
      <c r="H808" s="6">
        <v>47240.688000000002</v>
      </c>
    </row>
    <row r="809" spans="1:8" ht="15.75" hidden="1" customHeight="1" x14ac:dyDescent="0.35">
      <c r="A809" s="15"/>
      <c r="B809" s="3" t="s">
        <v>845</v>
      </c>
      <c r="C809" s="3" t="s">
        <v>3393</v>
      </c>
      <c r="D809" s="3" t="s">
        <v>861</v>
      </c>
      <c r="E809" s="3" t="s">
        <v>2534</v>
      </c>
      <c r="F809" s="3" t="s">
        <v>1675</v>
      </c>
      <c r="G809" s="3" t="s">
        <v>5417</v>
      </c>
      <c r="H809" s="6">
        <v>23130.144</v>
      </c>
    </row>
    <row r="810" spans="1:8" ht="15.75" hidden="1" customHeight="1" x14ac:dyDescent="0.35">
      <c r="A810" s="15"/>
      <c r="B810" s="3" t="s">
        <v>846</v>
      </c>
      <c r="C810" s="3" t="s">
        <v>3394</v>
      </c>
      <c r="D810" s="3" t="s">
        <v>860</v>
      </c>
      <c r="E810" s="3" t="s">
        <v>2535</v>
      </c>
      <c r="F810" s="3" t="s">
        <v>1676</v>
      </c>
      <c r="G810" s="3" t="s">
        <v>5418</v>
      </c>
      <c r="H810" s="6">
        <v>44843.039999999994</v>
      </c>
    </row>
    <row r="811" spans="1:8" ht="15.75" hidden="1" customHeight="1" x14ac:dyDescent="0.35">
      <c r="A811" s="15"/>
      <c r="B811" s="3" t="s">
        <v>847</v>
      </c>
      <c r="C811" s="3" t="s">
        <v>3395</v>
      </c>
      <c r="D811" s="3" t="s">
        <v>860</v>
      </c>
      <c r="E811" s="3" t="s">
        <v>2536</v>
      </c>
      <c r="F811" s="3" t="s">
        <v>1677</v>
      </c>
      <c r="G811" s="3" t="s">
        <v>5419</v>
      </c>
      <c r="H811" s="6">
        <v>19007.903999999999</v>
      </c>
    </row>
    <row r="812" spans="1:8" ht="15.75" hidden="1" customHeight="1" x14ac:dyDescent="0.35">
      <c r="A812" s="15"/>
      <c r="B812" s="3" t="s">
        <v>849</v>
      </c>
      <c r="C812" s="3" t="s">
        <v>3397</v>
      </c>
      <c r="D812" s="3" t="s">
        <v>861</v>
      </c>
      <c r="E812" s="3" t="s">
        <v>2538</v>
      </c>
      <c r="F812" s="3" t="s">
        <v>1679</v>
      </c>
      <c r="G812" s="3" t="s">
        <v>5420</v>
      </c>
      <c r="H812" s="6">
        <v>16671.359999999997</v>
      </c>
    </row>
    <row r="813" spans="1:8" ht="15.75" hidden="1" customHeight="1" x14ac:dyDescent="0.35">
      <c r="A813" s="15"/>
      <c r="B813" s="3" t="s">
        <v>850</v>
      </c>
      <c r="C813" s="3" t="s">
        <v>3398</v>
      </c>
      <c r="D813" s="3" t="s">
        <v>860</v>
      </c>
      <c r="E813" s="3" t="s">
        <v>2539</v>
      </c>
      <c r="F813" s="3" t="s">
        <v>1680</v>
      </c>
      <c r="G813" s="3" t="s">
        <v>5421</v>
      </c>
      <c r="H813" s="6">
        <v>16012.895999999999</v>
      </c>
    </row>
    <row r="814" spans="1:8" ht="15.75" hidden="1" customHeight="1" x14ac:dyDescent="0.35">
      <c r="A814" s="15"/>
      <c r="B814" s="3" t="s">
        <v>851</v>
      </c>
      <c r="C814" s="3" t="s">
        <v>3399</v>
      </c>
      <c r="D814" s="3" t="s">
        <v>861</v>
      </c>
      <c r="E814" s="3" t="s">
        <v>2540</v>
      </c>
      <c r="F814" s="3" t="s">
        <v>1681</v>
      </c>
      <c r="G814" s="3" t="s">
        <v>5422</v>
      </c>
      <c r="H814" s="6">
        <v>16509.936000000002</v>
      </c>
    </row>
    <row r="815" spans="1:8" ht="15.75" hidden="1" customHeight="1" x14ac:dyDescent="0.35">
      <c r="A815" s="15"/>
      <c r="B815" s="3" t="s">
        <v>852</v>
      </c>
      <c r="C815" s="3" t="s">
        <v>3400</v>
      </c>
      <c r="D815" s="3" t="s">
        <v>861</v>
      </c>
      <c r="E815" s="3" t="s">
        <v>2541</v>
      </c>
      <c r="F815" s="3" t="s">
        <v>1682</v>
      </c>
      <c r="G815" s="3" t="s">
        <v>5423</v>
      </c>
      <c r="H815" s="6">
        <v>16030.223999999998</v>
      </c>
    </row>
    <row r="816" spans="1:8" ht="15.75" hidden="1" customHeight="1" x14ac:dyDescent="0.35">
      <c r="A816" s="15"/>
      <c r="B816" s="3" t="s">
        <v>855</v>
      </c>
      <c r="C816" s="3" t="s">
        <v>3403</v>
      </c>
      <c r="D816" s="3" t="s">
        <v>860</v>
      </c>
      <c r="E816" s="3" t="s">
        <v>2544</v>
      </c>
      <c r="F816" s="3" t="s">
        <v>1685</v>
      </c>
      <c r="G816" s="3" t="s">
        <v>5424</v>
      </c>
      <c r="H816" s="6">
        <v>42999.887999999999</v>
      </c>
    </row>
    <row r="817" spans="1:8" ht="15.75" hidden="1" customHeight="1" x14ac:dyDescent="0.35">
      <c r="A817" s="15"/>
      <c r="B817" s="3" t="s">
        <v>856</v>
      </c>
      <c r="C817" s="3" t="s">
        <v>3404</v>
      </c>
      <c r="D817" s="3" t="s">
        <v>860</v>
      </c>
      <c r="E817" s="3" t="s">
        <v>2545</v>
      </c>
      <c r="F817" s="3" t="s">
        <v>1686</v>
      </c>
      <c r="G817" s="3" t="s">
        <v>3942</v>
      </c>
      <c r="H817" s="6">
        <v>39811.839999999997</v>
      </c>
    </row>
    <row r="818" spans="1:8" ht="15.75" hidden="1" customHeight="1" x14ac:dyDescent="0.35">
      <c r="A818" s="15"/>
      <c r="B818" s="3" t="s">
        <v>857</v>
      </c>
      <c r="C818" s="3" t="s">
        <v>3405</v>
      </c>
      <c r="D818" s="3" t="s">
        <v>860</v>
      </c>
      <c r="E818" s="3" t="s">
        <v>2546</v>
      </c>
      <c r="F818" s="3" t="s">
        <v>1687</v>
      </c>
      <c r="G818" s="3" t="s">
        <v>5425</v>
      </c>
      <c r="H818" s="6">
        <v>35041.775999999998</v>
      </c>
    </row>
    <row r="819" spans="1:8" ht="15.75" hidden="1" customHeight="1" x14ac:dyDescent="0.35">
      <c r="A819" s="15"/>
      <c r="B819" s="3" t="s">
        <v>858</v>
      </c>
      <c r="C819" s="3" t="s">
        <v>3406</v>
      </c>
      <c r="D819" s="3" t="s">
        <v>861</v>
      </c>
      <c r="E819" s="3" t="s">
        <v>2547</v>
      </c>
      <c r="F819" s="3" t="s">
        <v>1688</v>
      </c>
      <c r="G819" s="3" t="s">
        <v>3756</v>
      </c>
      <c r="H819" s="6">
        <v>57352.639999999992</v>
      </c>
    </row>
    <row r="820" spans="1:8" ht="15.75" hidden="1" customHeight="1" x14ac:dyDescent="0.35">
      <c r="A820" s="15"/>
      <c r="B820" s="3" t="s">
        <v>5426</v>
      </c>
      <c r="C820" s="3" t="s">
        <v>2599</v>
      </c>
      <c r="D820" s="3" t="s">
        <v>861</v>
      </c>
      <c r="E820" s="3" t="s">
        <v>1740</v>
      </c>
      <c r="F820" s="3" t="s">
        <v>913</v>
      </c>
      <c r="G820" s="3" t="s">
        <v>5427</v>
      </c>
      <c r="H820" s="6">
        <v>30526.463999999996</v>
      </c>
    </row>
    <row r="821" spans="1:8" ht="15.75" hidden="1" customHeight="1" x14ac:dyDescent="0.35">
      <c r="A821" s="15"/>
      <c r="B821" s="3" t="s">
        <v>11</v>
      </c>
      <c r="C821" s="3" t="s">
        <v>2572</v>
      </c>
      <c r="D821" s="3" t="s">
        <v>860</v>
      </c>
      <c r="E821" s="3" t="s">
        <v>1713</v>
      </c>
      <c r="F821" s="3" t="s">
        <v>886</v>
      </c>
      <c r="G821" s="3" t="s">
        <v>5428</v>
      </c>
      <c r="H821" s="6">
        <v>94673.504000000001</v>
      </c>
    </row>
    <row r="822" spans="1:8" ht="15.75" hidden="1" customHeight="1" x14ac:dyDescent="0.35">
      <c r="A822" s="15"/>
      <c r="B822" s="3" t="s">
        <v>5429</v>
      </c>
      <c r="C822" s="3" t="s">
        <v>2811</v>
      </c>
      <c r="D822" s="3" t="s">
        <v>861</v>
      </c>
      <c r="E822" s="3" t="s">
        <v>1952</v>
      </c>
      <c r="F822" s="3" t="s">
        <v>1121</v>
      </c>
      <c r="G822" s="3" t="s">
        <v>5430</v>
      </c>
      <c r="H822" s="6">
        <v>34570.271999999997</v>
      </c>
    </row>
    <row r="823" spans="1:8" ht="15.75" hidden="1" customHeight="1" x14ac:dyDescent="0.35">
      <c r="A823" s="15"/>
      <c r="B823" s="3" t="s">
        <v>490</v>
      </c>
      <c r="C823" s="3" t="s">
        <v>2843</v>
      </c>
      <c r="D823" s="3" t="s">
        <v>861</v>
      </c>
      <c r="E823" s="3" t="s">
        <v>1984</v>
      </c>
      <c r="F823" s="3" t="s">
        <v>1153</v>
      </c>
      <c r="G823" s="3" t="s">
        <v>5431</v>
      </c>
      <c r="H823" s="6">
        <v>27682.239999999998</v>
      </c>
    </row>
    <row r="824" spans="1:8" ht="15.75" hidden="1" customHeight="1" x14ac:dyDescent="0.35">
      <c r="A824" s="15"/>
      <c r="B824" s="3" t="s">
        <v>491</v>
      </c>
      <c r="C824" s="3" t="s">
        <v>2600</v>
      </c>
      <c r="D824" s="3" t="s">
        <v>861</v>
      </c>
      <c r="E824" s="3" t="s">
        <v>1741</v>
      </c>
      <c r="F824" s="3" t="s">
        <v>914</v>
      </c>
      <c r="G824" s="3" t="s">
        <v>3451</v>
      </c>
      <c r="H824" s="6">
        <v>71664.960000000006</v>
      </c>
    </row>
    <row r="825" spans="1:8" ht="15.75" hidden="1" customHeight="1" x14ac:dyDescent="0.35">
      <c r="A825" s="15"/>
      <c r="B825" s="3" t="s">
        <v>6197</v>
      </c>
      <c r="C825" s="3" t="s">
        <v>3280</v>
      </c>
      <c r="D825" s="3" t="s">
        <v>861</v>
      </c>
      <c r="E825" s="3" t="s">
        <v>2421</v>
      </c>
      <c r="F825" s="3" t="s">
        <v>1570</v>
      </c>
      <c r="G825" s="3" t="s">
        <v>5636</v>
      </c>
      <c r="H825" s="6">
        <v>27564.288</v>
      </c>
    </row>
    <row r="826" spans="1:8" ht="15.75" hidden="1" customHeight="1" x14ac:dyDescent="0.35">
      <c r="A826" s="15"/>
      <c r="B826" s="3" t="s">
        <v>474</v>
      </c>
      <c r="C826" s="3" t="s">
        <v>2588</v>
      </c>
      <c r="D826" s="3" t="s">
        <v>861</v>
      </c>
      <c r="E826" s="3" t="s">
        <v>1729</v>
      </c>
      <c r="F826" s="3" t="s">
        <v>902</v>
      </c>
      <c r="G826" s="3" t="s">
        <v>5437</v>
      </c>
      <c r="H826" s="6">
        <v>35324.799999999996</v>
      </c>
    </row>
    <row r="827" spans="1:8" ht="15.75" hidden="1" customHeight="1" x14ac:dyDescent="0.35">
      <c r="A827" s="15"/>
      <c r="B827" s="3" t="s">
        <v>542</v>
      </c>
      <c r="C827" s="3" t="s">
        <v>3056</v>
      </c>
      <c r="D827" s="3" t="s">
        <v>860</v>
      </c>
      <c r="E827" s="3" t="s">
        <v>2197</v>
      </c>
      <c r="F827" s="3" t="s">
        <v>1360</v>
      </c>
      <c r="G827" s="3" t="s">
        <v>5635</v>
      </c>
      <c r="H827" s="6">
        <v>28970.592000000001</v>
      </c>
    </row>
    <row r="828" spans="1:8" ht="15.75" hidden="1" customHeight="1" x14ac:dyDescent="0.35">
      <c r="A828" s="15"/>
      <c r="B828" s="3" t="s">
        <v>543</v>
      </c>
      <c r="C828" s="3" t="s">
        <v>3175</v>
      </c>
      <c r="D828" s="3" t="s">
        <v>861</v>
      </c>
      <c r="E828" s="3" t="s">
        <v>2316</v>
      </c>
      <c r="F828" s="3" t="s">
        <v>1476</v>
      </c>
      <c r="G828" s="3" t="s">
        <v>3851</v>
      </c>
      <c r="H828" s="6">
        <v>80395.839999999997</v>
      </c>
    </row>
    <row r="829" spans="1:8" ht="15.75" hidden="1" customHeight="1" x14ac:dyDescent="0.35">
      <c r="A829" s="15"/>
      <c r="B829" s="3" t="s">
        <v>329</v>
      </c>
      <c r="C829" s="3" t="s">
        <v>2737</v>
      </c>
      <c r="D829" s="3" t="s">
        <v>861</v>
      </c>
      <c r="E829" s="3" t="s">
        <v>1878</v>
      </c>
      <c r="F829" s="3" t="s">
        <v>1048</v>
      </c>
      <c r="G829" s="3" t="s">
        <v>5442</v>
      </c>
      <c r="H829" s="64">
        <v>26560.48</v>
      </c>
    </row>
    <row r="830" spans="1:8" ht="15.75" hidden="1" customHeight="1" x14ac:dyDescent="0.35">
      <c r="A830" s="15"/>
      <c r="B830" s="3" t="s">
        <v>330</v>
      </c>
      <c r="C830" s="3" t="s">
        <v>3381</v>
      </c>
      <c r="D830" s="3" t="s">
        <v>860</v>
      </c>
      <c r="E830" s="3" t="s">
        <v>2522</v>
      </c>
      <c r="F830" s="3" t="s">
        <v>1666</v>
      </c>
      <c r="G830" s="3" t="s">
        <v>5443</v>
      </c>
      <c r="H830" s="6">
        <v>69996.607999999993</v>
      </c>
    </row>
    <row r="831" spans="1:8" ht="15.75" customHeight="1" x14ac:dyDescent="0.35">
      <c r="A831" s="15"/>
      <c r="B831" s="3"/>
      <c r="C831" s="3"/>
      <c r="D831" s="3"/>
      <c r="E831" s="3"/>
      <c r="F831" s="19"/>
      <c r="G831" s="19"/>
      <c r="H831" s="21"/>
    </row>
    <row r="832" spans="1:8" ht="15.75" customHeight="1" x14ac:dyDescent="0.35"/>
    <row r="833" spans="1:128" ht="15.75" customHeight="1" thickBot="1" x14ac:dyDescent="0.4">
      <c r="A833" s="26"/>
      <c r="B833" s="27"/>
      <c r="C833" s="27"/>
      <c r="D833" s="27"/>
      <c r="E833" s="27"/>
      <c r="F833" s="28"/>
      <c r="G833" s="28"/>
      <c r="H833" s="29"/>
      <c r="I833" s="30"/>
      <c r="J833" s="30"/>
      <c r="K833" s="30"/>
      <c r="L833" s="30"/>
      <c r="M833" s="30"/>
      <c r="N833" s="30"/>
      <c r="O833" s="30"/>
      <c r="P833" s="30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  <c r="DI833" s="31"/>
      <c r="DJ833" s="31"/>
      <c r="DK833" s="31"/>
      <c r="DL833" s="31"/>
      <c r="DM833" s="31"/>
      <c r="DN833" s="31"/>
      <c r="DO833" s="31"/>
      <c r="DP833" s="31"/>
      <c r="DQ833" s="31"/>
      <c r="DR833" s="31"/>
      <c r="DS833" s="31"/>
      <c r="DT833" s="31"/>
      <c r="DU833" s="31"/>
      <c r="DV833" s="31"/>
      <c r="DW833" s="31"/>
      <c r="DX833" s="31"/>
    </row>
    <row r="834" spans="1:128" ht="14.25" customHeight="1" x14ac:dyDescent="0.35">
      <c r="A834" s="32"/>
      <c r="B834" s="32"/>
      <c r="C834" s="32"/>
      <c r="D834" s="32"/>
      <c r="E834" s="32"/>
      <c r="F834" s="32"/>
      <c r="G834" s="32"/>
      <c r="H834" s="32"/>
      <c r="I834" s="30"/>
      <c r="J834" s="30"/>
      <c r="K834" s="30"/>
      <c r="L834" s="30"/>
      <c r="M834" s="30"/>
      <c r="N834" s="30"/>
      <c r="O834" s="30"/>
      <c r="P834" s="30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  <c r="DI834" s="31"/>
      <c r="DJ834" s="31"/>
      <c r="DK834" s="31"/>
      <c r="DL834" s="31"/>
      <c r="DM834" s="31"/>
      <c r="DN834" s="31"/>
      <c r="DO834" s="31"/>
      <c r="DP834" s="31"/>
      <c r="DQ834" s="31"/>
      <c r="DR834" s="31"/>
      <c r="DS834" s="31"/>
      <c r="DT834" s="31"/>
      <c r="DU834" s="31"/>
      <c r="DV834" s="31"/>
      <c r="DW834" s="31"/>
      <c r="DX834" s="31"/>
    </row>
    <row r="835" spans="1:128" s="41" customFormat="1" ht="15.5" x14ac:dyDescent="0.35">
      <c r="A835" s="34"/>
      <c r="B835" s="34"/>
      <c r="C835" s="34"/>
      <c r="D835" s="34"/>
      <c r="E835" s="34"/>
      <c r="F835" s="34"/>
      <c r="G835" s="34"/>
      <c r="H835" s="34"/>
      <c r="I835" s="30"/>
      <c r="J835" s="30"/>
      <c r="K835" s="30"/>
      <c r="L835" s="30"/>
      <c r="M835" s="30"/>
      <c r="N835" s="30"/>
      <c r="O835" s="30"/>
      <c r="P835" s="30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  <c r="DI835" s="31"/>
      <c r="DJ835" s="31"/>
      <c r="DK835" s="31"/>
      <c r="DL835" s="31"/>
      <c r="DM835" s="31"/>
      <c r="DN835" s="31"/>
      <c r="DO835" s="31"/>
      <c r="DP835" s="31"/>
      <c r="DQ835" s="31"/>
      <c r="DR835" s="31"/>
      <c r="DS835" s="31"/>
      <c r="DT835" s="31"/>
      <c r="DU835" s="31"/>
      <c r="DV835" s="31"/>
      <c r="DW835" s="31"/>
      <c r="DX835" s="31"/>
    </row>
    <row r="836" spans="1:128" s="10" customFormat="1" ht="31.5" customHeight="1" x14ac:dyDescent="0.35">
      <c r="B836" s="42"/>
      <c r="C836" s="42"/>
      <c r="D836" s="42"/>
      <c r="E836" s="42"/>
      <c r="F836" s="43"/>
      <c r="G836" s="43"/>
      <c r="H836" s="44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  <c r="BW836" s="30"/>
      <c r="BX836" s="30"/>
      <c r="BY836" s="30"/>
      <c r="BZ836" s="30"/>
      <c r="CA836" s="30"/>
      <c r="CB836" s="30"/>
      <c r="CC836" s="30"/>
      <c r="CD836" s="30"/>
      <c r="CE836" s="30"/>
      <c r="CF836" s="30"/>
      <c r="CG836" s="30"/>
      <c r="CH836" s="30"/>
      <c r="CI836" s="30"/>
      <c r="CJ836" s="30"/>
      <c r="CK836" s="30"/>
      <c r="CL836" s="30"/>
      <c r="CM836" s="30"/>
      <c r="CN836" s="30"/>
      <c r="CO836" s="30"/>
      <c r="CP836" s="30"/>
      <c r="CQ836" s="30"/>
      <c r="CR836" s="30"/>
      <c r="CS836" s="30"/>
      <c r="CT836" s="30"/>
      <c r="CU836" s="30"/>
      <c r="CV836" s="30"/>
      <c r="CW836" s="30"/>
      <c r="CX836" s="30"/>
      <c r="CY836" s="30"/>
      <c r="CZ836" s="30"/>
      <c r="DA836" s="30"/>
      <c r="DB836" s="30"/>
      <c r="DC836" s="30"/>
      <c r="DD836" s="30"/>
      <c r="DE836" s="30"/>
      <c r="DF836" s="30"/>
      <c r="DG836" s="30"/>
      <c r="DH836" s="30"/>
      <c r="DI836" s="30"/>
      <c r="DJ836" s="30"/>
      <c r="DK836" s="30"/>
      <c r="DL836" s="30"/>
      <c r="DM836" s="30"/>
      <c r="DN836" s="30"/>
      <c r="DO836" s="30"/>
      <c r="DP836" s="30"/>
      <c r="DQ836" s="30"/>
      <c r="DR836" s="30"/>
      <c r="DS836" s="30"/>
      <c r="DT836" s="30"/>
      <c r="DU836" s="30"/>
      <c r="DV836" s="30"/>
      <c r="DW836" s="30"/>
      <c r="DX836" s="30"/>
    </row>
    <row r="837" spans="1:128" s="10" customFormat="1" ht="20.25" hidden="1" customHeight="1" x14ac:dyDescent="0.35">
      <c r="B837" s="42"/>
      <c r="C837" s="42"/>
      <c r="D837" s="42"/>
      <c r="E837" s="42"/>
      <c r="F837" s="43"/>
      <c r="G837" s="43"/>
      <c r="H837" s="44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  <c r="BW837" s="30"/>
      <c r="BX837" s="30"/>
      <c r="BY837" s="30"/>
      <c r="BZ837" s="30"/>
      <c r="CA837" s="30"/>
      <c r="CB837" s="30"/>
      <c r="CC837" s="30"/>
      <c r="CD837" s="30"/>
      <c r="CE837" s="30"/>
      <c r="CF837" s="30"/>
      <c r="CG837" s="30"/>
      <c r="CH837" s="30"/>
      <c r="CI837" s="30"/>
      <c r="CJ837" s="30"/>
      <c r="CK837" s="30"/>
      <c r="CL837" s="30"/>
      <c r="CM837" s="30"/>
      <c r="CN837" s="30"/>
      <c r="CO837" s="30"/>
      <c r="CP837" s="30"/>
      <c r="CQ837" s="30"/>
      <c r="CR837" s="30"/>
      <c r="CS837" s="30"/>
      <c r="CT837" s="30"/>
      <c r="CU837" s="30"/>
      <c r="CV837" s="30"/>
      <c r="CW837" s="30"/>
      <c r="CX837" s="30"/>
      <c r="CY837" s="30"/>
      <c r="CZ837" s="30"/>
      <c r="DA837" s="30"/>
      <c r="DB837" s="30"/>
      <c r="DC837" s="30"/>
      <c r="DD837" s="30"/>
      <c r="DE837" s="30"/>
      <c r="DF837" s="30"/>
      <c r="DG837" s="30"/>
      <c r="DH837" s="30"/>
      <c r="DI837" s="30"/>
      <c r="DJ837" s="30"/>
      <c r="DK837" s="30"/>
      <c r="DL837" s="30"/>
      <c r="DM837" s="30"/>
      <c r="DN837" s="30"/>
      <c r="DO837" s="30"/>
      <c r="DP837" s="30"/>
      <c r="DQ837" s="30"/>
      <c r="DR837" s="30"/>
      <c r="DS837" s="30"/>
      <c r="DT837" s="30"/>
      <c r="DU837" s="30"/>
      <c r="DV837" s="30"/>
      <c r="DW837" s="30"/>
      <c r="DX837" s="30"/>
    </row>
    <row r="838" spans="1:128" s="10" customFormat="1" ht="20.25" hidden="1" customHeight="1" x14ac:dyDescent="0.35">
      <c r="B838" s="42"/>
      <c r="C838" s="42"/>
      <c r="D838" s="42"/>
      <c r="E838" s="42"/>
      <c r="F838" s="43"/>
      <c r="G838" s="43"/>
      <c r="H838" s="44"/>
    </row>
    <row r="839" spans="1:128" s="10" customFormat="1" ht="20.25" hidden="1" customHeight="1" x14ac:dyDescent="0.35">
      <c r="B839" s="42"/>
      <c r="C839" s="42"/>
      <c r="D839" s="42"/>
      <c r="E839" s="42"/>
      <c r="F839" s="43"/>
      <c r="G839" s="43"/>
      <c r="H839" s="44"/>
    </row>
    <row r="840" spans="1:128" s="10" customFormat="1" ht="20.25" hidden="1" customHeight="1" x14ac:dyDescent="0.35">
      <c r="B840" s="42"/>
      <c r="C840" s="42"/>
      <c r="D840" s="42"/>
      <c r="E840" s="42"/>
      <c r="F840" s="43"/>
      <c r="G840" s="43"/>
      <c r="H840" s="44"/>
    </row>
    <row r="841" spans="1:128" s="10" customFormat="1" ht="20.25" hidden="1" customHeight="1" x14ac:dyDescent="0.35">
      <c r="A841" s="45"/>
      <c r="B841" s="42"/>
      <c r="C841" s="42"/>
      <c r="D841" s="42"/>
      <c r="E841" s="42"/>
      <c r="F841" s="43"/>
      <c r="G841" s="43"/>
      <c r="H841" s="44"/>
    </row>
    <row r="842" spans="1:128" s="10" customFormat="1" ht="20.25" hidden="1" customHeight="1" x14ac:dyDescent="0.35">
      <c r="A842" s="45"/>
      <c r="B842" s="42"/>
      <c r="C842" s="42"/>
      <c r="D842" s="42"/>
      <c r="E842" s="42"/>
      <c r="F842" s="43"/>
      <c r="G842" s="43"/>
      <c r="H842" s="44"/>
    </row>
    <row r="843" spans="1:128" s="10" customFormat="1" ht="20.25" hidden="1" customHeight="1" x14ac:dyDescent="0.35">
      <c r="A843" s="45"/>
      <c r="B843" s="42"/>
      <c r="C843" s="42"/>
      <c r="D843" s="42"/>
      <c r="E843" s="42"/>
      <c r="F843" s="43"/>
      <c r="G843" s="43"/>
      <c r="H843" s="44"/>
    </row>
    <row r="844" spans="1:128" s="10" customFormat="1" ht="20.25" hidden="1" customHeight="1" x14ac:dyDescent="0.35">
      <c r="A844" s="45"/>
      <c r="B844" s="42"/>
      <c r="C844" s="42"/>
      <c r="D844" s="42"/>
      <c r="E844" s="42"/>
      <c r="F844" s="43"/>
      <c r="G844" s="43"/>
      <c r="H844" s="44"/>
    </row>
    <row r="845" spans="1:128" s="10" customFormat="1" ht="20.25" hidden="1" customHeight="1" x14ac:dyDescent="0.35">
      <c r="A845" s="45"/>
      <c r="B845" s="42"/>
      <c r="C845" s="42"/>
      <c r="D845" s="42"/>
      <c r="E845" s="42"/>
      <c r="F845" s="43"/>
      <c r="G845" s="43"/>
      <c r="H845" s="44"/>
    </row>
    <row r="846" spans="1:128" s="10" customFormat="1" ht="20.25" hidden="1" customHeight="1" x14ac:dyDescent="0.35">
      <c r="A846" s="45"/>
      <c r="B846" s="42"/>
      <c r="C846" s="42"/>
      <c r="D846" s="42"/>
      <c r="E846" s="42"/>
      <c r="F846" s="43"/>
      <c r="G846" s="43"/>
      <c r="H846" s="44"/>
    </row>
    <row r="847" spans="1:128" s="10" customFormat="1" ht="20.25" hidden="1" customHeight="1" x14ac:dyDescent="0.35">
      <c r="A847" s="45"/>
      <c r="B847" s="42"/>
      <c r="C847" s="42"/>
      <c r="D847" s="42"/>
      <c r="E847" s="42"/>
      <c r="F847" s="43"/>
      <c r="G847" s="43"/>
      <c r="H847" s="44"/>
    </row>
    <row r="848" spans="1:128" s="10" customFormat="1" ht="20.25" hidden="1" customHeight="1" x14ac:dyDescent="0.35">
      <c r="A848" s="45"/>
      <c r="B848" s="42"/>
      <c r="C848" s="42"/>
      <c r="D848" s="42"/>
      <c r="E848" s="42"/>
      <c r="F848" s="43"/>
      <c r="G848" s="43"/>
      <c r="H848" s="44"/>
    </row>
    <row r="849" spans="1:8" s="10" customFormat="1" ht="20.25" hidden="1" customHeight="1" x14ac:dyDescent="0.35">
      <c r="A849" s="45"/>
      <c r="B849" s="42"/>
      <c r="C849" s="42"/>
      <c r="D849" s="42"/>
      <c r="E849" s="42"/>
      <c r="F849" s="43"/>
      <c r="G849" s="43"/>
      <c r="H849" s="44"/>
    </row>
    <row r="850" spans="1:8" s="10" customFormat="1" ht="20.25" hidden="1" customHeight="1" x14ac:dyDescent="0.35">
      <c r="A850" s="45"/>
      <c r="B850" s="42"/>
      <c r="C850" s="42"/>
      <c r="D850" s="42"/>
      <c r="E850" s="42"/>
      <c r="F850" s="43"/>
      <c r="G850" s="43"/>
      <c r="H850" s="44"/>
    </row>
    <row r="851" spans="1:8" s="10" customFormat="1" ht="20.25" hidden="1" customHeight="1" x14ac:dyDescent="0.35">
      <c r="A851" s="45"/>
      <c r="B851" s="42"/>
      <c r="C851" s="42"/>
      <c r="D851" s="42"/>
      <c r="E851" s="42"/>
      <c r="F851" s="43"/>
      <c r="G851" s="43"/>
      <c r="H851" s="44"/>
    </row>
    <row r="852" spans="1:8" s="10" customFormat="1" ht="20.25" hidden="1" customHeight="1" x14ac:dyDescent="0.35">
      <c r="A852" s="45"/>
      <c r="B852" s="42"/>
      <c r="C852" s="42"/>
      <c r="D852" s="42"/>
      <c r="E852" s="42"/>
      <c r="F852" s="43"/>
      <c r="G852" s="43"/>
      <c r="H852" s="44"/>
    </row>
    <row r="853" spans="1:8" s="10" customFormat="1" ht="20.25" hidden="1" customHeight="1" x14ac:dyDescent="0.35">
      <c r="A853" s="45"/>
      <c r="B853" s="42"/>
      <c r="C853" s="42"/>
      <c r="D853" s="42"/>
      <c r="E853" s="42"/>
      <c r="F853" s="43"/>
      <c r="G853" s="43"/>
      <c r="H853" s="44"/>
    </row>
    <row r="854" spans="1:8" s="10" customFormat="1" ht="20.25" hidden="1" customHeight="1" x14ac:dyDescent="0.35">
      <c r="A854" s="45"/>
      <c r="B854" s="42"/>
      <c r="C854" s="42"/>
      <c r="D854" s="42"/>
      <c r="E854" s="42"/>
      <c r="F854" s="43"/>
      <c r="G854" s="43"/>
      <c r="H854" s="44"/>
    </row>
    <row r="855" spans="1:8" s="10" customFormat="1" ht="20.25" hidden="1" customHeight="1" x14ac:dyDescent="0.35">
      <c r="A855" s="45"/>
      <c r="B855" s="42"/>
      <c r="C855" s="42"/>
      <c r="D855" s="42"/>
      <c r="E855" s="42"/>
      <c r="F855" s="43"/>
      <c r="G855" s="43"/>
      <c r="H855" s="44"/>
    </row>
    <row r="856" spans="1:8" s="10" customFormat="1" ht="20.25" hidden="1" customHeight="1" x14ac:dyDescent="0.35">
      <c r="A856" s="45"/>
      <c r="B856" s="42"/>
      <c r="C856" s="42"/>
      <c r="D856" s="42"/>
      <c r="E856" s="42"/>
      <c r="F856" s="43"/>
      <c r="G856" s="43"/>
      <c r="H856" s="44"/>
    </row>
    <row r="857" spans="1:8" s="10" customFormat="1" ht="20.25" hidden="1" customHeight="1" x14ac:dyDescent="0.35">
      <c r="A857" s="45"/>
      <c r="B857" s="42"/>
      <c r="C857" s="42"/>
      <c r="D857" s="42"/>
      <c r="E857" s="42"/>
      <c r="F857" s="43"/>
      <c r="G857" s="43"/>
      <c r="H857" s="44"/>
    </row>
    <row r="858" spans="1:8" s="10" customFormat="1" ht="20.25" hidden="1" customHeight="1" x14ac:dyDescent="0.35">
      <c r="A858" s="45"/>
      <c r="B858" s="42"/>
      <c r="C858" s="42"/>
      <c r="D858" s="42"/>
      <c r="E858" s="42"/>
      <c r="F858" s="43"/>
      <c r="G858" s="43"/>
      <c r="H858" s="44"/>
    </row>
    <row r="859" spans="1:8" s="10" customFormat="1" ht="20.25" hidden="1" customHeight="1" x14ac:dyDescent="0.35">
      <c r="A859" s="45"/>
      <c r="B859" s="42"/>
      <c r="C859" s="42"/>
      <c r="D859" s="42"/>
      <c r="E859" s="42"/>
      <c r="F859" s="43"/>
      <c r="G859" s="43"/>
      <c r="H859" s="44"/>
    </row>
    <row r="860" spans="1:8" s="10" customFormat="1" ht="20.25" hidden="1" customHeight="1" x14ac:dyDescent="0.35">
      <c r="A860" s="45"/>
      <c r="B860" s="42"/>
      <c r="C860" s="42"/>
      <c r="D860" s="42"/>
      <c r="E860" s="42"/>
      <c r="F860" s="43"/>
      <c r="G860" s="43"/>
      <c r="H860" s="44"/>
    </row>
    <row r="861" spans="1:8" s="10" customFormat="1" ht="20.25" hidden="1" customHeight="1" x14ac:dyDescent="0.35">
      <c r="A861" s="45"/>
      <c r="B861" s="42"/>
      <c r="C861" s="42"/>
      <c r="D861" s="42"/>
      <c r="E861" s="42"/>
      <c r="F861" s="43"/>
      <c r="G861" s="43"/>
      <c r="H861" s="44"/>
    </row>
    <row r="862" spans="1:8" s="10" customFormat="1" ht="20.25" hidden="1" customHeight="1" x14ac:dyDescent="0.35">
      <c r="A862" s="45"/>
      <c r="B862" s="42"/>
      <c r="C862" s="42"/>
      <c r="D862" s="42"/>
      <c r="E862" s="42"/>
      <c r="F862" s="43"/>
      <c r="G862" s="43"/>
      <c r="H862" s="44"/>
    </row>
    <row r="863" spans="1:8" s="10" customFormat="1" ht="20.25" hidden="1" customHeight="1" x14ac:dyDescent="0.35">
      <c r="A863" s="45"/>
      <c r="B863" s="42"/>
      <c r="C863" s="42"/>
      <c r="D863" s="42"/>
      <c r="E863" s="42"/>
      <c r="F863" s="43"/>
      <c r="G863" s="43"/>
      <c r="H863" s="44"/>
    </row>
    <row r="864" spans="1:8" s="10" customFormat="1" ht="20.25" hidden="1" customHeight="1" x14ac:dyDescent="0.35">
      <c r="A864" s="45"/>
      <c r="B864" s="42"/>
      <c r="C864" s="42"/>
      <c r="D864" s="42"/>
      <c r="E864" s="42"/>
      <c r="F864" s="43"/>
      <c r="G864" s="43"/>
      <c r="H864" s="44"/>
    </row>
    <row r="865" spans="1:8" s="10" customFormat="1" ht="20.25" hidden="1" customHeight="1" x14ac:dyDescent="0.35">
      <c r="A865" s="45"/>
      <c r="B865" s="42"/>
      <c r="C865" s="42"/>
      <c r="D865" s="42"/>
      <c r="E865" s="42"/>
      <c r="F865" s="43"/>
      <c r="G865" s="43"/>
      <c r="H865" s="44"/>
    </row>
    <row r="866" spans="1:8" s="10" customFormat="1" ht="20.25" hidden="1" customHeight="1" x14ac:dyDescent="0.35">
      <c r="A866" s="45"/>
      <c r="B866" s="42"/>
      <c r="C866" s="42"/>
      <c r="D866" s="42"/>
      <c r="E866" s="42"/>
      <c r="F866" s="43"/>
      <c r="G866" s="43"/>
      <c r="H866" s="44"/>
    </row>
    <row r="867" spans="1:8" s="10" customFormat="1" ht="20.25" hidden="1" customHeight="1" x14ac:dyDescent="0.35">
      <c r="A867" s="45"/>
      <c r="B867" s="42"/>
      <c r="C867" s="42"/>
      <c r="D867" s="42"/>
      <c r="E867" s="42"/>
      <c r="F867" s="43"/>
      <c r="G867" s="43"/>
      <c r="H867" s="44"/>
    </row>
    <row r="868" spans="1:8" s="10" customFormat="1" ht="20.25" hidden="1" customHeight="1" x14ac:dyDescent="0.35">
      <c r="A868" s="45"/>
      <c r="B868" s="42"/>
      <c r="C868" s="42"/>
      <c r="D868" s="42"/>
      <c r="E868" s="42"/>
      <c r="F868" s="43"/>
      <c r="G868" s="43"/>
      <c r="H868" s="44"/>
    </row>
    <row r="869" spans="1:8" s="10" customFormat="1" ht="20.25" hidden="1" customHeight="1" x14ac:dyDescent="0.35">
      <c r="A869" s="45"/>
      <c r="B869" s="42"/>
      <c r="C869" s="42"/>
      <c r="D869" s="42"/>
      <c r="E869" s="42"/>
      <c r="F869" s="43"/>
      <c r="G869" s="43"/>
      <c r="H869" s="44"/>
    </row>
    <row r="870" spans="1:8" s="10" customFormat="1" ht="20.25" hidden="1" customHeight="1" x14ac:dyDescent="0.35">
      <c r="A870" s="45"/>
      <c r="B870" s="42"/>
      <c r="C870" s="42"/>
      <c r="D870" s="42"/>
      <c r="E870" s="42"/>
      <c r="F870" s="43"/>
      <c r="G870" s="43"/>
      <c r="H870" s="44"/>
    </row>
    <row r="871" spans="1:8" s="10" customFormat="1" ht="20.25" hidden="1" customHeight="1" x14ac:dyDescent="0.35">
      <c r="A871" s="45"/>
      <c r="B871" s="42"/>
      <c r="C871" s="42"/>
      <c r="D871" s="42"/>
      <c r="E871" s="42"/>
      <c r="F871" s="43"/>
      <c r="G871" s="43"/>
      <c r="H871" s="44"/>
    </row>
    <row r="872" spans="1:8" s="10" customFormat="1" ht="20.25" hidden="1" customHeight="1" x14ac:dyDescent="0.35">
      <c r="A872" s="45"/>
      <c r="B872" s="42"/>
      <c r="C872" s="42"/>
      <c r="D872" s="42"/>
      <c r="E872" s="42"/>
      <c r="F872" s="43"/>
      <c r="G872" s="43"/>
      <c r="H872" s="44"/>
    </row>
    <row r="873" spans="1:8" s="10" customFormat="1" ht="20.25" hidden="1" customHeight="1" x14ac:dyDescent="0.35">
      <c r="A873" s="45"/>
      <c r="B873" s="42"/>
      <c r="C873" s="42"/>
      <c r="D873" s="42"/>
      <c r="E873" s="42"/>
      <c r="F873" s="43"/>
      <c r="G873" s="43"/>
      <c r="H873" s="44"/>
    </row>
    <row r="874" spans="1:8" s="10" customFormat="1" ht="20.25" hidden="1" customHeight="1" x14ac:dyDescent="0.35">
      <c r="A874" s="45"/>
      <c r="B874" s="42"/>
      <c r="C874" s="42"/>
      <c r="D874" s="42"/>
      <c r="E874" s="42"/>
      <c r="F874" s="43"/>
      <c r="G874" s="43"/>
      <c r="H874" s="44"/>
    </row>
    <row r="875" spans="1:8" s="10" customFormat="1" ht="20.25" hidden="1" customHeight="1" x14ac:dyDescent="0.35">
      <c r="A875" s="45"/>
      <c r="B875" s="42"/>
      <c r="C875" s="42"/>
      <c r="D875" s="42"/>
      <c r="E875" s="42"/>
      <c r="F875" s="43"/>
      <c r="G875" s="43"/>
      <c r="H875" s="44"/>
    </row>
    <row r="876" spans="1:8" s="10" customFormat="1" ht="20.25" hidden="1" customHeight="1" x14ac:dyDescent="0.35">
      <c r="A876" s="45"/>
      <c r="B876" s="42"/>
      <c r="C876" s="42"/>
      <c r="D876" s="42"/>
      <c r="E876" s="42"/>
      <c r="F876" s="43"/>
      <c r="G876" s="43"/>
      <c r="H876" s="44"/>
    </row>
    <row r="877" spans="1:8" s="10" customFormat="1" ht="20.25" hidden="1" customHeight="1" x14ac:dyDescent="0.35">
      <c r="A877" s="45"/>
      <c r="B877" s="42"/>
      <c r="C877" s="42"/>
      <c r="D877" s="42"/>
      <c r="E877" s="42"/>
      <c r="F877" s="43"/>
      <c r="G877" s="43"/>
      <c r="H877" s="44"/>
    </row>
    <row r="878" spans="1:8" s="10" customFormat="1" ht="20.25" hidden="1" customHeight="1" x14ac:dyDescent="0.35">
      <c r="A878" s="45"/>
      <c r="B878" s="42"/>
      <c r="C878" s="42"/>
      <c r="D878" s="42"/>
      <c r="E878" s="42"/>
      <c r="F878" s="43"/>
      <c r="G878" s="43"/>
      <c r="H878" s="44"/>
    </row>
    <row r="879" spans="1:8" s="10" customFormat="1" ht="20.25" hidden="1" customHeight="1" x14ac:dyDescent="0.35">
      <c r="A879" s="45"/>
      <c r="B879" s="42"/>
      <c r="C879" s="42"/>
      <c r="D879" s="42"/>
      <c r="E879" s="42"/>
      <c r="F879" s="43"/>
      <c r="G879" s="43"/>
      <c r="H879" s="44"/>
    </row>
    <row r="880" spans="1:8" s="10" customFormat="1" ht="20.25" hidden="1" customHeight="1" x14ac:dyDescent="0.35">
      <c r="A880" s="45"/>
      <c r="B880" s="42"/>
      <c r="C880" s="42"/>
      <c r="D880" s="42"/>
      <c r="E880" s="42"/>
      <c r="F880" s="43"/>
      <c r="G880" s="43"/>
      <c r="H880" s="44"/>
    </row>
    <row r="881" spans="1:16" s="10" customFormat="1" ht="20.25" hidden="1" customHeight="1" x14ac:dyDescent="0.35">
      <c r="A881" s="45"/>
      <c r="B881" s="42"/>
      <c r="C881" s="42"/>
      <c r="D881" s="42"/>
      <c r="E881" s="42"/>
      <c r="F881" s="43"/>
      <c r="G881" s="43"/>
      <c r="H881" s="44"/>
    </row>
    <row r="882" spans="1:16" s="10" customFormat="1" ht="20.25" hidden="1" customHeight="1" x14ac:dyDescent="0.35">
      <c r="A882" s="45"/>
      <c r="B882" s="42"/>
      <c r="C882" s="42"/>
      <c r="D882" s="42"/>
      <c r="E882" s="42"/>
      <c r="F882" s="43"/>
      <c r="G882" s="43"/>
      <c r="H882" s="44"/>
    </row>
    <row r="883" spans="1:16" s="10" customFormat="1" ht="20.25" hidden="1" customHeight="1" x14ac:dyDescent="0.35">
      <c r="A883" s="45"/>
      <c r="B883" s="42"/>
      <c r="C883" s="42"/>
      <c r="D883" s="42"/>
      <c r="E883" s="42"/>
      <c r="F883" s="43"/>
      <c r="G883" s="43"/>
      <c r="H883" s="44"/>
    </row>
    <row r="884" spans="1:16" s="10" customFormat="1" ht="20.25" hidden="1" customHeight="1" x14ac:dyDescent="0.35">
      <c r="A884" s="45"/>
      <c r="B884" s="42"/>
      <c r="C884" s="42"/>
      <c r="D884" s="42"/>
      <c r="E884" s="42"/>
      <c r="F884" s="43"/>
      <c r="G884" s="43"/>
      <c r="H884" s="44"/>
    </row>
    <row r="885" spans="1:16" s="10" customFormat="1" ht="20.25" hidden="1" customHeight="1" x14ac:dyDescent="0.35">
      <c r="A885" s="45"/>
      <c r="B885" s="42"/>
      <c r="C885" s="42"/>
      <c r="D885" s="42"/>
      <c r="E885" s="42"/>
      <c r="F885" s="43"/>
      <c r="G885" s="43"/>
      <c r="H885" s="44"/>
    </row>
    <row r="886" spans="1:16" s="10" customFormat="1" ht="20.25" hidden="1" customHeight="1" x14ac:dyDescent="0.35">
      <c r="A886" s="45"/>
      <c r="B886" s="42"/>
      <c r="C886" s="42"/>
      <c r="D886" s="42"/>
      <c r="E886" s="42"/>
      <c r="F886" s="43"/>
      <c r="G886" s="43"/>
      <c r="H886" s="44"/>
    </row>
    <row r="887" spans="1:16" ht="20.25" hidden="1" customHeight="1" x14ac:dyDescent="0.35"/>
    <row r="888" spans="1:16" ht="20.25" hidden="1" customHeight="1" x14ac:dyDescent="0.35"/>
    <row r="889" spans="1:16" ht="20.25" hidden="1" customHeight="1" x14ac:dyDescent="0.35"/>
    <row r="890" spans="1:16" ht="20.25" hidden="1" customHeight="1" x14ac:dyDescent="0.35"/>
    <row r="891" spans="1:16" ht="20.25" hidden="1" customHeight="1" x14ac:dyDescent="0.35"/>
    <row r="892" spans="1:16" ht="20.25" hidden="1" customHeight="1" x14ac:dyDescent="0.35"/>
    <row r="893" spans="1:16" ht="20.25" hidden="1" customHeight="1" x14ac:dyDescent="0.35"/>
    <row r="894" spans="1:16" ht="20.25" hidden="1" customHeight="1" x14ac:dyDescent="0.35"/>
    <row r="895" spans="1:16" s="7" customFormat="1" ht="20.25" hidden="1" customHeight="1" x14ac:dyDescent="0.35">
      <c r="B895" s="22"/>
      <c r="C895" s="22"/>
      <c r="D895" s="22"/>
      <c r="E895" s="22"/>
      <c r="F895" s="23"/>
      <c r="G895" s="23"/>
      <c r="H895" s="24"/>
      <c r="I895" s="10"/>
      <c r="J895" s="10"/>
      <c r="K895" s="10"/>
      <c r="L895" s="10"/>
      <c r="M895" s="10"/>
      <c r="N895" s="10"/>
      <c r="O895" s="10"/>
      <c r="P895" s="10"/>
    </row>
    <row r="896" spans="1:16" s="7" customFormat="1" ht="20.25" hidden="1" customHeight="1" x14ac:dyDescent="0.35">
      <c r="B896" s="22"/>
      <c r="C896" s="22"/>
      <c r="D896" s="22"/>
      <c r="E896" s="22"/>
      <c r="F896" s="23"/>
      <c r="G896" s="23"/>
      <c r="H896" s="24"/>
      <c r="I896" s="10"/>
      <c r="J896" s="10"/>
      <c r="K896" s="10"/>
      <c r="L896" s="10"/>
      <c r="M896" s="10"/>
      <c r="N896" s="10"/>
      <c r="O896" s="10"/>
      <c r="P896" s="10"/>
    </row>
    <row r="897" spans="2:16" s="7" customFormat="1" ht="20.25" hidden="1" customHeight="1" x14ac:dyDescent="0.35">
      <c r="B897" s="22"/>
      <c r="C897" s="22"/>
      <c r="D897" s="22"/>
      <c r="E897" s="22"/>
      <c r="F897" s="23"/>
      <c r="G897" s="23"/>
      <c r="H897" s="24"/>
      <c r="I897" s="10"/>
      <c r="J897" s="10"/>
      <c r="K897" s="10"/>
      <c r="L897" s="10"/>
      <c r="M897" s="10"/>
      <c r="N897" s="10"/>
      <c r="O897" s="10"/>
      <c r="P897" s="10"/>
    </row>
    <row r="898" spans="2:16" s="7" customFormat="1" ht="20.25" hidden="1" customHeight="1" x14ac:dyDescent="0.35">
      <c r="B898" s="22"/>
      <c r="C898" s="22"/>
      <c r="D898" s="22"/>
      <c r="E898" s="22"/>
      <c r="F898" s="23"/>
      <c r="G898" s="23"/>
      <c r="H898" s="24"/>
      <c r="I898" s="10"/>
      <c r="J898" s="10"/>
      <c r="K898" s="10"/>
      <c r="L898" s="10"/>
      <c r="M898" s="10"/>
      <c r="N898" s="10"/>
      <c r="O898" s="10"/>
      <c r="P898" s="10"/>
    </row>
  </sheetData>
  <autoFilter ref="A2:DX830" xr:uid="{4E299489-D9F2-4A03-BE80-335EAC621E81}">
    <filterColumn colId="6">
      <filters>
        <filter val="01/03/2021"/>
        <filter val="01/04/2021"/>
        <filter val="01/06/2021"/>
        <filter val="01/07/2021"/>
        <filter val="01/09/2021"/>
        <filter val="01/12/2021"/>
        <filter val="02/02/2021"/>
        <filter val="02/06/2021"/>
        <filter val="02/08/2021"/>
        <filter val="03/05/2021"/>
        <filter val="03/11/2021"/>
        <filter val="04/01/2021"/>
        <filter val="04/02/2021"/>
        <filter val="04/10/2021"/>
        <filter val="05/03/2021"/>
        <filter val="05/04/2021"/>
        <filter val="05/05/2021"/>
        <filter val="05/07/2021"/>
        <filter val="05/10/2021"/>
        <filter val="06/05/2021"/>
        <filter val="06/07/2021"/>
        <filter val="06/09/2021"/>
        <filter val="07/04/2021"/>
        <filter val="07/05/2021"/>
        <filter val="07/10/2021"/>
        <filter val="07/12/2021"/>
        <filter val="08/03/2021"/>
        <filter val="08/04/2021"/>
        <filter val="08/06/2021"/>
        <filter val="08/11/2021"/>
        <filter val="09/08/2021"/>
        <filter val="09/09/2021"/>
        <filter val="09/11/2021"/>
        <filter val="10/03/2021"/>
        <filter val="10/06/2021"/>
        <filter val="10/08/2021"/>
        <filter val="11/03/2021"/>
        <filter val="11/05/2021"/>
        <filter val="11/08/2021"/>
        <filter val="11/11/2021"/>
        <filter val="12/07/2021"/>
        <filter val="12/10/2021"/>
        <filter val="13/05/2021"/>
        <filter val="13/09/2021"/>
        <filter val="14/01/2021"/>
        <filter val="14/04/2021"/>
        <filter val="14/06/2021"/>
        <filter val="14/10/2021"/>
        <filter val="15/01/2021"/>
        <filter val="15/04/2021"/>
        <filter val="15/06/2021"/>
        <filter val="16/02/2021"/>
        <filter val="16/03/2021"/>
        <filter val="16/06/2021"/>
        <filter val="16/08/2021"/>
        <filter val="16/11/2021"/>
        <filter val="17/02/2021"/>
        <filter val="17/03/2021"/>
        <filter val="17/04/2021"/>
        <filter val="17/06/2021"/>
        <filter val="17/08/2021"/>
        <filter val="17/09/2021"/>
        <filter val="17/11/2021"/>
        <filter val="18/10/2021"/>
        <filter val="19/04/2021"/>
        <filter val="19/05/2021"/>
        <filter val="19/07/2021"/>
        <filter val="19/10/2021"/>
        <filter val="20/01/2021"/>
        <filter val="20/04/2021"/>
        <filter val="20/07/2021"/>
        <filter val="20/12/2021"/>
        <filter val="21/04/2021"/>
        <filter val="21/06/2021"/>
        <filter val="22/03/2021"/>
        <filter val="22/11/2021"/>
        <filter val="23/08/2021"/>
        <filter val="23/10/2021"/>
        <filter val="23/11/2021"/>
        <filter val="25/10/2021"/>
        <filter val="26/04/2021"/>
        <filter val="26/07/2021"/>
        <filter val="26/08/2021"/>
        <filter val="26/10/2021"/>
        <filter val="27/05/2021"/>
        <filter val="28/04/2021"/>
        <filter val="28/05/2021"/>
        <filter val="28/09/2021"/>
        <filter val="29/04/2021"/>
        <filter val="29/05/2021"/>
        <filter val="29/06/2021"/>
        <filter val="29/09/2021"/>
        <filter val="29/11/2021"/>
        <filter val="30/11/2021"/>
        <filter val="31/05/2021"/>
      </filters>
    </filterColumn>
  </autoFilter>
  <printOptions horizontalCentered="1"/>
  <pageMargins left="0.39370078740157483" right="0.39370078740157483" top="0.78740157480314965" bottom="0.78740157480314965" header="0" footer="0"/>
  <pageSetup scale="65" orientation="landscape" r:id="rId1"/>
  <headerFooter alignWithMargins="0"/>
  <rowBreaks count="1" manualBreakCount="1">
    <brk id="847" max="8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F5F8B-F245-4AF8-89D8-115568F424BB}">
  <dimension ref="A1:EC823"/>
  <sheetViews>
    <sheetView showGridLines="0" zoomScale="75" zoomScaleNormal="75" zoomScaleSheetLayoutView="100" workbookViewId="0">
      <selection activeCell="F2" sqref="F2"/>
    </sheetView>
  </sheetViews>
  <sheetFormatPr baseColWidth="10" defaultColWidth="11.453125" defaultRowHeight="0" customHeight="1" zeroHeight="1" x14ac:dyDescent="0.35"/>
  <cols>
    <col min="1" max="1" width="1.6328125" style="7" customWidth="1"/>
    <col min="2" max="2" width="18.54296875" style="22" customWidth="1"/>
    <col min="3" max="3" width="8.08984375" style="22" bestFit="1" customWidth="1"/>
    <col min="4" max="4" width="18.90625" style="23" bestFit="1" customWidth="1"/>
    <col min="5" max="5" width="18.08984375" style="23" customWidth="1"/>
    <col min="6" max="7" width="18.54296875" style="23" customWidth="1"/>
    <col min="8" max="8" width="30.90625" style="24" customWidth="1"/>
    <col min="9" max="10" width="18.08984375" style="24" customWidth="1"/>
    <col min="11" max="11" width="23" style="24" bestFit="1" customWidth="1"/>
    <col min="12" max="12" width="1.6328125" style="9" customWidth="1"/>
    <col min="13" max="13" width="15.36328125" style="10" customWidth="1"/>
    <col min="14" max="21" width="42.6328125" style="10" customWidth="1"/>
    <col min="22" max="25" width="42.6328125" style="9" customWidth="1"/>
    <col min="26" max="33" width="20.08984375" style="9" customWidth="1"/>
    <col min="34" max="38" width="6.08984375" style="9" customWidth="1"/>
    <col min="39" max="150" width="11.453125" style="9" customWidth="1"/>
    <col min="151" max="16384" width="11.453125" style="9"/>
  </cols>
  <sheetData>
    <row r="1" spans="1:21" ht="91.5" customHeight="1" x14ac:dyDescent="0.35">
      <c r="B1" s="1"/>
      <c r="C1" s="8"/>
      <c r="F1" s="1"/>
      <c r="G1" s="1"/>
      <c r="H1" s="1"/>
      <c r="I1" s="1"/>
      <c r="J1" s="1"/>
      <c r="K1" s="1"/>
    </row>
    <row r="2" spans="1:21" s="14" customFormat="1" ht="110.25" customHeight="1" x14ac:dyDescent="0.35">
      <c r="A2" s="11"/>
      <c r="B2" s="2" t="s">
        <v>0</v>
      </c>
      <c r="C2" s="2" t="s">
        <v>859</v>
      </c>
      <c r="D2" s="4" t="s">
        <v>1689</v>
      </c>
      <c r="E2" s="4" t="s">
        <v>862</v>
      </c>
      <c r="F2" s="4" t="s">
        <v>3407</v>
      </c>
      <c r="G2" s="4" t="s">
        <v>5448</v>
      </c>
      <c r="H2" s="5" t="s">
        <v>6301</v>
      </c>
      <c r="I2" s="5" t="s">
        <v>5449</v>
      </c>
      <c r="J2" s="5" t="s">
        <v>5450</v>
      </c>
      <c r="K2" s="5" t="s">
        <v>5451</v>
      </c>
      <c r="L2" s="65"/>
      <c r="M2" s="13"/>
      <c r="N2" s="13"/>
      <c r="O2" s="13"/>
      <c r="P2" s="13"/>
      <c r="Q2" s="13"/>
      <c r="R2" s="13"/>
      <c r="S2" s="13"/>
      <c r="T2" s="13"/>
      <c r="U2" s="13"/>
    </row>
    <row r="3" spans="1:21" ht="15.75" customHeight="1" x14ac:dyDescent="0.35">
      <c r="A3" s="15"/>
      <c r="B3" s="3">
        <v>489</v>
      </c>
      <c r="C3" s="3" t="s">
        <v>860</v>
      </c>
      <c r="D3" s="3" t="s">
        <v>1968</v>
      </c>
      <c r="E3" s="3" t="s">
        <v>1137</v>
      </c>
      <c r="F3" s="19">
        <v>42053</v>
      </c>
      <c r="G3" s="19">
        <v>44211</v>
      </c>
      <c r="H3" s="6">
        <v>6538.1279999999997</v>
      </c>
      <c r="I3" s="6">
        <v>12281.52</v>
      </c>
      <c r="J3" s="6">
        <v>36844.559999999998</v>
      </c>
      <c r="K3" s="3" t="s">
        <v>6198</v>
      </c>
      <c r="L3" s="25"/>
    </row>
    <row r="4" spans="1:21" ht="15.75" customHeight="1" x14ac:dyDescent="0.35">
      <c r="A4" s="15"/>
      <c r="B4" s="3">
        <v>334</v>
      </c>
      <c r="C4" s="3" t="s">
        <v>860</v>
      </c>
      <c r="D4" s="3" t="s">
        <v>1880</v>
      </c>
      <c r="E4" s="3" t="str">
        <f>MID(D4,5,6)</f>
        <v>760709</v>
      </c>
      <c r="F4" s="19">
        <v>41415</v>
      </c>
      <c r="G4" s="19">
        <v>44211</v>
      </c>
      <c r="H4" s="6">
        <v>6474.5919999999996</v>
      </c>
      <c r="I4" s="6">
        <v>17027.189999999999</v>
      </c>
      <c r="J4" s="6">
        <v>51081.569999999992</v>
      </c>
      <c r="K4" s="3" t="s">
        <v>6198</v>
      </c>
      <c r="L4" s="25"/>
    </row>
    <row r="5" spans="1:21" ht="15.75" customHeight="1" x14ac:dyDescent="0.35">
      <c r="A5" s="15"/>
      <c r="B5" s="3">
        <v>501</v>
      </c>
      <c r="C5" s="3" t="s">
        <v>860</v>
      </c>
      <c r="D5" s="3" t="s">
        <v>1974</v>
      </c>
      <c r="E5" s="3" t="str">
        <f t="shared" ref="E5:E68" si="0">MID(D5,5,6)</f>
        <v>621210</v>
      </c>
      <c r="F5" s="19">
        <v>42100</v>
      </c>
      <c r="G5" s="19">
        <v>44211</v>
      </c>
      <c r="H5" s="6">
        <v>6538.1279999999997</v>
      </c>
      <c r="I5" s="6">
        <v>12281.52</v>
      </c>
      <c r="J5" s="6">
        <v>36844.559999999998</v>
      </c>
      <c r="K5" s="3" t="s">
        <v>6198</v>
      </c>
      <c r="L5" s="25"/>
    </row>
    <row r="6" spans="1:21" ht="15.75" customHeight="1" x14ac:dyDescent="0.35">
      <c r="A6" s="15"/>
      <c r="B6" s="3">
        <v>521</v>
      </c>
      <c r="C6" s="3" t="s">
        <v>860</v>
      </c>
      <c r="D6" s="3" t="s">
        <v>1987</v>
      </c>
      <c r="E6" s="3" t="str">
        <f t="shared" si="0"/>
        <v>681219</v>
      </c>
      <c r="F6" s="19">
        <v>42139</v>
      </c>
      <c r="G6" s="19">
        <v>44211</v>
      </c>
      <c r="H6" s="6">
        <v>6538.1279999999997</v>
      </c>
      <c r="I6" s="6">
        <v>12281.52</v>
      </c>
      <c r="J6" s="6">
        <v>36844.559999999998</v>
      </c>
      <c r="K6" s="3" t="s">
        <v>6198</v>
      </c>
      <c r="L6" s="25"/>
    </row>
    <row r="7" spans="1:21" ht="15.75" customHeight="1" x14ac:dyDescent="0.35">
      <c r="A7" s="15"/>
      <c r="B7" s="3">
        <v>428</v>
      </c>
      <c r="C7" s="3" t="s">
        <v>860</v>
      </c>
      <c r="D7" s="3" t="s">
        <v>1934</v>
      </c>
      <c r="E7" s="3" t="str">
        <f t="shared" si="0"/>
        <v>630827</v>
      </c>
      <c r="F7" s="19">
        <v>41842</v>
      </c>
      <c r="G7" s="19">
        <v>44211</v>
      </c>
      <c r="H7" s="6">
        <v>7011.76</v>
      </c>
      <c r="I7" s="6">
        <v>15805.720000000001</v>
      </c>
      <c r="J7" s="6">
        <v>47417.16</v>
      </c>
      <c r="K7" s="3" t="s">
        <v>6198</v>
      </c>
      <c r="L7" s="25"/>
    </row>
    <row r="8" spans="1:21" ht="15.75" customHeight="1" x14ac:dyDescent="0.35">
      <c r="A8" s="15"/>
      <c r="B8" s="3">
        <v>251</v>
      </c>
      <c r="C8" s="3" t="s">
        <v>860</v>
      </c>
      <c r="D8" s="3" t="s">
        <v>1828</v>
      </c>
      <c r="E8" s="3" t="str">
        <f t="shared" si="0"/>
        <v>760803</v>
      </c>
      <c r="F8" s="19">
        <v>40974</v>
      </c>
      <c r="G8" s="19">
        <v>44211</v>
      </c>
      <c r="H8" s="6">
        <v>6644.2240000000002</v>
      </c>
      <c r="I8" s="6">
        <v>19969.8</v>
      </c>
      <c r="J8" s="6">
        <v>59909.399999999994</v>
      </c>
      <c r="K8" s="3" t="s">
        <v>6198</v>
      </c>
      <c r="L8" s="25"/>
    </row>
    <row r="9" spans="1:21" ht="15.75" customHeight="1" x14ac:dyDescent="0.35">
      <c r="A9" s="15"/>
      <c r="B9" s="3">
        <v>229</v>
      </c>
      <c r="C9" s="3" t="s">
        <v>860</v>
      </c>
      <c r="D9" s="3" t="s">
        <v>1816</v>
      </c>
      <c r="E9" s="3" t="str">
        <f t="shared" si="0"/>
        <v>780525</v>
      </c>
      <c r="F9" s="19">
        <v>40798</v>
      </c>
      <c r="G9" s="19">
        <v>44211</v>
      </c>
      <c r="H9" s="6">
        <v>6952.48</v>
      </c>
      <c r="I9" s="6">
        <v>23477.199999999997</v>
      </c>
      <c r="J9" s="6">
        <v>70431.599999999991</v>
      </c>
      <c r="K9" s="3" t="s">
        <v>6198</v>
      </c>
      <c r="L9" s="25"/>
    </row>
    <row r="10" spans="1:21" ht="15.75" customHeight="1" x14ac:dyDescent="0.35">
      <c r="A10" s="15"/>
      <c r="B10" s="3">
        <v>1350</v>
      </c>
      <c r="C10" s="3" t="s">
        <v>861</v>
      </c>
      <c r="D10" s="3" t="s">
        <v>2246</v>
      </c>
      <c r="E10" s="3" t="str">
        <f t="shared" si="0"/>
        <v>970731</v>
      </c>
      <c r="F10" s="19">
        <v>43349</v>
      </c>
      <c r="G10" s="19">
        <v>44221</v>
      </c>
      <c r="H10" s="6">
        <v>8702.9119999999984</v>
      </c>
      <c r="I10" s="6">
        <v>5824.53</v>
      </c>
      <c r="J10" s="6">
        <v>38944.160000000003</v>
      </c>
      <c r="K10" s="3" t="s">
        <v>6199</v>
      </c>
      <c r="L10" s="25"/>
    </row>
    <row r="11" spans="1:21" ht="15.75" customHeight="1" x14ac:dyDescent="0.35">
      <c r="A11" s="15"/>
      <c r="B11" s="3">
        <v>4806</v>
      </c>
      <c r="C11" s="3" t="s">
        <v>860</v>
      </c>
      <c r="D11" s="3" t="s">
        <v>2487</v>
      </c>
      <c r="E11" s="3" t="str">
        <f t="shared" si="0"/>
        <v>800620</v>
      </c>
      <c r="F11" s="19">
        <v>44063</v>
      </c>
      <c r="G11" s="19">
        <v>44221</v>
      </c>
      <c r="H11" s="6">
        <v>8260.5920000000006</v>
      </c>
      <c r="I11" s="6">
        <v>0</v>
      </c>
      <c r="J11" s="6">
        <v>23845.09</v>
      </c>
      <c r="K11" s="3" t="s">
        <v>6199</v>
      </c>
      <c r="L11" s="25"/>
    </row>
    <row r="12" spans="1:21" ht="15.75" customHeight="1" x14ac:dyDescent="0.35">
      <c r="A12" s="15"/>
      <c r="B12" s="3">
        <v>4723</v>
      </c>
      <c r="C12" s="3" t="s">
        <v>860</v>
      </c>
      <c r="D12" s="3" t="s">
        <v>2475</v>
      </c>
      <c r="E12" s="3" t="str">
        <f t="shared" si="0"/>
        <v>900210</v>
      </c>
      <c r="F12" s="19">
        <v>44042</v>
      </c>
      <c r="G12" s="19">
        <v>44221</v>
      </c>
      <c r="H12" s="6">
        <v>8160.8799999999992</v>
      </c>
      <c r="I12" s="6">
        <v>0</v>
      </c>
      <c r="J12" s="6">
        <v>24145.56</v>
      </c>
      <c r="K12" s="3" t="s">
        <v>6198</v>
      </c>
      <c r="L12" s="25"/>
    </row>
    <row r="13" spans="1:21" ht="15.75" customHeight="1" x14ac:dyDescent="0.35">
      <c r="A13" s="15"/>
      <c r="B13" s="3">
        <v>809</v>
      </c>
      <c r="C13" s="3" t="s">
        <v>860</v>
      </c>
      <c r="D13" s="3" t="s">
        <v>2125</v>
      </c>
      <c r="E13" s="3" t="str">
        <f t="shared" si="0"/>
        <v>961126</v>
      </c>
      <c r="F13" s="19">
        <v>42916</v>
      </c>
      <c r="G13" s="19">
        <v>44221</v>
      </c>
      <c r="H13" s="6">
        <v>7547.7119999999995</v>
      </c>
      <c r="I13" s="6">
        <v>8377.48</v>
      </c>
      <c r="J13" s="6">
        <v>40183.11</v>
      </c>
      <c r="K13" s="3" t="s">
        <v>6198</v>
      </c>
      <c r="L13" s="25"/>
    </row>
    <row r="14" spans="1:21" ht="15.75" customHeight="1" x14ac:dyDescent="0.35">
      <c r="A14" s="15"/>
      <c r="B14" s="3">
        <v>783</v>
      </c>
      <c r="C14" s="3" t="s">
        <v>861</v>
      </c>
      <c r="D14" s="3" t="s">
        <v>2115</v>
      </c>
      <c r="E14" s="3" t="str">
        <f t="shared" si="0"/>
        <v>870503</v>
      </c>
      <c r="F14" s="19">
        <v>42884</v>
      </c>
      <c r="G14" s="19">
        <v>44221</v>
      </c>
      <c r="H14" s="6">
        <v>8871.0239999999994</v>
      </c>
      <c r="I14" s="6">
        <v>8689.7000000000007</v>
      </c>
      <c r="J14" s="6">
        <v>48783.17</v>
      </c>
      <c r="K14" s="3" t="s">
        <v>6198</v>
      </c>
      <c r="L14" s="25"/>
    </row>
    <row r="15" spans="1:21" ht="15.75" customHeight="1" x14ac:dyDescent="0.35">
      <c r="A15" s="15"/>
      <c r="B15" s="3">
        <v>629</v>
      </c>
      <c r="C15" s="3" t="s">
        <v>860</v>
      </c>
      <c r="D15" s="3" t="s">
        <v>2037</v>
      </c>
      <c r="E15" s="3" t="str">
        <f t="shared" si="0"/>
        <v>950203</v>
      </c>
      <c r="F15" s="19">
        <v>42485</v>
      </c>
      <c r="G15" s="19">
        <v>44221</v>
      </c>
      <c r="H15" s="6">
        <v>10471.888000000001</v>
      </c>
      <c r="I15" s="6">
        <v>13603.2</v>
      </c>
      <c r="J15" s="6">
        <v>59379.369999999995</v>
      </c>
      <c r="K15" s="3" t="s">
        <v>6198</v>
      </c>
      <c r="L15" s="25"/>
    </row>
    <row r="16" spans="1:21" ht="15.75" customHeight="1" x14ac:dyDescent="0.35">
      <c r="A16" s="15"/>
      <c r="B16" s="3">
        <v>4693</v>
      </c>
      <c r="C16" s="3" t="s">
        <v>861</v>
      </c>
      <c r="D16" s="3" t="s">
        <v>2466</v>
      </c>
      <c r="E16" s="3" t="str">
        <f t="shared" si="0"/>
        <v>880417</v>
      </c>
      <c r="F16" s="19">
        <v>43998</v>
      </c>
      <c r="G16" s="19">
        <v>44221</v>
      </c>
      <c r="H16" s="6">
        <v>7862.0479999999998</v>
      </c>
      <c r="I16" s="6">
        <v>0</v>
      </c>
      <c r="J16" s="6">
        <v>24241.9</v>
      </c>
      <c r="K16" s="3" t="s">
        <v>6198</v>
      </c>
      <c r="L16" s="25"/>
    </row>
    <row r="17" spans="1:12" ht="15.75" customHeight="1" x14ac:dyDescent="0.35">
      <c r="A17" s="15"/>
      <c r="B17" s="3">
        <v>1006</v>
      </c>
      <c r="C17" s="3" t="s">
        <v>861</v>
      </c>
      <c r="D17" s="3" t="s">
        <v>2199</v>
      </c>
      <c r="E17" s="3" t="str">
        <f t="shared" si="0"/>
        <v>790527</v>
      </c>
      <c r="F17" s="19">
        <v>43236</v>
      </c>
      <c r="G17" s="19">
        <v>44231</v>
      </c>
      <c r="H17" s="6">
        <v>5175.9039999999995</v>
      </c>
      <c r="I17" s="6">
        <v>3899.41</v>
      </c>
      <c r="J17" s="6">
        <v>22134.54</v>
      </c>
      <c r="K17" s="3" t="s">
        <v>6198</v>
      </c>
      <c r="L17" s="25"/>
    </row>
    <row r="18" spans="1:12" ht="15.75" customHeight="1" x14ac:dyDescent="0.35">
      <c r="A18" s="15"/>
      <c r="B18" s="3">
        <v>662</v>
      </c>
      <c r="C18" s="3" t="s">
        <v>860</v>
      </c>
      <c r="D18" s="3" t="s">
        <v>2057</v>
      </c>
      <c r="E18" s="3" t="str">
        <f t="shared" si="0"/>
        <v>880822</v>
      </c>
      <c r="F18" s="19">
        <v>42572</v>
      </c>
      <c r="G18" s="19">
        <v>44231</v>
      </c>
      <c r="H18" s="6">
        <v>16273.728000000001</v>
      </c>
      <c r="I18" s="6">
        <v>13603.199999999999</v>
      </c>
      <c r="J18" s="6">
        <v>93829.51999999999</v>
      </c>
      <c r="K18" s="3" t="s">
        <v>6198</v>
      </c>
      <c r="L18" s="25"/>
    </row>
    <row r="19" spans="1:12" ht="15.75" customHeight="1" x14ac:dyDescent="0.35">
      <c r="A19" s="15"/>
      <c r="B19" s="3">
        <v>420</v>
      </c>
      <c r="C19" s="3" t="s">
        <v>861</v>
      </c>
      <c r="D19" s="3" t="s">
        <v>1929</v>
      </c>
      <c r="E19" s="3" t="str">
        <f t="shared" si="0"/>
        <v>680311</v>
      </c>
      <c r="F19" s="19">
        <v>41821</v>
      </c>
      <c r="G19" s="19">
        <v>44231</v>
      </c>
      <c r="H19" s="6">
        <v>5401.4719999999998</v>
      </c>
      <c r="I19" s="6">
        <v>12175.59</v>
      </c>
      <c r="J19" s="6">
        <v>37676.92</v>
      </c>
      <c r="K19" s="3" t="s">
        <v>6198</v>
      </c>
      <c r="L19" s="25"/>
    </row>
    <row r="20" spans="1:12" ht="15.75" customHeight="1" x14ac:dyDescent="0.35">
      <c r="A20" s="15"/>
      <c r="B20" s="3">
        <v>103</v>
      </c>
      <c r="C20" s="3" t="s">
        <v>861</v>
      </c>
      <c r="D20" s="3" t="s">
        <v>1739</v>
      </c>
      <c r="E20" s="3" t="str">
        <f t="shared" si="0"/>
        <v>610324</v>
      </c>
      <c r="F20" s="19">
        <v>39456</v>
      </c>
      <c r="G20" s="19">
        <v>44231</v>
      </c>
      <c r="H20" s="6">
        <v>6623.8559999999989</v>
      </c>
      <c r="I20" s="6">
        <v>32307.93</v>
      </c>
      <c r="J20" s="6">
        <v>76258.959999999992</v>
      </c>
      <c r="K20" s="3" t="s">
        <v>6198</v>
      </c>
      <c r="L20" s="25"/>
    </row>
    <row r="21" spans="1:12" ht="15.75" customHeight="1" x14ac:dyDescent="0.35">
      <c r="A21" s="15"/>
      <c r="B21" s="3">
        <v>2333</v>
      </c>
      <c r="C21" s="3" t="s">
        <v>861</v>
      </c>
      <c r="D21" s="3" t="s">
        <v>2533</v>
      </c>
      <c r="E21" s="3" t="str">
        <f t="shared" si="0"/>
        <v>740802</v>
      </c>
      <c r="F21" s="19">
        <v>42611</v>
      </c>
      <c r="G21" s="19">
        <v>44231</v>
      </c>
      <c r="H21" s="6">
        <v>6152.0479999999998</v>
      </c>
      <c r="I21" s="6">
        <v>9245.11</v>
      </c>
      <c r="J21" s="6">
        <v>48464.01</v>
      </c>
      <c r="K21" s="3" t="s">
        <v>6198</v>
      </c>
      <c r="L21" s="25"/>
    </row>
    <row r="22" spans="1:12" ht="15.75" customHeight="1" x14ac:dyDescent="0.35">
      <c r="A22" s="15"/>
      <c r="B22" s="3">
        <v>3377</v>
      </c>
      <c r="C22" s="3" t="s">
        <v>861</v>
      </c>
      <c r="D22" s="3" t="s">
        <v>2393</v>
      </c>
      <c r="E22" s="3" t="str">
        <f t="shared" si="0"/>
        <v>831119</v>
      </c>
      <c r="F22" s="19">
        <v>43703</v>
      </c>
      <c r="G22" s="19">
        <v>44231</v>
      </c>
      <c r="H22" s="6">
        <v>5167.0879999999997</v>
      </c>
      <c r="I22" s="6">
        <v>1948.8000000000002</v>
      </c>
      <c r="J22" s="6">
        <v>18757.2</v>
      </c>
      <c r="K22" s="3" t="s">
        <v>6198</v>
      </c>
      <c r="L22" s="25"/>
    </row>
    <row r="23" spans="1:12" ht="15.75" customHeight="1" x14ac:dyDescent="0.35">
      <c r="A23" s="15"/>
      <c r="B23" s="3">
        <v>2936</v>
      </c>
      <c r="C23" s="3" t="s">
        <v>860</v>
      </c>
      <c r="D23" s="3" t="s">
        <v>2343</v>
      </c>
      <c r="E23" s="3" t="str">
        <f t="shared" si="0"/>
        <v>940820</v>
      </c>
      <c r="F23" s="19">
        <v>43612</v>
      </c>
      <c r="G23" s="19">
        <v>44231</v>
      </c>
      <c r="H23" s="6">
        <v>8520.5119999999988</v>
      </c>
      <c r="I23" s="6">
        <v>3213.6</v>
      </c>
      <c r="J23" s="6">
        <v>30830.019999999997</v>
      </c>
      <c r="K23" s="3" t="s">
        <v>6198</v>
      </c>
      <c r="L23" s="25"/>
    </row>
    <row r="24" spans="1:12" ht="15.75" customHeight="1" x14ac:dyDescent="0.35">
      <c r="A24" s="15"/>
      <c r="B24" s="3">
        <v>4545</v>
      </c>
      <c r="C24" s="3" t="s">
        <v>861</v>
      </c>
      <c r="D24" s="3" t="s">
        <v>2453</v>
      </c>
      <c r="E24" s="3" t="str">
        <f t="shared" si="0"/>
        <v>940720</v>
      </c>
      <c r="F24" s="19">
        <v>43892</v>
      </c>
      <c r="G24" s="19">
        <v>44231</v>
      </c>
      <c r="H24" s="6">
        <v>7284.7519999999995</v>
      </c>
      <c r="I24" s="6">
        <v>0</v>
      </c>
      <c r="J24" s="6">
        <v>21566.76</v>
      </c>
      <c r="K24" s="3" t="s">
        <v>6198</v>
      </c>
      <c r="L24" s="25"/>
    </row>
    <row r="25" spans="1:12" ht="15.75" customHeight="1" x14ac:dyDescent="0.35">
      <c r="A25" s="15"/>
      <c r="B25" s="3">
        <v>438</v>
      </c>
      <c r="C25" s="3" t="s">
        <v>861</v>
      </c>
      <c r="D25" s="3" t="s">
        <v>1940</v>
      </c>
      <c r="E25" s="3" t="str">
        <f t="shared" si="0"/>
        <v>820307</v>
      </c>
      <c r="F25" s="19">
        <v>41880</v>
      </c>
      <c r="G25" s="19">
        <v>44231</v>
      </c>
      <c r="H25" s="6">
        <v>6418.655999999999</v>
      </c>
      <c r="I25" s="6">
        <v>14468.609999999999</v>
      </c>
      <c r="J25" s="6">
        <v>44339.039999999994</v>
      </c>
      <c r="K25" s="3" t="s">
        <v>6198</v>
      </c>
      <c r="L25" s="25"/>
    </row>
    <row r="26" spans="1:12" ht="15.75" customHeight="1" x14ac:dyDescent="0.35">
      <c r="A26" s="15"/>
      <c r="B26" s="3">
        <v>259</v>
      </c>
      <c r="C26" s="3" t="s">
        <v>860</v>
      </c>
      <c r="D26" s="3" t="s">
        <v>1835</v>
      </c>
      <c r="E26" s="3" t="str">
        <f t="shared" si="0"/>
        <v>791004</v>
      </c>
      <c r="F26" s="19">
        <v>41023</v>
      </c>
      <c r="G26" s="19">
        <v>44231</v>
      </c>
      <c r="H26" s="6">
        <v>7005.3759999999993</v>
      </c>
      <c r="I26" s="6">
        <v>21054.85</v>
      </c>
      <c r="J26" s="6">
        <v>57609.39</v>
      </c>
      <c r="K26" s="3" t="s">
        <v>6198</v>
      </c>
      <c r="L26" s="25"/>
    </row>
    <row r="27" spans="1:12" ht="15.75" customHeight="1" x14ac:dyDescent="0.35">
      <c r="A27" s="15"/>
      <c r="B27" s="3">
        <v>1411</v>
      </c>
      <c r="C27" s="3" t="s">
        <v>861</v>
      </c>
      <c r="D27" s="3" t="s">
        <v>2252</v>
      </c>
      <c r="E27" s="3" t="str">
        <f t="shared" si="0"/>
        <v>840902</v>
      </c>
      <c r="F27" s="19">
        <v>43361</v>
      </c>
      <c r="G27" s="19">
        <v>44231</v>
      </c>
      <c r="H27" s="6">
        <v>8750.0319999999992</v>
      </c>
      <c r="I27" s="6">
        <v>6592.08</v>
      </c>
      <c r="J27" s="6">
        <v>37419.1</v>
      </c>
      <c r="K27" s="3" t="s">
        <v>6198</v>
      </c>
      <c r="L27" s="25"/>
    </row>
    <row r="28" spans="1:12" ht="15.75" customHeight="1" x14ac:dyDescent="0.35">
      <c r="A28" s="15"/>
      <c r="B28" s="3">
        <v>536</v>
      </c>
      <c r="C28" s="3" t="s">
        <v>861</v>
      </c>
      <c r="D28" s="3" t="s">
        <v>1992</v>
      </c>
      <c r="E28" s="3" t="str">
        <f t="shared" si="0"/>
        <v>800711</v>
      </c>
      <c r="F28" s="19">
        <v>42173</v>
      </c>
      <c r="G28" s="19">
        <v>44231</v>
      </c>
      <c r="H28" s="6">
        <v>5343.4080000000004</v>
      </c>
      <c r="I28" s="6">
        <v>10037.56</v>
      </c>
      <c r="J28" s="6">
        <v>33505.490000000005</v>
      </c>
      <c r="K28" s="3" t="s">
        <v>6198</v>
      </c>
      <c r="L28" s="25"/>
    </row>
    <row r="29" spans="1:12" ht="15.75" customHeight="1" x14ac:dyDescent="0.35">
      <c r="A29" s="15"/>
      <c r="B29" s="3">
        <v>4483</v>
      </c>
      <c r="C29" s="3" t="s">
        <v>861</v>
      </c>
      <c r="D29" s="3" t="s">
        <v>2444</v>
      </c>
      <c r="E29" s="3" t="str">
        <f t="shared" si="0"/>
        <v>670530</v>
      </c>
      <c r="F29" s="19">
        <v>43878</v>
      </c>
      <c r="G29" s="19">
        <v>44231</v>
      </c>
      <c r="H29" s="6">
        <v>7284.7519999999995</v>
      </c>
      <c r="I29" s="6">
        <v>0</v>
      </c>
      <c r="J29" s="6">
        <v>21566.76</v>
      </c>
      <c r="K29" s="3" t="s">
        <v>6198</v>
      </c>
      <c r="L29" s="25"/>
    </row>
    <row r="30" spans="1:12" ht="15.75" customHeight="1" x14ac:dyDescent="0.35">
      <c r="A30" s="15"/>
      <c r="B30" s="3">
        <v>678</v>
      </c>
      <c r="C30" s="3" t="s">
        <v>861</v>
      </c>
      <c r="D30" s="3" t="s">
        <v>2066</v>
      </c>
      <c r="E30" s="3" t="str">
        <f t="shared" si="0"/>
        <v>690518</v>
      </c>
      <c r="F30" s="19">
        <v>42614</v>
      </c>
      <c r="G30" s="19">
        <v>44231</v>
      </c>
      <c r="H30" s="6">
        <v>5343.4080000000004</v>
      </c>
      <c r="I30" s="6">
        <v>8030.04</v>
      </c>
      <c r="J30" s="6">
        <v>30056.53</v>
      </c>
      <c r="K30" s="3" t="s">
        <v>6198</v>
      </c>
      <c r="L30" s="25"/>
    </row>
    <row r="31" spans="1:12" ht="15.75" customHeight="1" x14ac:dyDescent="0.35">
      <c r="A31" s="15"/>
      <c r="B31" s="3">
        <v>614</v>
      </c>
      <c r="C31" s="3" t="s">
        <v>860</v>
      </c>
      <c r="D31" s="3" t="s">
        <v>2029</v>
      </c>
      <c r="E31" s="3" t="str">
        <f t="shared" si="0"/>
        <v>901216</v>
      </c>
      <c r="F31" s="19">
        <v>42447</v>
      </c>
      <c r="G31" s="19">
        <v>44231</v>
      </c>
      <c r="H31" s="6">
        <v>6550.8959999999997</v>
      </c>
      <c r="I31" s="6">
        <v>9844.39</v>
      </c>
      <c r="J31" s="6">
        <v>36632.700000000004</v>
      </c>
      <c r="K31" s="3" t="s">
        <v>6198</v>
      </c>
      <c r="L31" s="25"/>
    </row>
    <row r="32" spans="1:12" ht="15.75" customHeight="1" x14ac:dyDescent="0.35">
      <c r="A32" s="15"/>
      <c r="B32" s="3">
        <v>4003</v>
      </c>
      <c r="C32" s="3" t="s">
        <v>861</v>
      </c>
      <c r="D32" s="3" t="s">
        <v>2407</v>
      </c>
      <c r="E32" s="3" t="str">
        <f t="shared" si="0"/>
        <v>630124</v>
      </c>
      <c r="F32" s="19">
        <v>43725</v>
      </c>
      <c r="G32" s="19">
        <v>44231</v>
      </c>
      <c r="H32" s="6">
        <v>9726.48</v>
      </c>
      <c r="I32" s="6">
        <v>3400.8</v>
      </c>
      <c r="J32" s="6">
        <v>35193.19</v>
      </c>
      <c r="K32" s="3" t="s">
        <v>6198</v>
      </c>
      <c r="L32" s="25"/>
    </row>
    <row r="33" spans="1:12" ht="15.75" customHeight="1" x14ac:dyDescent="0.35">
      <c r="A33" s="15"/>
      <c r="B33" s="3">
        <v>2404</v>
      </c>
      <c r="C33" s="3" t="s">
        <v>861</v>
      </c>
      <c r="D33" s="3" t="s">
        <v>2543</v>
      </c>
      <c r="E33" s="3" t="str">
        <f t="shared" si="0"/>
        <v>730916</v>
      </c>
      <c r="F33" s="19">
        <v>43483</v>
      </c>
      <c r="G33" s="19">
        <v>44231</v>
      </c>
      <c r="H33" s="6">
        <v>5117.8399999999992</v>
      </c>
      <c r="I33" s="6">
        <v>3860.5199999999995</v>
      </c>
      <c r="J33" s="6">
        <v>41569.72</v>
      </c>
      <c r="K33" s="3" t="s">
        <v>6198</v>
      </c>
      <c r="L33" s="25"/>
    </row>
    <row r="34" spans="1:12" ht="15.75" customHeight="1" x14ac:dyDescent="0.35">
      <c r="A34" s="15"/>
      <c r="B34" s="3">
        <v>557</v>
      </c>
      <c r="C34" s="3" t="s">
        <v>861</v>
      </c>
      <c r="D34" s="3" t="s">
        <v>1999</v>
      </c>
      <c r="E34" s="3" t="str">
        <f t="shared" si="0"/>
        <v>660826</v>
      </c>
      <c r="F34" s="19">
        <v>42233</v>
      </c>
      <c r="G34" s="19">
        <v>44231</v>
      </c>
      <c r="H34" s="6">
        <v>5564.1120000000001</v>
      </c>
      <c r="I34" s="6">
        <v>10451.73</v>
      </c>
      <c r="J34" s="6">
        <v>34888.020000000004</v>
      </c>
      <c r="K34" s="3" t="s">
        <v>6198</v>
      </c>
      <c r="L34" s="25"/>
    </row>
    <row r="35" spans="1:12" ht="15.75" customHeight="1" x14ac:dyDescent="0.35">
      <c r="A35" s="15"/>
      <c r="B35" s="3">
        <v>495</v>
      </c>
      <c r="C35" s="3" t="s">
        <v>861</v>
      </c>
      <c r="D35" s="3" t="s">
        <v>1971</v>
      </c>
      <c r="E35" s="3" t="str">
        <f t="shared" si="0"/>
        <v>790714</v>
      </c>
      <c r="F35" s="19">
        <v>42066</v>
      </c>
      <c r="G35" s="19">
        <v>44231</v>
      </c>
      <c r="H35" s="6">
        <v>9577.52</v>
      </c>
      <c r="I35" s="6">
        <v>17004</v>
      </c>
      <c r="J35" s="6">
        <v>59858.979999999996</v>
      </c>
      <c r="K35" s="3" t="s">
        <v>6198</v>
      </c>
      <c r="L35" s="25"/>
    </row>
    <row r="36" spans="1:12" ht="15.75" customHeight="1" x14ac:dyDescent="0.35">
      <c r="A36" s="15"/>
      <c r="B36" s="3">
        <v>999</v>
      </c>
      <c r="C36" s="3" t="s">
        <v>860</v>
      </c>
      <c r="D36" s="3" t="s">
        <v>2195</v>
      </c>
      <c r="E36" s="3" t="str">
        <f t="shared" si="0"/>
        <v>631015</v>
      </c>
      <c r="F36" s="19">
        <v>43227</v>
      </c>
      <c r="G36" s="19">
        <v>44231</v>
      </c>
      <c r="H36" s="6">
        <v>6343.5679999999993</v>
      </c>
      <c r="I36" s="6">
        <v>4779.1099999999997</v>
      </c>
      <c r="J36" s="6">
        <v>27128.04</v>
      </c>
      <c r="K36" s="3" t="s">
        <v>6198</v>
      </c>
      <c r="L36" s="25"/>
    </row>
    <row r="37" spans="1:12" ht="15.75" customHeight="1" x14ac:dyDescent="0.35">
      <c r="A37" s="15"/>
      <c r="B37" s="3">
        <v>3090</v>
      </c>
      <c r="C37" s="3" t="s">
        <v>860</v>
      </c>
      <c r="D37" s="3" t="s">
        <v>2351</v>
      </c>
      <c r="E37" s="3" t="str">
        <f t="shared" si="0"/>
        <v>650726</v>
      </c>
      <c r="F37" s="19">
        <v>43623</v>
      </c>
      <c r="G37" s="19">
        <v>44231</v>
      </c>
      <c r="H37" s="6">
        <v>6200.6880000000001</v>
      </c>
      <c r="I37" s="6">
        <v>2338.6999999999998</v>
      </c>
      <c r="J37" s="6">
        <v>22436.539999999997</v>
      </c>
      <c r="K37" s="3" t="s">
        <v>6198</v>
      </c>
      <c r="L37" s="25"/>
    </row>
    <row r="38" spans="1:12" ht="15.75" customHeight="1" x14ac:dyDescent="0.35">
      <c r="A38" s="15"/>
      <c r="B38" s="3">
        <v>3114</v>
      </c>
      <c r="C38" s="3" t="s">
        <v>861</v>
      </c>
      <c r="D38" s="3" t="s">
        <v>2353</v>
      </c>
      <c r="E38" s="3" t="str">
        <f t="shared" si="0"/>
        <v>870424</v>
      </c>
      <c r="F38" s="19">
        <v>43615</v>
      </c>
      <c r="G38" s="19">
        <v>44231</v>
      </c>
      <c r="H38" s="6">
        <v>5322.1279999999997</v>
      </c>
      <c r="I38" s="6">
        <v>2007.27</v>
      </c>
      <c r="J38" s="6">
        <v>19319.91</v>
      </c>
      <c r="K38" s="3" t="s">
        <v>6198</v>
      </c>
      <c r="L38" s="25"/>
    </row>
    <row r="39" spans="1:12" ht="15.75" customHeight="1" x14ac:dyDescent="0.35">
      <c r="A39" s="15"/>
      <c r="B39" s="3">
        <v>1405</v>
      </c>
      <c r="C39" s="3" t="s">
        <v>861</v>
      </c>
      <c r="D39" s="3" t="s">
        <v>2248</v>
      </c>
      <c r="E39" s="3" t="str">
        <f t="shared" si="0"/>
        <v>890201</v>
      </c>
      <c r="F39" s="19">
        <v>43360</v>
      </c>
      <c r="G39" s="19">
        <v>44231</v>
      </c>
      <c r="H39" s="6">
        <v>9739.2479999999996</v>
      </c>
      <c r="I39" s="6">
        <v>6801.6</v>
      </c>
      <c r="J39" s="6">
        <v>41650.31</v>
      </c>
      <c r="K39" s="3" t="s">
        <v>6198</v>
      </c>
      <c r="L39" s="25"/>
    </row>
    <row r="40" spans="1:12" ht="15.75" customHeight="1" x14ac:dyDescent="0.35">
      <c r="A40" s="15"/>
      <c r="B40" s="3">
        <v>378</v>
      </c>
      <c r="C40" s="3" t="s">
        <v>861</v>
      </c>
      <c r="D40" s="3" t="s">
        <v>1903</v>
      </c>
      <c r="E40" s="3" t="str">
        <f t="shared" si="0"/>
        <v>771007</v>
      </c>
      <c r="F40" s="19">
        <v>41683</v>
      </c>
      <c r="G40" s="19">
        <v>44231</v>
      </c>
      <c r="H40" s="6">
        <v>6142.9279999999999</v>
      </c>
      <c r="I40" s="6">
        <v>13847.16</v>
      </c>
      <c r="J40" s="6">
        <v>42434.58</v>
      </c>
      <c r="K40" s="3" t="s">
        <v>6198</v>
      </c>
      <c r="L40" s="25"/>
    </row>
    <row r="41" spans="1:12" ht="15.75" customHeight="1" x14ac:dyDescent="0.35">
      <c r="A41" s="15"/>
      <c r="B41" s="3">
        <v>2862</v>
      </c>
      <c r="C41" s="3" t="s">
        <v>860</v>
      </c>
      <c r="D41" s="3" t="s">
        <v>2322</v>
      </c>
      <c r="E41" s="3" t="str">
        <f t="shared" si="0"/>
        <v>910917</v>
      </c>
      <c r="F41" s="19">
        <v>43560</v>
      </c>
      <c r="G41" s="19">
        <v>44231</v>
      </c>
      <c r="H41" s="6">
        <v>9540.1279999999988</v>
      </c>
      <c r="I41" s="6">
        <v>3400.8</v>
      </c>
      <c r="J41" s="6">
        <v>34519.65</v>
      </c>
      <c r="K41" s="3" t="s">
        <v>6198</v>
      </c>
      <c r="L41" s="25"/>
    </row>
    <row r="42" spans="1:12" ht="15.75" customHeight="1" x14ac:dyDescent="0.35">
      <c r="A42" s="15"/>
      <c r="B42" s="3">
        <v>317</v>
      </c>
      <c r="C42" s="3" t="s">
        <v>861</v>
      </c>
      <c r="D42" s="3" t="s">
        <v>1871</v>
      </c>
      <c r="E42" s="3" t="str">
        <f t="shared" si="0"/>
        <v>621227</v>
      </c>
      <c r="F42" s="19">
        <v>41330</v>
      </c>
      <c r="G42" s="19">
        <v>44231</v>
      </c>
      <c r="H42" s="6">
        <v>5291.7279999999992</v>
      </c>
      <c r="I42" s="6">
        <v>13916.15</v>
      </c>
      <c r="J42" s="6">
        <v>40165.520000000004</v>
      </c>
      <c r="K42" s="3" t="s">
        <v>6198</v>
      </c>
      <c r="L42" s="25"/>
    </row>
    <row r="43" spans="1:12" ht="15.75" customHeight="1" x14ac:dyDescent="0.35">
      <c r="A43" s="15"/>
      <c r="B43" s="3">
        <v>2468</v>
      </c>
      <c r="C43" s="3" t="s">
        <v>860</v>
      </c>
      <c r="D43" s="3" t="s">
        <v>2275</v>
      </c>
      <c r="E43" s="3" t="str">
        <f t="shared" si="0"/>
        <v>880507</v>
      </c>
      <c r="F43" s="19">
        <v>43483</v>
      </c>
      <c r="G43" s="19">
        <v>44231</v>
      </c>
      <c r="H43" s="6">
        <v>8750.0319999999992</v>
      </c>
      <c r="I43" s="6">
        <v>6592.08</v>
      </c>
      <c r="J43" s="6">
        <v>37419.1</v>
      </c>
      <c r="K43" s="3" t="s">
        <v>6198</v>
      </c>
      <c r="L43" s="25"/>
    </row>
    <row r="44" spans="1:12" ht="15.75" customHeight="1" x14ac:dyDescent="0.35">
      <c r="A44" s="15"/>
      <c r="B44" s="3">
        <v>4228</v>
      </c>
      <c r="C44" s="3" t="s">
        <v>861</v>
      </c>
      <c r="D44" s="3" t="s">
        <v>2435</v>
      </c>
      <c r="E44" s="3" t="str">
        <f t="shared" si="0"/>
        <v>960212</v>
      </c>
      <c r="F44" s="19">
        <v>43857</v>
      </c>
      <c r="G44" s="19">
        <v>44231</v>
      </c>
      <c r="H44" s="6">
        <v>7294.48</v>
      </c>
      <c r="I44" s="6">
        <v>2751.2</v>
      </c>
      <c r="J44" s="6">
        <v>26393.93</v>
      </c>
      <c r="K44" s="3" t="s">
        <v>6198</v>
      </c>
      <c r="L44" s="25"/>
    </row>
    <row r="45" spans="1:12" ht="15.75" customHeight="1" x14ac:dyDescent="0.35">
      <c r="A45" s="15"/>
      <c r="B45" s="3">
        <v>419</v>
      </c>
      <c r="C45" s="3" t="s">
        <v>860</v>
      </c>
      <c r="D45" s="3" t="s">
        <v>1928</v>
      </c>
      <c r="E45" s="3" t="str">
        <f t="shared" si="0"/>
        <v>620408</v>
      </c>
      <c r="F45" s="19">
        <v>41809</v>
      </c>
      <c r="G45" s="19">
        <v>44231</v>
      </c>
      <c r="H45" s="6">
        <v>6538.1279999999997</v>
      </c>
      <c r="I45" s="6">
        <v>14737.81</v>
      </c>
      <c r="J45" s="6">
        <v>45164</v>
      </c>
      <c r="K45" s="3" t="s">
        <v>6198</v>
      </c>
      <c r="L45" s="25"/>
    </row>
    <row r="46" spans="1:12" ht="15.75" customHeight="1" x14ac:dyDescent="0.35">
      <c r="A46" s="15"/>
      <c r="B46" s="3">
        <v>187</v>
      </c>
      <c r="C46" s="3" t="s">
        <v>861</v>
      </c>
      <c r="D46" s="3" t="s">
        <v>1787</v>
      </c>
      <c r="E46" s="3" t="str">
        <f t="shared" si="0"/>
        <v>670525</v>
      </c>
      <c r="F46" s="19">
        <v>40413</v>
      </c>
      <c r="G46" s="19">
        <v>44231</v>
      </c>
      <c r="H46" s="6">
        <v>17146.815999999999</v>
      </c>
      <c r="I46" s="6">
        <v>34008</v>
      </c>
      <c r="J46" s="6">
        <v>175722.07</v>
      </c>
      <c r="K46" s="3" t="s">
        <v>6198</v>
      </c>
      <c r="L46" s="25"/>
    </row>
    <row r="47" spans="1:12" ht="15.75" customHeight="1" x14ac:dyDescent="0.35">
      <c r="A47" s="15"/>
      <c r="B47" s="3">
        <v>3016</v>
      </c>
      <c r="C47" s="3" t="s">
        <v>861</v>
      </c>
      <c r="D47" s="3" t="s">
        <v>2344</v>
      </c>
      <c r="E47" s="3" t="str">
        <f t="shared" si="0"/>
        <v>740701</v>
      </c>
      <c r="F47" s="19">
        <v>43612</v>
      </c>
      <c r="G47" s="19">
        <v>44231</v>
      </c>
      <c r="H47" s="6">
        <v>8520.5119999999988</v>
      </c>
      <c r="I47" s="6">
        <v>3213.6</v>
      </c>
      <c r="J47" s="6">
        <v>30830.019999999997</v>
      </c>
      <c r="K47" s="3" t="s">
        <v>6198</v>
      </c>
      <c r="L47" s="25"/>
    </row>
    <row r="48" spans="1:12" ht="15.75" customHeight="1" x14ac:dyDescent="0.35">
      <c r="A48" s="15"/>
      <c r="B48" s="3">
        <v>311</v>
      </c>
      <c r="C48" s="3" t="s">
        <v>861</v>
      </c>
      <c r="D48" s="3" t="s">
        <v>1869</v>
      </c>
      <c r="E48" s="3" t="str">
        <f t="shared" si="0"/>
        <v>690113</v>
      </c>
      <c r="F48" s="19">
        <v>41306</v>
      </c>
      <c r="G48" s="19">
        <v>44232</v>
      </c>
      <c r="H48" s="6">
        <v>4791.3440000000001</v>
      </c>
      <c r="I48" s="6">
        <v>14400</v>
      </c>
      <c r="J48" s="6">
        <v>39400.69</v>
      </c>
      <c r="K48" s="3" t="s">
        <v>6198</v>
      </c>
      <c r="L48" s="25"/>
    </row>
    <row r="49" spans="1:12" ht="15.75" customHeight="1" x14ac:dyDescent="0.35">
      <c r="A49" s="15"/>
      <c r="B49" s="3">
        <v>190</v>
      </c>
      <c r="C49" s="3" t="s">
        <v>860</v>
      </c>
      <c r="D49" s="3" t="s">
        <v>1790</v>
      </c>
      <c r="E49" s="3" t="str">
        <f t="shared" si="0"/>
        <v>620531</v>
      </c>
      <c r="F49" s="19">
        <v>40434</v>
      </c>
      <c r="G49" s="19">
        <v>44232</v>
      </c>
      <c r="H49" s="6">
        <v>23012.495999999999</v>
      </c>
      <c r="I49" s="6">
        <v>34008</v>
      </c>
      <c r="J49" s="6">
        <v>196734.96999999997</v>
      </c>
      <c r="K49" s="3" t="s">
        <v>6198</v>
      </c>
      <c r="L49" s="25"/>
    </row>
    <row r="50" spans="1:12" ht="15.75" customHeight="1" x14ac:dyDescent="0.35">
      <c r="A50" s="15"/>
      <c r="B50" s="3">
        <v>1038</v>
      </c>
      <c r="C50" s="3" t="s">
        <v>860</v>
      </c>
      <c r="D50" s="3" t="s">
        <v>2208</v>
      </c>
      <c r="E50" s="3" t="str">
        <f t="shared" si="0"/>
        <v>931019</v>
      </c>
      <c r="F50" s="19">
        <v>43255</v>
      </c>
      <c r="G50" s="19">
        <v>44232</v>
      </c>
      <c r="H50" s="6">
        <v>6986.8320000000003</v>
      </c>
      <c r="I50" s="6">
        <v>5263.71</v>
      </c>
      <c r="J50" s="6">
        <v>29878.76</v>
      </c>
      <c r="K50" s="3" t="s">
        <v>6198</v>
      </c>
      <c r="L50" s="25"/>
    </row>
    <row r="51" spans="1:12" ht="15.75" customHeight="1" x14ac:dyDescent="0.35">
      <c r="A51" s="15"/>
      <c r="B51" s="3">
        <v>353</v>
      </c>
      <c r="C51" s="3" t="s">
        <v>861</v>
      </c>
      <c r="D51" s="3" t="s">
        <v>1891</v>
      </c>
      <c r="E51" s="3" t="str">
        <f t="shared" si="0"/>
        <v>601006</v>
      </c>
      <c r="F51" s="19">
        <v>41528</v>
      </c>
      <c r="G51" s="19">
        <v>44232</v>
      </c>
      <c r="H51" s="6">
        <v>5343.4080000000004</v>
      </c>
      <c r="I51" s="6">
        <v>14052.58</v>
      </c>
      <c r="J51" s="6">
        <v>40427.509999999995</v>
      </c>
      <c r="K51" s="3" t="s">
        <v>6198</v>
      </c>
      <c r="L51" s="25"/>
    </row>
    <row r="52" spans="1:12" ht="15.75" customHeight="1" x14ac:dyDescent="0.35">
      <c r="A52" s="15"/>
      <c r="B52" s="3">
        <v>247</v>
      </c>
      <c r="C52" s="3" t="s">
        <v>860</v>
      </c>
      <c r="D52" s="3" t="s">
        <v>1826</v>
      </c>
      <c r="E52" s="3" t="str">
        <f t="shared" si="0"/>
        <v>750611</v>
      </c>
      <c r="F52" s="19">
        <v>40952</v>
      </c>
      <c r="G52" s="19">
        <v>44232</v>
      </c>
      <c r="H52" s="6">
        <v>7543.76</v>
      </c>
      <c r="I52" s="6">
        <v>22673.19</v>
      </c>
      <c r="J52" s="6">
        <v>62037.42</v>
      </c>
      <c r="K52" s="3" t="s">
        <v>6198</v>
      </c>
      <c r="L52" s="25"/>
    </row>
    <row r="53" spans="1:12" ht="15.75" customHeight="1" x14ac:dyDescent="0.35">
      <c r="A53" s="15"/>
      <c r="B53" s="3">
        <v>4485</v>
      </c>
      <c r="C53" s="3" t="s">
        <v>861</v>
      </c>
      <c r="D53" s="3" t="s">
        <v>2446</v>
      </c>
      <c r="E53" s="3" t="str">
        <f t="shared" si="0"/>
        <v>880913</v>
      </c>
      <c r="F53" s="19">
        <v>43878</v>
      </c>
      <c r="G53" s="19">
        <v>44232</v>
      </c>
      <c r="H53" s="6">
        <v>7284.7519999999995</v>
      </c>
      <c r="I53" s="6">
        <v>0</v>
      </c>
      <c r="J53" s="6">
        <v>21566.76</v>
      </c>
      <c r="K53" s="3" t="s">
        <v>6198</v>
      </c>
      <c r="L53" s="25"/>
    </row>
    <row r="54" spans="1:12" ht="15.75" customHeight="1" x14ac:dyDescent="0.35">
      <c r="A54" s="15"/>
      <c r="B54" s="3">
        <v>4495</v>
      </c>
      <c r="C54" s="3" t="s">
        <v>860</v>
      </c>
      <c r="D54" s="3" t="s">
        <v>2449</v>
      </c>
      <c r="E54" s="3" t="str">
        <f t="shared" si="0"/>
        <v>811118</v>
      </c>
      <c r="F54" s="19">
        <v>43880</v>
      </c>
      <c r="G54" s="19">
        <v>44232</v>
      </c>
      <c r="H54" s="6">
        <v>6070.8799999999992</v>
      </c>
      <c r="I54" s="6">
        <v>0</v>
      </c>
      <c r="J54" s="6">
        <v>17973.349999999999</v>
      </c>
      <c r="K54" s="3" t="s">
        <v>6198</v>
      </c>
      <c r="L54" s="25"/>
    </row>
    <row r="55" spans="1:12" ht="15.75" customHeight="1" x14ac:dyDescent="0.35">
      <c r="A55" s="15"/>
      <c r="B55" s="3">
        <v>1067</v>
      </c>
      <c r="C55" s="3" t="s">
        <v>860</v>
      </c>
      <c r="D55" s="3" t="s">
        <v>2221</v>
      </c>
      <c r="E55" s="3" t="str">
        <f t="shared" si="0"/>
        <v>950103</v>
      </c>
      <c r="F55" s="19">
        <v>43284</v>
      </c>
      <c r="G55" s="19">
        <v>44232</v>
      </c>
      <c r="H55" s="6">
        <v>6207.9840000000004</v>
      </c>
      <c r="I55" s="6">
        <v>4676.8999999999996</v>
      </c>
      <c r="J55" s="6">
        <v>26547.83</v>
      </c>
      <c r="K55" s="3" t="s">
        <v>6198</v>
      </c>
      <c r="L55" s="25"/>
    </row>
    <row r="56" spans="1:12" ht="15.75" customHeight="1" x14ac:dyDescent="0.35">
      <c r="A56" s="15"/>
      <c r="B56" s="3">
        <v>289</v>
      </c>
      <c r="C56" s="3" t="s">
        <v>860</v>
      </c>
      <c r="D56" s="3" t="s">
        <v>1854</v>
      </c>
      <c r="E56" s="3" t="str">
        <f t="shared" si="0"/>
        <v>670223</v>
      </c>
      <c r="F56" s="19">
        <v>41173</v>
      </c>
      <c r="G56" s="19">
        <v>44232</v>
      </c>
      <c r="H56" s="6">
        <v>8393.44</v>
      </c>
      <c r="I56" s="6">
        <v>25226.27</v>
      </c>
      <c r="J56" s="6">
        <v>69697.989999999991</v>
      </c>
      <c r="K56" s="3" t="s">
        <v>6198</v>
      </c>
      <c r="L56" s="25"/>
    </row>
    <row r="57" spans="1:12" ht="15.75" customHeight="1" x14ac:dyDescent="0.35">
      <c r="A57" s="15"/>
      <c r="B57" s="3">
        <v>4718</v>
      </c>
      <c r="C57" s="3" t="s">
        <v>861</v>
      </c>
      <c r="D57" s="3" t="s">
        <v>2474</v>
      </c>
      <c r="E57" s="3" t="str">
        <f t="shared" si="0"/>
        <v>901127</v>
      </c>
      <c r="F57" s="19">
        <v>44033</v>
      </c>
      <c r="G57" s="19">
        <v>44232</v>
      </c>
      <c r="H57" s="6">
        <v>7862.0479999999998</v>
      </c>
      <c r="I57" s="6">
        <v>0</v>
      </c>
      <c r="J57" s="6">
        <v>23275.68</v>
      </c>
      <c r="K57" s="3" t="s">
        <v>6199</v>
      </c>
      <c r="L57" s="25"/>
    </row>
    <row r="58" spans="1:12" ht="15.75" customHeight="1" x14ac:dyDescent="0.35">
      <c r="A58" s="15"/>
      <c r="B58" s="3">
        <v>2830</v>
      </c>
      <c r="C58" s="3" t="s">
        <v>861</v>
      </c>
      <c r="D58" s="3" t="s">
        <v>2310</v>
      </c>
      <c r="E58" s="3" t="str">
        <f t="shared" si="0"/>
        <v>970821</v>
      </c>
      <c r="F58" s="19">
        <v>43549</v>
      </c>
      <c r="G58" s="19">
        <v>44232</v>
      </c>
      <c r="H58" s="6">
        <v>10539.679999999998</v>
      </c>
      <c r="I58" s="6">
        <v>3400.8</v>
      </c>
      <c r="J58" s="6">
        <v>36659.24</v>
      </c>
      <c r="K58" s="3" t="s">
        <v>6198</v>
      </c>
      <c r="L58" s="25"/>
    </row>
    <row r="59" spans="1:12" ht="15.75" customHeight="1" x14ac:dyDescent="0.35">
      <c r="A59" s="15"/>
      <c r="B59" s="3">
        <v>3166</v>
      </c>
      <c r="C59" s="3" t="s">
        <v>860</v>
      </c>
      <c r="D59" s="3" t="s">
        <v>2359</v>
      </c>
      <c r="E59" s="3" t="str">
        <f t="shared" si="0"/>
        <v>940721</v>
      </c>
      <c r="F59" s="19">
        <v>43642</v>
      </c>
      <c r="G59" s="19">
        <v>44232</v>
      </c>
      <c r="H59" s="6">
        <v>10923.632</v>
      </c>
      <c r="I59" s="6">
        <v>3400.8</v>
      </c>
      <c r="J59" s="6">
        <v>39525.660000000003</v>
      </c>
      <c r="K59" s="3" t="s">
        <v>6198</v>
      </c>
      <c r="L59" s="25"/>
    </row>
    <row r="60" spans="1:12" ht="15.75" customHeight="1" x14ac:dyDescent="0.35">
      <c r="A60" s="15"/>
      <c r="B60" s="3">
        <v>2720</v>
      </c>
      <c r="C60" s="3" t="s">
        <v>860</v>
      </c>
      <c r="D60" s="3" t="s">
        <v>2292</v>
      </c>
      <c r="E60" s="3" t="str">
        <f t="shared" si="0"/>
        <v>610607</v>
      </c>
      <c r="F60" s="19">
        <v>43511</v>
      </c>
      <c r="G60" s="19">
        <v>44232</v>
      </c>
      <c r="H60" s="6">
        <v>8823.9039999999986</v>
      </c>
      <c r="I60" s="6">
        <v>3328.04</v>
      </c>
      <c r="J60" s="6">
        <v>32032.400000000001</v>
      </c>
      <c r="K60" s="3" t="s">
        <v>6198</v>
      </c>
      <c r="L60" s="25"/>
    </row>
    <row r="61" spans="1:12" ht="15.75" customHeight="1" x14ac:dyDescent="0.35">
      <c r="A61" s="15"/>
      <c r="B61" s="3">
        <v>1066</v>
      </c>
      <c r="C61" s="3" t="s">
        <v>860</v>
      </c>
      <c r="D61" s="3" t="s">
        <v>2220</v>
      </c>
      <c r="E61" s="3" t="str">
        <f t="shared" si="0"/>
        <v>931022</v>
      </c>
      <c r="F61" s="19">
        <v>43283</v>
      </c>
      <c r="G61" s="19">
        <v>44232</v>
      </c>
      <c r="H61" s="6">
        <v>6332.6239999999998</v>
      </c>
      <c r="I61" s="6">
        <v>4770.91</v>
      </c>
      <c r="J61" s="6">
        <v>30322.53</v>
      </c>
      <c r="K61" s="3" t="s">
        <v>6199</v>
      </c>
      <c r="L61" s="25"/>
    </row>
    <row r="62" spans="1:12" ht="15.75" customHeight="1" x14ac:dyDescent="0.35">
      <c r="A62" s="15"/>
      <c r="B62" s="3">
        <v>1022</v>
      </c>
      <c r="C62" s="3" t="s">
        <v>860</v>
      </c>
      <c r="D62" s="3" t="s">
        <v>2206</v>
      </c>
      <c r="E62" s="3" t="str">
        <f t="shared" si="0"/>
        <v>681207</v>
      </c>
      <c r="F62" s="19">
        <v>43248</v>
      </c>
      <c r="G62" s="19">
        <v>44232</v>
      </c>
      <c r="H62" s="6">
        <v>6520.1919999999991</v>
      </c>
      <c r="I62" s="6">
        <v>4912.1099999999997</v>
      </c>
      <c r="J62" s="6">
        <v>27882.959999999999</v>
      </c>
      <c r="K62" s="3" t="s">
        <v>6198</v>
      </c>
      <c r="L62" s="25"/>
    </row>
    <row r="63" spans="1:12" ht="15.75" customHeight="1" x14ac:dyDescent="0.35">
      <c r="A63" s="15"/>
      <c r="B63" s="3">
        <v>623</v>
      </c>
      <c r="C63" s="3" t="s">
        <v>860</v>
      </c>
      <c r="D63" s="3" t="s">
        <v>2033</v>
      </c>
      <c r="E63" s="3" t="str">
        <f t="shared" si="0"/>
        <v>791013</v>
      </c>
      <c r="F63" s="19">
        <v>42471</v>
      </c>
      <c r="G63" s="19">
        <v>44232</v>
      </c>
      <c r="H63" s="6">
        <v>6538.1279999999997</v>
      </c>
      <c r="I63" s="6">
        <v>9825.2099999999991</v>
      </c>
      <c r="J63" s="6">
        <v>36561.339999999997</v>
      </c>
      <c r="K63" s="3" t="s">
        <v>6198</v>
      </c>
      <c r="L63" s="25"/>
    </row>
    <row r="64" spans="1:12" ht="15.75" customHeight="1" x14ac:dyDescent="0.35">
      <c r="A64" s="15"/>
      <c r="B64" s="3">
        <v>1334</v>
      </c>
      <c r="C64" s="3" t="s">
        <v>860</v>
      </c>
      <c r="D64" s="3" t="s">
        <v>2243</v>
      </c>
      <c r="E64" s="3" t="str">
        <f t="shared" si="0"/>
        <v>900625</v>
      </c>
      <c r="F64" s="19">
        <v>43717</v>
      </c>
      <c r="G64" s="19">
        <v>44232</v>
      </c>
      <c r="H64" s="6">
        <v>11708.56</v>
      </c>
      <c r="I64" s="6">
        <v>3400.7999999999997</v>
      </c>
      <c r="J64" s="6">
        <v>42365.380000000005</v>
      </c>
      <c r="K64" s="3" t="s">
        <v>6198</v>
      </c>
      <c r="L64" s="25"/>
    </row>
    <row r="65" spans="1:12" ht="15.75" customHeight="1" x14ac:dyDescent="0.35">
      <c r="A65" s="15"/>
      <c r="B65" s="3">
        <v>976</v>
      </c>
      <c r="C65" s="3" t="s">
        <v>860</v>
      </c>
      <c r="D65" s="3" t="s">
        <v>2186</v>
      </c>
      <c r="E65" s="3" t="str">
        <f t="shared" si="0"/>
        <v>630517</v>
      </c>
      <c r="F65" s="19">
        <v>43200</v>
      </c>
      <c r="G65" s="19">
        <v>44232</v>
      </c>
      <c r="H65" s="6">
        <v>6256.32</v>
      </c>
      <c r="I65" s="6">
        <v>4713.3599999999997</v>
      </c>
      <c r="J65" s="6">
        <v>26842.22</v>
      </c>
      <c r="K65" s="3" t="s">
        <v>6198</v>
      </c>
      <c r="L65" s="25"/>
    </row>
    <row r="66" spans="1:12" ht="15.75" customHeight="1" x14ac:dyDescent="0.35">
      <c r="A66" s="15"/>
      <c r="B66" s="3">
        <v>2931</v>
      </c>
      <c r="C66" s="3" t="s">
        <v>861</v>
      </c>
      <c r="D66" s="3" t="s">
        <v>2342</v>
      </c>
      <c r="E66" s="3" t="str">
        <f t="shared" si="0"/>
        <v>920717</v>
      </c>
      <c r="F66" s="19">
        <v>43605</v>
      </c>
      <c r="G66" s="19">
        <v>44232</v>
      </c>
      <c r="H66" s="6">
        <v>7312.72</v>
      </c>
      <c r="I66" s="6">
        <v>2758.04</v>
      </c>
      <c r="J66" s="6">
        <v>26459.54</v>
      </c>
      <c r="K66" s="3" t="s">
        <v>6198</v>
      </c>
      <c r="L66" s="25"/>
    </row>
    <row r="67" spans="1:12" ht="15.75" customHeight="1" x14ac:dyDescent="0.35">
      <c r="A67" s="15"/>
      <c r="B67" s="3">
        <v>14</v>
      </c>
      <c r="C67" s="3" t="s">
        <v>861</v>
      </c>
      <c r="D67" s="3" t="s">
        <v>1698</v>
      </c>
      <c r="E67" s="3" t="str">
        <f t="shared" si="0"/>
        <v>621129</v>
      </c>
      <c r="F67" s="19">
        <v>36402</v>
      </c>
      <c r="G67" s="19">
        <v>44232</v>
      </c>
      <c r="H67" s="6">
        <v>7065.5679999999993</v>
      </c>
      <c r="I67" s="6">
        <v>55527.67</v>
      </c>
      <c r="J67" s="6">
        <v>118535.09</v>
      </c>
      <c r="K67" s="3" t="s">
        <v>6198</v>
      </c>
      <c r="L67" s="25"/>
    </row>
    <row r="68" spans="1:12" ht="15.75" customHeight="1" x14ac:dyDescent="0.35">
      <c r="A68" s="15"/>
      <c r="B68" s="3">
        <v>2319</v>
      </c>
      <c r="C68" s="3" t="s">
        <v>860</v>
      </c>
      <c r="D68" s="3" t="s">
        <v>2531</v>
      </c>
      <c r="E68" s="3" t="str">
        <f t="shared" si="0"/>
        <v>721128</v>
      </c>
      <c r="F68" s="19">
        <v>41699</v>
      </c>
      <c r="G68" s="19">
        <v>44232</v>
      </c>
      <c r="H68" s="6">
        <v>7550.7519999999995</v>
      </c>
      <c r="I68" s="6">
        <v>17020.25</v>
      </c>
      <c r="J68" s="6">
        <v>58856.149999999994</v>
      </c>
      <c r="K68" s="3" t="s">
        <v>6198</v>
      </c>
      <c r="L68" s="25"/>
    </row>
    <row r="69" spans="1:12" ht="15.75" customHeight="1" x14ac:dyDescent="0.35">
      <c r="A69" s="15"/>
      <c r="B69" s="3">
        <v>4025</v>
      </c>
      <c r="C69" s="3" t="s">
        <v>861</v>
      </c>
      <c r="D69" s="3" t="s">
        <v>2412</v>
      </c>
      <c r="E69" s="3" t="str">
        <f t="shared" ref="E69:E106" si="1">MID(D69,5,6)</f>
        <v>940823</v>
      </c>
      <c r="F69" s="19">
        <v>43745</v>
      </c>
      <c r="G69" s="19">
        <v>44232</v>
      </c>
      <c r="H69" s="6">
        <v>8484.3359999999993</v>
      </c>
      <c r="I69" s="6">
        <v>3200</v>
      </c>
      <c r="J69" s="6">
        <v>30699.54</v>
      </c>
      <c r="K69" s="3" t="s">
        <v>6198</v>
      </c>
      <c r="L69" s="25"/>
    </row>
    <row r="70" spans="1:12" ht="15.75" customHeight="1" x14ac:dyDescent="0.35">
      <c r="A70" s="15"/>
      <c r="B70" s="3">
        <v>2714</v>
      </c>
      <c r="C70" s="3" t="s">
        <v>860</v>
      </c>
      <c r="D70" s="3" t="s">
        <v>2291</v>
      </c>
      <c r="E70" s="3" t="str">
        <f t="shared" si="1"/>
        <v>911106</v>
      </c>
      <c r="F70" s="19">
        <v>43516</v>
      </c>
      <c r="G70" s="19">
        <v>44232</v>
      </c>
      <c r="H70" s="6">
        <v>6335.6639999999998</v>
      </c>
      <c r="I70" s="6">
        <v>2389.56</v>
      </c>
      <c r="J70" s="6">
        <v>22924.49</v>
      </c>
      <c r="K70" s="3" t="s">
        <v>6198</v>
      </c>
      <c r="L70" s="25"/>
    </row>
    <row r="71" spans="1:12" ht="15.75" customHeight="1" x14ac:dyDescent="0.35">
      <c r="A71" s="15"/>
      <c r="B71" s="3">
        <v>186</v>
      </c>
      <c r="C71" s="3" t="s">
        <v>861</v>
      </c>
      <c r="D71" s="3" t="s">
        <v>1786</v>
      </c>
      <c r="E71" s="3" t="str">
        <f t="shared" si="1"/>
        <v>690424</v>
      </c>
      <c r="F71" s="19">
        <v>40400</v>
      </c>
      <c r="G71" s="19">
        <v>44232</v>
      </c>
      <c r="H71" s="6">
        <v>6368.7999999999993</v>
      </c>
      <c r="I71" s="6">
        <v>23895.59</v>
      </c>
      <c r="J71" s="6">
        <v>60753.719999999994</v>
      </c>
      <c r="K71" s="3" t="s">
        <v>6198</v>
      </c>
      <c r="L71" s="25"/>
    </row>
    <row r="72" spans="1:12" ht="15.75" customHeight="1" x14ac:dyDescent="0.35">
      <c r="A72" s="15"/>
      <c r="B72" s="3">
        <v>4540</v>
      </c>
      <c r="C72" s="3" t="s">
        <v>860</v>
      </c>
      <c r="D72" s="3" t="s">
        <v>2450</v>
      </c>
      <c r="E72" s="3" t="str">
        <f t="shared" si="1"/>
        <v>840805</v>
      </c>
      <c r="F72" s="19">
        <v>43892</v>
      </c>
      <c r="G72" s="19">
        <v>44232</v>
      </c>
      <c r="H72" s="6">
        <v>6388.5599999999995</v>
      </c>
      <c r="I72" s="6">
        <v>0</v>
      </c>
      <c r="J72" s="6">
        <v>18914.03</v>
      </c>
      <c r="K72" s="3" t="s">
        <v>6198</v>
      </c>
      <c r="L72" s="25"/>
    </row>
    <row r="73" spans="1:12" ht="15.75" customHeight="1" x14ac:dyDescent="0.35">
      <c r="A73" s="15"/>
      <c r="B73" s="3">
        <v>2209</v>
      </c>
      <c r="C73" s="3" t="s">
        <v>860</v>
      </c>
      <c r="D73" s="3" t="s">
        <v>2269</v>
      </c>
      <c r="E73" s="3" t="str">
        <f t="shared" si="1"/>
        <v>630113</v>
      </c>
      <c r="F73" s="19">
        <v>43384</v>
      </c>
      <c r="G73" s="19">
        <v>44232</v>
      </c>
      <c r="H73" s="6">
        <v>6343.5679999999993</v>
      </c>
      <c r="I73" s="6">
        <v>4779.1099999999997</v>
      </c>
      <c r="J73" s="6">
        <v>27128.04</v>
      </c>
      <c r="K73" s="3" t="s">
        <v>6198</v>
      </c>
      <c r="L73" s="25"/>
    </row>
    <row r="74" spans="1:12" ht="15.75" customHeight="1" x14ac:dyDescent="0.35">
      <c r="A74" s="15"/>
      <c r="B74" s="3">
        <v>3230</v>
      </c>
      <c r="C74" s="3" t="s">
        <v>860</v>
      </c>
      <c r="D74" s="3" t="s">
        <v>2372</v>
      </c>
      <c r="E74" s="3" t="str">
        <f t="shared" si="1"/>
        <v>611029</v>
      </c>
      <c r="F74" s="19">
        <v>43657</v>
      </c>
      <c r="G74" s="19">
        <v>44232</v>
      </c>
      <c r="H74" s="6">
        <v>9392.08</v>
      </c>
      <c r="I74" s="6">
        <v>3400.8</v>
      </c>
      <c r="J74" s="6">
        <v>34095.380000000005</v>
      </c>
      <c r="K74" s="3" t="s">
        <v>6198</v>
      </c>
      <c r="L74" s="25"/>
    </row>
    <row r="75" spans="1:12" ht="15.75" customHeight="1" x14ac:dyDescent="0.35">
      <c r="A75" s="15"/>
      <c r="B75" s="3">
        <v>2210</v>
      </c>
      <c r="C75" s="3" t="s">
        <v>861</v>
      </c>
      <c r="D75" s="3" t="s">
        <v>2270</v>
      </c>
      <c r="E75" s="3" t="str">
        <f t="shared" si="1"/>
        <v>690702</v>
      </c>
      <c r="F75" s="19">
        <v>43384</v>
      </c>
      <c r="G75" s="19">
        <v>44232</v>
      </c>
      <c r="H75" s="6">
        <v>5124.2240000000002</v>
      </c>
      <c r="I75" s="6">
        <v>3860.5200000000004</v>
      </c>
      <c r="J75" s="6">
        <v>21985.37</v>
      </c>
      <c r="K75" s="3" t="s">
        <v>6198</v>
      </c>
      <c r="L75" s="25"/>
    </row>
    <row r="76" spans="1:12" ht="15.75" customHeight="1" x14ac:dyDescent="0.35">
      <c r="A76" s="15"/>
      <c r="B76" s="3">
        <v>3235</v>
      </c>
      <c r="C76" s="3" t="s">
        <v>861</v>
      </c>
      <c r="D76" s="3" t="s">
        <v>2375</v>
      </c>
      <c r="E76" s="3" t="str">
        <f t="shared" si="1"/>
        <v>901113</v>
      </c>
      <c r="F76" s="19">
        <v>43656</v>
      </c>
      <c r="G76" s="19">
        <v>44232</v>
      </c>
      <c r="H76" s="6">
        <v>7428.24</v>
      </c>
      <c r="I76" s="6">
        <v>2801.6</v>
      </c>
      <c r="J76" s="6">
        <v>27131.68</v>
      </c>
      <c r="K76" s="3" t="s">
        <v>6198</v>
      </c>
      <c r="L76" s="25"/>
    </row>
    <row r="77" spans="1:12" ht="15.75" customHeight="1" x14ac:dyDescent="0.35">
      <c r="A77" s="15"/>
      <c r="B77" s="3">
        <v>2732</v>
      </c>
      <c r="C77" s="3" t="s">
        <v>860</v>
      </c>
      <c r="D77" s="3" t="s">
        <v>2294</v>
      </c>
      <c r="E77" s="3" t="str">
        <f t="shared" si="1"/>
        <v>881224</v>
      </c>
      <c r="F77" s="19">
        <v>43497</v>
      </c>
      <c r="G77" s="19">
        <v>44244</v>
      </c>
      <c r="H77" s="6">
        <v>8703.8240000000005</v>
      </c>
      <c r="I77" s="6">
        <v>5881.63</v>
      </c>
      <c r="J77" s="6">
        <v>39565.75</v>
      </c>
      <c r="K77" s="3" t="s">
        <v>6198</v>
      </c>
      <c r="L77" s="25"/>
    </row>
    <row r="78" spans="1:12" ht="15.75" customHeight="1" x14ac:dyDescent="0.35">
      <c r="A78" s="15"/>
      <c r="B78" s="3">
        <v>4267</v>
      </c>
      <c r="C78" s="3" t="s">
        <v>861</v>
      </c>
      <c r="D78" s="3" t="s">
        <v>2437</v>
      </c>
      <c r="E78" s="3" t="str">
        <f t="shared" si="1"/>
        <v>970613</v>
      </c>
      <c r="F78" s="19">
        <v>43859</v>
      </c>
      <c r="G78" s="19">
        <v>44244</v>
      </c>
      <c r="H78" s="6">
        <v>9268.0479999999989</v>
      </c>
      <c r="I78" s="6">
        <v>2969.2000000000003</v>
      </c>
      <c r="J78" s="6">
        <v>28485.34</v>
      </c>
      <c r="K78" s="3" t="s">
        <v>6199</v>
      </c>
      <c r="L78" s="25"/>
    </row>
    <row r="79" spans="1:12" ht="15.75" customHeight="1" x14ac:dyDescent="0.35">
      <c r="A79" s="15"/>
      <c r="B79" s="3">
        <v>314</v>
      </c>
      <c r="C79" s="3" t="s">
        <v>861</v>
      </c>
      <c r="D79" s="3" t="s">
        <v>1870</v>
      </c>
      <c r="E79" s="3" t="str">
        <f t="shared" si="1"/>
        <v>860902</v>
      </c>
      <c r="F79" s="19">
        <v>41318</v>
      </c>
      <c r="G79" s="19">
        <v>44255</v>
      </c>
      <c r="H79" s="6">
        <v>20330</v>
      </c>
      <c r="I79" s="6">
        <v>27206.400000000001</v>
      </c>
      <c r="J79" s="6">
        <v>167184.99</v>
      </c>
      <c r="K79" s="3" t="s">
        <v>6198</v>
      </c>
      <c r="L79" s="25"/>
    </row>
    <row r="80" spans="1:12" ht="15.75" customHeight="1" x14ac:dyDescent="0.35">
      <c r="A80" s="15"/>
      <c r="B80" s="3">
        <v>4568</v>
      </c>
      <c r="C80" s="3" t="s">
        <v>861</v>
      </c>
      <c r="D80" s="3" t="s">
        <v>2458</v>
      </c>
      <c r="E80" s="3" t="str">
        <f t="shared" si="1"/>
        <v>981207</v>
      </c>
      <c r="F80" s="19">
        <v>43894</v>
      </c>
      <c r="G80" s="19">
        <v>44256</v>
      </c>
      <c r="H80" s="6">
        <v>7862.0479999999998</v>
      </c>
      <c r="I80" s="6">
        <v>0</v>
      </c>
      <c r="J80" s="6">
        <v>23275.68</v>
      </c>
      <c r="K80" s="3" t="s">
        <v>6199</v>
      </c>
      <c r="L80" s="25"/>
    </row>
    <row r="81" spans="1:12" ht="15.75" customHeight="1" x14ac:dyDescent="0.35">
      <c r="A81" s="15"/>
      <c r="B81" s="3">
        <v>4173</v>
      </c>
      <c r="C81" s="3" t="s">
        <v>861</v>
      </c>
      <c r="D81" s="3" t="s">
        <v>2429</v>
      </c>
      <c r="E81" s="3" t="str">
        <f t="shared" si="1"/>
        <v>961213</v>
      </c>
      <c r="F81" s="19">
        <v>43838</v>
      </c>
      <c r="G81" s="19">
        <v>44256</v>
      </c>
      <c r="H81" s="6">
        <v>5090.7839999999997</v>
      </c>
      <c r="I81" s="6">
        <v>1920</v>
      </c>
      <c r="J81" s="6">
        <v>18419.73</v>
      </c>
      <c r="K81" s="3" t="s">
        <v>6198</v>
      </c>
      <c r="L81" s="25"/>
    </row>
    <row r="82" spans="1:12" ht="15.75" customHeight="1" x14ac:dyDescent="0.35">
      <c r="A82" s="15"/>
      <c r="B82" s="3">
        <v>4153</v>
      </c>
      <c r="C82" s="3" t="s">
        <v>861</v>
      </c>
      <c r="D82" s="3" t="s">
        <v>2424</v>
      </c>
      <c r="E82" s="3" t="str">
        <f t="shared" si="1"/>
        <v>960726</v>
      </c>
      <c r="F82" s="19">
        <v>43836</v>
      </c>
      <c r="G82" s="19">
        <v>44256</v>
      </c>
      <c r="H82" s="6">
        <v>5090.7839999999997</v>
      </c>
      <c r="I82" s="6">
        <v>1920</v>
      </c>
      <c r="J82" s="6">
        <v>18419.73</v>
      </c>
      <c r="K82" s="3" t="s">
        <v>6199</v>
      </c>
      <c r="L82" s="25"/>
    </row>
    <row r="83" spans="1:12" ht="15.75" customHeight="1" x14ac:dyDescent="0.35">
      <c r="A83" s="15"/>
      <c r="B83" s="3">
        <v>2668</v>
      </c>
      <c r="C83" s="3" t="s">
        <v>860</v>
      </c>
      <c r="D83" s="3" t="s">
        <v>2281</v>
      </c>
      <c r="E83" s="3" t="str">
        <f t="shared" si="1"/>
        <v>890606</v>
      </c>
      <c r="F83" s="19">
        <v>43503</v>
      </c>
      <c r="G83" s="19">
        <v>44256</v>
      </c>
      <c r="H83" s="6">
        <v>10618.72</v>
      </c>
      <c r="I83" s="6">
        <v>6801.6</v>
      </c>
      <c r="J83" s="6">
        <v>45410.950000000004</v>
      </c>
      <c r="K83" s="3" t="s">
        <v>6199</v>
      </c>
      <c r="L83" s="25"/>
    </row>
    <row r="84" spans="1:12" ht="15.75" customHeight="1" x14ac:dyDescent="0.35">
      <c r="A84" s="15"/>
      <c r="B84" s="3">
        <v>2701</v>
      </c>
      <c r="C84" s="3" t="s">
        <v>860</v>
      </c>
      <c r="D84" s="3" t="s">
        <v>2285</v>
      </c>
      <c r="E84" s="3" t="str">
        <f t="shared" si="1"/>
        <v>831212</v>
      </c>
      <c r="F84" s="19">
        <v>43514</v>
      </c>
      <c r="G84" s="19">
        <v>44263</v>
      </c>
      <c r="H84" s="6">
        <v>10687.423999999999</v>
      </c>
      <c r="I84" s="6">
        <v>6180</v>
      </c>
      <c r="J84" s="6">
        <v>35079.97</v>
      </c>
      <c r="K84" s="3" t="s">
        <v>6198</v>
      </c>
      <c r="L84" s="25"/>
    </row>
    <row r="85" spans="1:12" ht="15.75" customHeight="1" x14ac:dyDescent="0.35">
      <c r="A85" s="15"/>
      <c r="B85" s="3">
        <v>4797</v>
      </c>
      <c r="C85" s="3" t="s">
        <v>861</v>
      </c>
      <c r="D85" s="3" t="s">
        <v>2485</v>
      </c>
      <c r="E85" s="3" t="str">
        <f t="shared" si="1"/>
        <v>930613</v>
      </c>
      <c r="F85" s="19">
        <v>44055</v>
      </c>
      <c r="G85" s="19">
        <v>44272</v>
      </c>
      <c r="H85" s="6">
        <v>8789.5519999999997</v>
      </c>
      <c r="I85" s="6">
        <v>0</v>
      </c>
      <c r="J85" s="6">
        <v>23275.68</v>
      </c>
      <c r="K85" s="3" t="s">
        <v>6199</v>
      </c>
      <c r="L85" s="25"/>
    </row>
    <row r="86" spans="1:12" ht="15.75" customHeight="1" x14ac:dyDescent="0.35">
      <c r="A86" s="15"/>
      <c r="B86" s="3">
        <v>2808</v>
      </c>
      <c r="C86" s="3" t="s">
        <v>860</v>
      </c>
      <c r="D86" s="3" t="s">
        <v>2303</v>
      </c>
      <c r="E86" s="3" t="str">
        <f t="shared" si="1"/>
        <v>931009</v>
      </c>
      <c r="F86" s="19">
        <v>43545</v>
      </c>
      <c r="G86" s="19">
        <v>44295</v>
      </c>
      <c r="H86" s="6">
        <v>5173.4719999999998</v>
      </c>
      <c r="I86" s="6">
        <v>3897.6</v>
      </c>
      <c r="J86" s="6">
        <v>7658.38</v>
      </c>
      <c r="K86" s="3" t="s">
        <v>6198</v>
      </c>
      <c r="L86" s="25"/>
    </row>
    <row r="87" spans="1:12" ht="15.75" customHeight="1" x14ac:dyDescent="0.35">
      <c r="A87" s="15"/>
      <c r="B87" s="3">
        <v>303</v>
      </c>
      <c r="C87" s="3" t="s">
        <v>861</v>
      </c>
      <c r="D87" s="3" t="s">
        <v>1862</v>
      </c>
      <c r="E87" s="3" t="str">
        <f t="shared" si="1"/>
        <v>811116</v>
      </c>
      <c r="F87" s="19">
        <v>41277</v>
      </c>
      <c r="G87" s="19">
        <v>44302</v>
      </c>
      <c r="H87" s="6">
        <v>25890.463999999996</v>
      </c>
      <c r="I87" s="6">
        <v>27206.400000000001</v>
      </c>
      <c r="J87" s="6">
        <v>192445.89</v>
      </c>
      <c r="K87" s="3" t="s">
        <v>6199</v>
      </c>
      <c r="L87" s="25"/>
    </row>
    <row r="88" spans="1:12" ht="15.75" customHeight="1" x14ac:dyDescent="0.35">
      <c r="A88" s="15"/>
      <c r="B88" s="3">
        <v>2747</v>
      </c>
      <c r="C88" s="3" t="s">
        <v>860</v>
      </c>
      <c r="D88" s="3" t="s">
        <v>2295</v>
      </c>
      <c r="E88" s="3" t="str">
        <f t="shared" si="1"/>
        <v>910529</v>
      </c>
      <c r="F88" s="19">
        <v>43507</v>
      </c>
      <c r="G88" s="19">
        <v>44305</v>
      </c>
      <c r="H88" s="6">
        <v>10323.535999999998</v>
      </c>
      <c r="I88" s="6">
        <v>5824.52</v>
      </c>
      <c r="J88" s="6">
        <v>29671.149999999998</v>
      </c>
      <c r="K88" s="3" t="s">
        <v>6198</v>
      </c>
      <c r="L88" s="25"/>
    </row>
    <row r="89" spans="1:12" ht="15.75" customHeight="1" x14ac:dyDescent="0.35">
      <c r="A89" s="15"/>
      <c r="B89" s="3">
        <v>2713</v>
      </c>
      <c r="C89" s="3" t="s">
        <v>860</v>
      </c>
      <c r="D89" s="3" t="s">
        <v>2290</v>
      </c>
      <c r="E89" s="3" t="str">
        <f t="shared" si="1"/>
        <v>871027</v>
      </c>
      <c r="F89" s="19">
        <v>43515</v>
      </c>
      <c r="G89" s="19">
        <v>44305</v>
      </c>
      <c r="H89" s="6">
        <v>10511.407999999999</v>
      </c>
      <c r="I89" s="6">
        <v>5240.6399999999994</v>
      </c>
      <c r="J89" s="6">
        <v>43805.94</v>
      </c>
      <c r="K89" s="3" t="s">
        <v>6199</v>
      </c>
      <c r="L89" s="25"/>
    </row>
    <row r="90" spans="1:12" ht="15.75" customHeight="1" x14ac:dyDescent="0.35">
      <c r="A90" s="15"/>
      <c r="B90" s="3">
        <v>4827</v>
      </c>
      <c r="C90" s="3" t="s">
        <v>861</v>
      </c>
      <c r="D90" s="3" t="s">
        <v>2497</v>
      </c>
      <c r="E90" s="3" t="str">
        <f t="shared" si="1"/>
        <v>960423</v>
      </c>
      <c r="F90" s="19">
        <v>44092</v>
      </c>
      <c r="G90" s="19">
        <v>44308</v>
      </c>
      <c r="H90" s="6">
        <v>5083.7919999999995</v>
      </c>
      <c r="I90" s="6">
        <v>0</v>
      </c>
      <c r="J90" s="6">
        <v>10264.11</v>
      </c>
      <c r="K90" s="3" t="s">
        <v>6199</v>
      </c>
      <c r="L90" s="25"/>
    </row>
    <row r="91" spans="1:12" ht="15.75" customHeight="1" x14ac:dyDescent="0.35">
      <c r="A91" s="15"/>
      <c r="B91" s="3">
        <v>79</v>
      </c>
      <c r="C91" s="3" t="s">
        <v>861</v>
      </c>
      <c r="D91" s="3" t="s">
        <v>1725</v>
      </c>
      <c r="E91" s="3" t="str">
        <f t="shared" si="1"/>
        <v>740202</v>
      </c>
      <c r="F91" s="19">
        <v>38743</v>
      </c>
      <c r="G91" s="19">
        <v>44309</v>
      </c>
      <c r="H91" s="6">
        <v>57545.375999999997</v>
      </c>
      <c r="I91" s="6">
        <v>51012</v>
      </c>
      <c r="J91" s="6">
        <v>170364.19</v>
      </c>
      <c r="K91" s="3" t="s">
        <v>6199</v>
      </c>
      <c r="L91" s="25"/>
    </row>
    <row r="92" spans="1:12" ht="15.75" customHeight="1" x14ac:dyDescent="0.35">
      <c r="A92" s="15"/>
      <c r="B92" s="3">
        <v>698</v>
      </c>
      <c r="C92" s="3" t="s">
        <v>860</v>
      </c>
      <c r="D92" s="3" t="s">
        <v>2077</v>
      </c>
      <c r="E92" s="3" t="str">
        <f t="shared" si="1"/>
        <v>860719</v>
      </c>
      <c r="F92" s="19">
        <v>42660</v>
      </c>
      <c r="G92" s="19">
        <v>44316</v>
      </c>
      <c r="H92" s="6">
        <v>11870.895999999999</v>
      </c>
      <c r="I92" s="6">
        <v>13603.2</v>
      </c>
      <c r="J92" s="6">
        <v>23428.880000000001</v>
      </c>
      <c r="K92" s="3" t="s">
        <v>6199</v>
      </c>
      <c r="L92" s="25"/>
    </row>
    <row r="93" spans="1:12" ht="15.75" customHeight="1" x14ac:dyDescent="0.35">
      <c r="A93" s="15"/>
      <c r="B93" s="3">
        <v>1409</v>
      </c>
      <c r="C93" s="3" t="s">
        <v>860</v>
      </c>
      <c r="D93" s="3" t="s">
        <v>2251</v>
      </c>
      <c r="E93" s="3" t="str">
        <f t="shared" si="1"/>
        <v>890928</v>
      </c>
      <c r="F93" s="19">
        <v>43360</v>
      </c>
      <c r="G93" s="19">
        <v>44351</v>
      </c>
      <c r="H93" s="6">
        <v>62947.76</v>
      </c>
      <c r="I93" s="6">
        <v>6801.6</v>
      </c>
      <c r="J93" s="6">
        <v>290309.58999999997</v>
      </c>
      <c r="K93" s="3" t="s">
        <v>6198</v>
      </c>
      <c r="L93" s="25"/>
    </row>
    <row r="94" spans="1:12" ht="15.75" customHeight="1" x14ac:dyDescent="0.35">
      <c r="A94" s="15"/>
      <c r="B94" s="3">
        <v>4593</v>
      </c>
      <c r="C94" s="3" t="s">
        <v>860</v>
      </c>
      <c r="D94" s="3" t="s">
        <v>2461</v>
      </c>
      <c r="E94" s="3" t="str">
        <f t="shared" si="1"/>
        <v>990329</v>
      </c>
      <c r="F94" s="19">
        <v>43902</v>
      </c>
      <c r="G94" s="19">
        <v>44351</v>
      </c>
      <c r="H94" s="6">
        <v>5648.0159999999996</v>
      </c>
      <c r="I94" s="6">
        <v>1920</v>
      </c>
      <c r="J94" s="6">
        <v>20689.64</v>
      </c>
      <c r="K94" s="3" t="s">
        <v>6199</v>
      </c>
      <c r="L94" s="25"/>
    </row>
    <row r="95" spans="1:12" ht="15.75" customHeight="1" x14ac:dyDescent="0.35">
      <c r="A95" s="15"/>
      <c r="B95" s="3">
        <v>507</v>
      </c>
      <c r="C95" s="3" t="s">
        <v>861</v>
      </c>
      <c r="D95" s="3" t="s">
        <v>1980</v>
      </c>
      <c r="E95" s="3" t="str">
        <f t="shared" si="1"/>
        <v>670424</v>
      </c>
      <c r="F95" s="19">
        <v>42109</v>
      </c>
      <c r="G95" s="19">
        <v>44369</v>
      </c>
      <c r="H95" s="6">
        <v>13159.856</v>
      </c>
      <c r="I95" s="6">
        <v>20404.8</v>
      </c>
      <c r="J95" s="6">
        <v>90905.26999999999</v>
      </c>
      <c r="K95" s="3" t="s">
        <v>6198</v>
      </c>
      <c r="L95" s="25"/>
    </row>
    <row r="96" spans="1:12" ht="15.75" customHeight="1" x14ac:dyDescent="0.35">
      <c r="A96" s="15"/>
      <c r="B96" s="3">
        <v>2609</v>
      </c>
      <c r="C96" s="3" t="s">
        <v>861</v>
      </c>
      <c r="D96" s="3" t="s">
        <v>2279</v>
      </c>
      <c r="E96" s="3" t="str">
        <f t="shared" si="1"/>
        <v>890412</v>
      </c>
      <c r="F96" s="19">
        <v>43497</v>
      </c>
      <c r="G96" s="19">
        <v>44378</v>
      </c>
      <c r="H96" s="6">
        <v>14866.207999999999</v>
      </c>
      <c r="I96" s="6">
        <v>6801.6</v>
      </c>
      <c r="J96" s="6">
        <v>67386.31</v>
      </c>
      <c r="K96" s="3" t="s">
        <v>6199</v>
      </c>
      <c r="L96" s="25"/>
    </row>
    <row r="97" spans="1:12" ht="15.75" customHeight="1" x14ac:dyDescent="0.35">
      <c r="A97" s="15"/>
      <c r="B97" s="3">
        <v>4592</v>
      </c>
      <c r="C97" s="3" t="s">
        <v>860</v>
      </c>
      <c r="D97" s="3" t="s">
        <v>2460</v>
      </c>
      <c r="E97" s="3" t="str">
        <f t="shared" si="1"/>
        <v>880707</v>
      </c>
      <c r="F97" s="19">
        <v>43903</v>
      </c>
      <c r="G97" s="19">
        <v>44379</v>
      </c>
      <c r="H97" s="6">
        <v>15378.144</v>
      </c>
      <c r="I97" s="6">
        <v>3400.8</v>
      </c>
      <c r="J97" s="6">
        <v>55642.909999999996</v>
      </c>
      <c r="K97" s="3" t="s">
        <v>6199</v>
      </c>
      <c r="L97" s="25"/>
    </row>
    <row r="98" spans="1:12" ht="15.75" customHeight="1" x14ac:dyDescent="0.35">
      <c r="A98" s="15"/>
      <c r="B98" s="3">
        <v>341</v>
      </c>
      <c r="C98" s="3" t="s">
        <v>860</v>
      </c>
      <c r="D98" s="3" t="s">
        <v>1883</v>
      </c>
      <c r="E98" s="3" t="str">
        <f t="shared" si="1"/>
        <v>820625</v>
      </c>
      <c r="F98" s="19">
        <v>41456</v>
      </c>
      <c r="G98" s="19">
        <v>44385</v>
      </c>
      <c r="H98" s="6">
        <v>0</v>
      </c>
      <c r="I98" s="6">
        <v>0</v>
      </c>
      <c r="J98" s="6">
        <v>0</v>
      </c>
      <c r="K98" s="3" t="s">
        <v>6199</v>
      </c>
      <c r="L98" s="25"/>
    </row>
    <row r="99" spans="1:12" ht="15.75" customHeight="1" x14ac:dyDescent="0.35">
      <c r="A99" s="15"/>
      <c r="B99" s="3">
        <v>24</v>
      </c>
      <c r="C99" s="3" t="s">
        <v>861</v>
      </c>
      <c r="D99" s="3" t="s">
        <v>1701</v>
      </c>
      <c r="E99" s="3" t="str">
        <f t="shared" si="1"/>
        <v>601202</v>
      </c>
      <c r="F99" s="19">
        <v>36815</v>
      </c>
      <c r="G99" s="19">
        <v>44393</v>
      </c>
      <c r="H99" s="6">
        <v>10246.624</v>
      </c>
      <c r="I99" s="6">
        <v>80894.399999999994</v>
      </c>
      <c r="J99" s="6">
        <v>165159.4</v>
      </c>
      <c r="K99" s="3" t="s">
        <v>6199</v>
      </c>
      <c r="L99" s="25"/>
    </row>
    <row r="100" spans="1:12" ht="15.75" customHeight="1" x14ac:dyDescent="0.35">
      <c r="A100" s="15"/>
      <c r="B100" s="3">
        <v>759</v>
      </c>
      <c r="C100" s="3" t="s">
        <v>861</v>
      </c>
      <c r="D100" s="3" t="s">
        <v>2105</v>
      </c>
      <c r="E100" s="3" t="str">
        <f t="shared" si="1"/>
        <v>791118</v>
      </c>
      <c r="F100" s="19">
        <v>42842</v>
      </c>
      <c r="G100" s="19">
        <v>44419</v>
      </c>
      <c r="H100" s="6">
        <v>9405.7599999999984</v>
      </c>
      <c r="I100" s="6">
        <v>55000</v>
      </c>
      <c r="J100" s="6">
        <v>66663</v>
      </c>
      <c r="K100" s="3" t="s">
        <v>6199</v>
      </c>
      <c r="L100" s="25"/>
    </row>
    <row r="101" spans="1:12" ht="15.75" customHeight="1" x14ac:dyDescent="0.35">
      <c r="A101" s="15"/>
      <c r="B101" s="3">
        <v>4709</v>
      </c>
      <c r="C101" s="3" t="s">
        <v>860</v>
      </c>
      <c r="D101" s="3" t="s">
        <v>2470</v>
      </c>
      <c r="E101" s="3" t="str">
        <f t="shared" si="1"/>
        <v>960127</v>
      </c>
      <c r="F101" s="19">
        <v>44019</v>
      </c>
      <c r="G101" s="19">
        <v>44469</v>
      </c>
      <c r="H101" s="6">
        <v>7147.0399999999991</v>
      </c>
      <c r="I101" s="6">
        <v>2600</v>
      </c>
      <c r="J101" s="6">
        <v>7053.06</v>
      </c>
      <c r="K101" s="3" t="s">
        <v>6199</v>
      </c>
      <c r="L101" s="25"/>
    </row>
    <row r="102" spans="1:12" ht="15.75" customHeight="1" x14ac:dyDescent="0.35">
      <c r="A102" s="15"/>
      <c r="B102" s="3">
        <v>4741</v>
      </c>
      <c r="C102" s="3" t="s">
        <v>860</v>
      </c>
      <c r="D102" s="3" t="s">
        <v>2481</v>
      </c>
      <c r="E102" s="3" t="str">
        <f t="shared" si="1"/>
        <v>910924</v>
      </c>
      <c r="F102" s="19">
        <v>44046</v>
      </c>
      <c r="G102" s="19">
        <v>44482</v>
      </c>
      <c r="H102" s="6">
        <v>6495.5679999999993</v>
      </c>
      <c r="I102" s="6">
        <v>1996.8000000000002</v>
      </c>
      <c r="J102" s="6">
        <v>23503.78</v>
      </c>
      <c r="K102" s="3" t="s">
        <v>6199</v>
      </c>
      <c r="L102" s="25"/>
    </row>
    <row r="103" spans="1:12" ht="15.75" customHeight="1" x14ac:dyDescent="0.35">
      <c r="A103" s="15"/>
      <c r="B103" s="3">
        <v>4982</v>
      </c>
      <c r="C103" s="3" t="s">
        <v>861</v>
      </c>
      <c r="D103" s="3" t="s">
        <v>2514</v>
      </c>
      <c r="E103" s="3" t="str">
        <f t="shared" si="1"/>
        <v>990308</v>
      </c>
      <c r="F103" s="19">
        <v>44120</v>
      </c>
      <c r="G103" s="19">
        <v>44489</v>
      </c>
      <c r="H103" s="6">
        <v>5776</v>
      </c>
      <c r="I103" s="6">
        <v>1920</v>
      </c>
      <c r="J103" s="6">
        <v>21996.98</v>
      </c>
      <c r="K103" s="3" t="s">
        <v>6199</v>
      </c>
      <c r="L103" s="25"/>
    </row>
    <row r="104" spans="1:12" ht="15.75" customHeight="1" x14ac:dyDescent="0.35">
      <c r="A104" s="15"/>
      <c r="B104" s="3">
        <v>4978</v>
      </c>
      <c r="C104" s="3" t="s">
        <v>860</v>
      </c>
      <c r="D104" s="3" t="s">
        <v>2510</v>
      </c>
      <c r="E104" s="3" t="str">
        <f t="shared" si="1"/>
        <v>971219</v>
      </c>
      <c r="F104" s="19">
        <v>44118</v>
      </c>
      <c r="G104" s="19">
        <v>44489</v>
      </c>
      <c r="H104" s="6">
        <v>5776</v>
      </c>
      <c r="I104" s="6">
        <v>1920</v>
      </c>
      <c r="J104" s="6">
        <v>20900</v>
      </c>
      <c r="K104" s="3" t="s">
        <v>6199</v>
      </c>
      <c r="L104" s="25"/>
    </row>
    <row r="105" spans="1:12" ht="15.75" customHeight="1" x14ac:dyDescent="0.35">
      <c r="A105" s="15"/>
      <c r="B105" s="3">
        <v>5301</v>
      </c>
      <c r="C105" s="3" t="s">
        <v>860</v>
      </c>
      <c r="D105" s="3" t="s">
        <v>5511</v>
      </c>
      <c r="E105" s="3" t="str">
        <f t="shared" si="1"/>
        <v>020506</v>
      </c>
      <c r="F105" s="19">
        <v>44344</v>
      </c>
      <c r="G105" s="19">
        <v>44496</v>
      </c>
      <c r="H105" s="6">
        <v>5776</v>
      </c>
      <c r="I105" s="6">
        <v>0</v>
      </c>
      <c r="J105" s="6">
        <v>15174.25</v>
      </c>
      <c r="K105" s="3" t="s">
        <v>6199</v>
      </c>
      <c r="L105" s="25"/>
    </row>
    <row r="106" spans="1:12" ht="15.75" customHeight="1" x14ac:dyDescent="0.35">
      <c r="A106" s="15"/>
      <c r="B106" s="3">
        <v>5296</v>
      </c>
      <c r="C106" s="3" t="s">
        <v>860</v>
      </c>
      <c r="D106" s="3" t="s">
        <v>5506</v>
      </c>
      <c r="E106" s="3" t="str">
        <f t="shared" si="1"/>
        <v>971222</v>
      </c>
      <c r="F106" s="19">
        <v>44343</v>
      </c>
      <c r="G106" s="19">
        <v>44496</v>
      </c>
      <c r="H106" s="6">
        <v>5776</v>
      </c>
      <c r="I106" s="6">
        <v>0</v>
      </c>
      <c r="J106" s="6">
        <v>15272.88</v>
      </c>
      <c r="K106" s="3" t="s">
        <v>6199</v>
      </c>
      <c r="L106" s="25"/>
    </row>
    <row r="107" spans="1:12" ht="15.75" customHeight="1" x14ac:dyDescent="0.35">
      <c r="A107" s="15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25"/>
    </row>
    <row r="108" spans="1:12" ht="15.75" customHeight="1" x14ac:dyDescent="0.35">
      <c r="A108" s="15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25"/>
    </row>
    <row r="109" spans="1:12" ht="15.75" customHeight="1" x14ac:dyDescent="0.35">
      <c r="A109" s="15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25"/>
    </row>
    <row r="110" spans="1:12" ht="15.75" customHeight="1" x14ac:dyDescent="0.35">
      <c r="A110" s="15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25"/>
    </row>
    <row r="111" spans="1:12" ht="15.75" customHeight="1" x14ac:dyDescent="0.35">
      <c r="A111" s="15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25"/>
    </row>
    <row r="112" spans="1:12" ht="15.75" customHeight="1" x14ac:dyDescent="0.35">
      <c r="A112" s="15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25"/>
    </row>
    <row r="113" spans="1:12" ht="15.75" customHeight="1" x14ac:dyDescent="0.35">
      <c r="A113" s="15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25"/>
    </row>
    <row r="114" spans="1:12" ht="15.75" customHeight="1" x14ac:dyDescent="0.35">
      <c r="A114" s="15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25"/>
    </row>
    <row r="115" spans="1:12" ht="15.75" customHeight="1" x14ac:dyDescent="0.35">
      <c r="A115" s="15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25"/>
    </row>
    <row r="116" spans="1:12" ht="15.75" customHeight="1" x14ac:dyDescent="0.35">
      <c r="A116" s="15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25"/>
    </row>
    <row r="117" spans="1:12" ht="15.75" customHeight="1" x14ac:dyDescent="0.35">
      <c r="A117" s="15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25"/>
    </row>
    <row r="118" spans="1:12" ht="15.75" customHeight="1" x14ac:dyDescent="0.35">
      <c r="A118" s="15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25"/>
    </row>
    <row r="119" spans="1:12" ht="15.75" customHeight="1" x14ac:dyDescent="0.35">
      <c r="A119" s="15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25"/>
    </row>
    <row r="120" spans="1:12" ht="15.75" customHeight="1" x14ac:dyDescent="0.35">
      <c r="A120" s="15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25"/>
    </row>
    <row r="121" spans="1:12" ht="15.75" customHeight="1" x14ac:dyDescent="0.35">
      <c r="A121" s="15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25"/>
    </row>
    <row r="122" spans="1:12" ht="15.75" customHeight="1" x14ac:dyDescent="0.35">
      <c r="A122" s="15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25"/>
    </row>
    <row r="123" spans="1:12" ht="15.75" customHeight="1" x14ac:dyDescent="0.35">
      <c r="A123" s="15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25"/>
    </row>
    <row r="124" spans="1:12" ht="15.75" customHeight="1" x14ac:dyDescent="0.35">
      <c r="A124" s="15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25"/>
    </row>
    <row r="125" spans="1:12" ht="15.75" customHeight="1" x14ac:dyDescent="0.35">
      <c r="A125" s="15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25"/>
    </row>
    <row r="126" spans="1:12" ht="15.75" customHeight="1" x14ac:dyDescent="0.35">
      <c r="A126" s="15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25"/>
    </row>
    <row r="127" spans="1:12" ht="15.75" customHeight="1" x14ac:dyDescent="0.35">
      <c r="A127" s="15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25"/>
    </row>
    <row r="128" spans="1:12" ht="15.75" customHeight="1" x14ac:dyDescent="0.35">
      <c r="A128" s="15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25"/>
    </row>
    <row r="129" spans="1:12" ht="15.75" customHeight="1" x14ac:dyDescent="0.35">
      <c r="A129" s="15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25"/>
    </row>
    <row r="130" spans="1:12" ht="15.75" customHeight="1" x14ac:dyDescent="0.35">
      <c r="A130" s="15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25"/>
    </row>
    <row r="131" spans="1:12" ht="15.75" customHeight="1" x14ac:dyDescent="0.35">
      <c r="A131" s="15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25"/>
    </row>
    <row r="132" spans="1:12" ht="15.75" customHeight="1" x14ac:dyDescent="0.35">
      <c r="A132" s="15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25"/>
    </row>
    <row r="133" spans="1:12" ht="15.75" customHeight="1" x14ac:dyDescent="0.35">
      <c r="A133" s="15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25"/>
    </row>
    <row r="134" spans="1:12" ht="15.75" customHeight="1" x14ac:dyDescent="0.35">
      <c r="A134" s="15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25"/>
    </row>
    <row r="135" spans="1:12" ht="15.75" customHeight="1" x14ac:dyDescent="0.35">
      <c r="A135" s="15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25"/>
    </row>
    <row r="136" spans="1:12" ht="15.75" customHeight="1" x14ac:dyDescent="0.35">
      <c r="A136" s="15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25"/>
    </row>
    <row r="137" spans="1:12" ht="15.75" customHeight="1" x14ac:dyDescent="0.35">
      <c r="A137" s="15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25"/>
    </row>
    <row r="138" spans="1:12" ht="15.75" customHeight="1" x14ac:dyDescent="0.35">
      <c r="A138" s="15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25"/>
    </row>
    <row r="139" spans="1:12" ht="15.75" customHeight="1" x14ac:dyDescent="0.35">
      <c r="A139" s="15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25"/>
    </row>
    <row r="140" spans="1:12" ht="15.75" customHeight="1" x14ac:dyDescent="0.35">
      <c r="A140" s="15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25"/>
    </row>
    <row r="141" spans="1:12" ht="15.75" customHeight="1" x14ac:dyDescent="0.35">
      <c r="A141" s="15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25"/>
    </row>
    <row r="142" spans="1:12" ht="15.75" customHeight="1" x14ac:dyDescent="0.35">
      <c r="A142" s="15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25"/>
    </row>
    <row r="143" spans="1:12" ht="15.75" customHeight="1" x14ac:dyDescent="0.35">
      <c r="A143" s="15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25"/>
    </row>
    <row r="144" spans="1:12" ht="15.75" customHeight="1" x14ac:dyDescent="0.35">
      <c r="A144" s="15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25"/>
    </row>
    <row r="145" spans="1:12" ht="15.75" customHeight="1" x14ac:dyDescent="0.35">
      <c r="A145" s="15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25"/>
    </row>
    <row r="146" spans="1:12" ht="15.75" customHeight="1" x14ac:dyDescent="0.35">
      <c r="A146" s="15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25"/>
    </row>
    <row r="147" spans="1:12" ht="15.75" customHeight="1" x14ac:dyDescent="0.35">
      <c r="A147" s="15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25"/>
    </row>
    <row r="148" spans="1:12" ht="15.75" customHeight="1" x14ac:dyDescent="0.35">
      <c r="A148" s="15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25"/>
    </row>
    <row r="149" spans="1:12" ht="15.75" customHeight="1" x14ac:dyDescent="0.35">
      <c r="A149" s="15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25"/>
    </row>
    <row r="150" spans="1:12" ht="15.75" customHeight="1" x14ac:dyDescent="0.35">
      <c r="A150" s="15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25"/>
    </row>
    <row r="151" spans="1:12" ht="15.75" customHeight="1" x14ac:dyDescent="0.35">
      <c r="A151" s="15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25"/>
    </row>
    <row r="152" spans="1:12" ht="15.75" customHeight="1" x14ac:dyDescent="0.35">
      <c r="A152" s="15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25"/>
    </row>
    <row r="153" spans="1:12" ht="15.75" customHeight="1" x14ac:dyDescent="0.35">
      <c r="A153" s="15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25"/>
    </row>
    <row r="154" spans="1:12" ht="15.75" customHeight="1" x14ac:dyDescent="0.35">
      <c r="A154" s="15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25"/>
    </row>
    <row r="155" spans="1:12" ht="15.75" customHeight="1" x14ac:dyDescent="0.35">
      <c r="A155" s="15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25"/>
    </row>
    <row r="156" spans="1:12" ht="15.75" customHeight="1" x14ac:dyDescent="0.35">
      <c r="A156" s="15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25"/>
    </row>
    <row r="157" spans="1:12" ht="15.75" customHeight="1" x14ac:dyDescent="0.35">
      <c r="A157" s="15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25"/>
    </row>
    <row r="158" spans="1:12" ht="15.75" customHeight="1" x14ac:dyDescent="0.35">
      <c r="A158" s="15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25"/>
    </row>
    <row r="159" spans="1:12" ht="15.75" customHeight="1" x14ac:dyDescent="0.35">
      <c r="A159" s="15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25"/>
    </row>
    <row r="160" spans="1:12" ht="15.75" customHeight="1" x14ac:dyDescent="0.35">
      <c r="A160" s="15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25"/>
    </row>
    <row r="161" spans="1:12" ht="15.75" customHeight="1" x14ac:dyDescent="0.35">
      <c r="A161" s="15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25"/>
    </row>
    <row r="162" spans="1:12" ht="15.75" customHeight="1" x14ac:dyDescent="0.35">
      <c r="A162" s="15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25"/>
    </row>
    <row r="163" spans="1:12" ht="15.75" customHeight="1" x14ac:dyDescent="0.35">
      <c r="A163" s="15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25"/>
    </row>
    <row r="164" spans="1:12" ht="15.75" customHeight="1" x14ac:dyDescent="0.35">
      <c r="A164" s="15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25"/>
    </row>
    <row r="165" spans="1:12" ht="15.75" customHeight="1" x14ac:dyDescent="0.35">
      <c r="A165" s="15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25"/>
    </row>
    <row r="166" spans="1:12" ht="15.75" customHeight="1" x14ac:dyDescent="0.35">
      <c r="A166" s="15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25"/>
    </row>
    <row r="167" spans="1:12" ht="15.75" customHeight="1" x14ac:dyDescent="0.35">
      <c r="A167" s="15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25"/>
    </row>
    <row r="168" spans="1:12" ht="15.75" customHeight="1" x14ac:dyDescent="0.35">
      <c r="A168" s="15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25"/>
    </row>
    <row r="169" spans="1:12" ht="15.75" customHeight="1" x14ac:dyDescent="0.35">
      <c r="A169" s="15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25"/>
    </row>
    <row r="170" spans="1:12" ht="15.75" customHeight="1" x14ac:dyDescent="0.35">
      <c r="A170" s="15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25"/>
    </row>
    <row r="171" spans="1:12" ht="15.75" customHeight="1" x14ac:dyDescent="0.35">
      <c r="A171" s="15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25"/>
    </row>
    <row r="172" spans="1:12" ht="15.75" customHeight="1" x14ac:dyDescent="0.35">
      <c r="A172" s="15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25"/>
    </row>
    <row r="173" spans="1:12" ht="15.75" customHeight="1" x14ac:dyDescent="0.35">
      <c r="A173" s="15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25"/>
    </row>
    <row r="174" spans="1:12" ht="15.75" customHeight="1" x14ac:dyDescent="0.35">
      <c r="A174" s="15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25"/>
    </row>
    <row r="175" spans="1:12" ht="15.75" customHeight="1" x14ac:dyDescent="0.35">
      <c r="A175" s="15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25"/>
    </row>
    <row r="176" spans="1:12" ht="15.75" customHeight="1" x14ac:dyDescent="0.35">
      <c r="A176" s="15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25"/>
    </row>
    <row r="177" spans="1:12" ht="15.75" customHeight="1" x14ac:dyDescent="0.35">
      <c r="A177" s="15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25"/>
    </row>
    <row r="178" spans="1:12" ht="15.75" customHeight="1" x14ac:dyDescent="0.35">
      <c r="A178" s="15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25"/>
    </row>
    <row r="179" spans="1:12" ht="15.75" customHeight="1" x14ac:dyDescent="0.35">
      <c r="A179" s="15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25"/>
    </row>
    <row r="180" spans="1:12" ht="15.75" customHeight="1" x14ac:dyDescent="0.35">
      <c r="A180" s="15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25"/>
    </row>
    <row r="181" spans="1:12" ht="15.75" customHeight="1" x14ac:dyDescent="0.35">
      <c r="A181" s="15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25"/>
    </row>
    <row r="182" spans="1:12" ht="15.75" customHeight="1" x14ac:dyDescent="0.35">
      <c r="A182" s="15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25"/>
    </row>
    <row r="183" spans="1:12" ht="15.75" customHeight="1" x14ac:dyDescent="0.35">
      <c r="A183" s="15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25"/>
    </row>
    <row r="184" spans="1:12" ht="15.75" customHeight="1" x14ac:dyDescent="0.35">
      <c r="A184" s="15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25"/>
    </row>
    <row r="185" spans="1:12" ht="15.75" customHeight="1" x14ac:dyDescent="0.35">
      <c r="A185" s="15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25"/>
    </row>
    <row r="186" spans="1:12" ht="15.75" customHeight="1" x14ac:dyDescent="0.35">
      <c r="A186" s="15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25"/>
    </row>
    <row r="187" spans="1:12" ht="15.75" customHeight="1" x14ac:dyDescent="0.35">
      <c r="A187" s="15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25"/>
    </row>
    <row r="188" spans="1:12" ht="15.75" customHeight="1" x14ac:dyDescent="0.35">
      <c r="A188" s="15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25"/>
    </row>
    <row r="189" spans="1:12" ht="15.75" customHeight="1" x14ac:dyDescent="0.35">
      <c r="A189" s="15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25"/>
    </row>
    <row r="190" spans="1:12" ht="15.75" customHeight="1" x14ac:dyDescent="0.35">
      <c r="A190" s="15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25"/>
    </row>
    <row r="191" spans="1:12" ht="15.75" customHeight="1" x14ac:dyDescent="0.35">
      <c r="A191" s="15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25"/>
    </row>
    <row r="192" spans="1:12" ht="15.75" customHeight="1" x14ac:dyDescent="0.35">
      <c r="A192" s="15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25"/>
    </row>
    <row r="193" spans="1:12" ht="15.75" customHeight="1" x14ac:dyDescent="0.35">
      <c r="A193" s="15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25"/>
    </row>
    <row r="194" spans="1:12" ht="15.75" customHeight="1" x14ac:dyDescent="0.35">
      <c r="A194" s="15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25"/>
    </row>
    <row r="195" spans="1:12" ht="15.75" customHeight="1" x14ac:dyDescent="0.35">
      <c r="A195" s="15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25"/>
    </row>
    <row r="196" spans="1:12" ht="15.75" customHeight="1" x14ac:dyDescent="0.35">
      <c r="A196" s="15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25"/>
    </row>
    <row r="197" spans="1:12" ht="15.75" customHeight="1" x14ac:dyDescent="0.35">
      <c r="A197" s="15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25"/>
    </row>
    <row r="198" spans="1:12" ht="15.75" customHeight="1" x14ac:dyDescent="0.35">
      <c r="A198" s="15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25"/>
    </row>
    <row r="199" spans="1:12" ht="15.75" customHeight="1" x14ac:dyDescent="0.35">
      <c r="A199" s="15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25"/>
    </row>
    <row r="200" spans="1:12" ht="15.75" customHeight="1" x14ac:dyDescent="0.35">
      <c r="A200" s="15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25"/>
    </row>
    <row r="201" spans="1:12" ht="15.75" customHeight="1" x14ac:dyDescent="0.35">
      <c r="A201" s="15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25"/>
    </row>
    <row r="202" spans="1:12" ht="15.75" customHeight="1" x14ac:dyDescent="0.35">
      <c r="A202" s="15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25"/>
    </row>
    <row r="203" spans="1:12" ht="15.75" customHeight="1" x14ac:dyDescent="0.35">
      <c r="A203" s="15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25"/>
    </row>
    <row r="204" spans="1:12" ht="15.75" customHeight="1" x14ac:dyDescent="0.35">
      <c r="A204" s="15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25"/>
    </row>
    <row r="205" spans="1:12" ht="15.75" customHeight="1" x14ac:dyDescent="0.35">
      <c r="A205" s="15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25"/>
    </row>
    <row r="206" spans="1:12" ht="15.75" customHeight="1" x14ac:dyDescent="0.35">
      <c r="A206" s="15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25"/>
    </row>
    <row r="207" spans="1:12" ht="15.75" customHeight="1" x14ac:dyDescent="0.35">
      <c r="A207" s="15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25"/>
    </row>
    <row r="208" spans="1:12" ht="15.75" customHeight="1" x14ac:dyDescent="0.35">
      <c r="A208" s="15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25"/>
    </row>
    <row r="209" spans="1:12" ht="15.75" customHeight="1" x14ac:dyDescent="0.35">
      <c r="A209" s="15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25"/>
    </row>
    <row r="210" spans="1:12" ht="15.75" customHeight="1" x14ac:dyDescent="0.35">
      <c r="A210" s="15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25"/>
    </row>
    <row r="211" spans="1:12" ht="15.75" customHeight="1" x14ac:dyDescent="0.35">
      <c r="A211" s="15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25"/>
    </row>
    <row r="212" spans="1:12" ht="15.75" customHeight="1" x14ac:dyDescent="0.35">
      <c r="A212" s="15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25"/>
    </row>
    <row r="213" spans="1:12" ht="15.75" customHeight="1" x14ac:dyDescent="0.35">
      <c r="A213" s="15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25"/>
    </row>
    <row r="214" spans="1:12" ht="15.75" customHeight="1" x14ac:dyDescent="0.35">
      <c r="A214" s="15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25"/>
    </row>
    <row r="215" spans="1:12" ht="15.75" customHeight="1" x14ac:dyDescent="0.35">
      <c r="A215" s="15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25"/>
    </row>
    <row r="216" spans="1:12" ht="15.75" customHeight="1" x14ac:dyDescent="0.35">
      <c r="A216" s="15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25"/>
    </row>
    <row r="217" spans="1:12" ht="15.75" customHeight="1" x14ac:dyDescent="0.35">
      <c r="A217" s="15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25"/>
    </row>
    <row r="218" spans="1:12" ht="15.75" customHeight="1" x14ac:dyDescent="0.35">
      <c r="A218" s="15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25"/>
    </row>
    <row r="219" spans="1:12" ht="15.75" customHeight="1" x14ac:dyDescent="0.35">
      <c r="A219" s="15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25"/>
    </row>
    <row r="220" spans="1:12" ht="15.75" customHeight="1" x14ac:dyDescent="0.35">
      <c r="A220" s="15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25"/>
    </row>
    <row r="221" spans="1:12" ht="15.75" customHeight="1" x14ac:dyDescent="0.35">
      <c r="A221" s="15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25"/>
    </row>
    <row r="222" spans="1:12" ht="15.75" customHeight="1" x14ac:dyDescent="0.35">
      <c r="A222" s="15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25"/>
    </row>
    <row r="223" spans="1:12" ht="15.75" customHeight="1" x14ac:dyDescent="0.35">
      <c r="A223" s="15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25"/>
    </row>
    <row r="224" spans="1:12" ht="15.75" customHeight="1" x14ac:dyDescent="0.35">
      <c r="A224" s="15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25"/>
    </row>
    <row r="225" spans="1:12" ht="15.75" customHeight="1" x14ac:dyDescent="0.35">
      <c r="A225" s="15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25"/>
    </row>
    <row r="226" spans="1:12" ht="15.75" customHeight="1" x14ac:dyDescent="0.35">
      <c r="A226" s="15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25"/>
    </row>
    <row r="227" spans="1:12" ht="15.75" customHeight="1" x14ac:dyDescent="0.35">
      <c r="A227" s="15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25"/>
    </row>
    <row r="228" spans="1:12" ht="15.75" customHeight="1" x14ac:dyDescent="0.35">
      <c r="A228" s="15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25"/>
    </row>
    <row r="229" spans="1:12" ht="15.75" customHeight="1" x14ac:dyDescent="0.35">
      <c r="A229" s="15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25"/>
    </row>
    <row r="230" spans="1:12" ht="15.75" customHeight="1" x14ac:dyDescent="0.35">
      <c r="A230" s="15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25"/>
    </row>
    <row r="231" spans="1:12" ht="15.75" customHeight="1" x14ac:dyDescent="0.35">
      <c r="A231" s="15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25"/>
    </row>
    <row r="232" spans="1:12" ht="15.75" customHeight="1" x14ac:dyDescent="0.35">
      <c r="A232" s="15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25"/>
    </row>
    <row r="233" spans="1:12" ht="15.75" customHeight="1" x14ac:dyDescent="0.35">
      <c r="A233" s="15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25"/>
    </row>
    <row r="234" spans="1:12" ht="15.75" customHeight="1" x14ac:dyDescent="0.35">
      <c r="A234" s="15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25"/>
    </row>
    <row r="235" spans="1:12" ht="15.75" customHeight="1" x14ac:dyDescent="0.35">
      <c r="A235" s="15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25"/>
    </row>
    <row r="236" spans="1:12" ht="15.75" customHeight="1" x14ac:dyDescent="0.35">
      <c r="A236" s="15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25"/>
    </row>
    <row r="237" spans="1:12" ht="15.75" customHeight="1" x14ac:dyDescent="0.35">
      <c r="A237" s="15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25"/>
    </row>
    <row r="238" spans="1:12" ht="15.75" customHeight="1" x14ac:dyDescent="0.35">
      <c r="A238" s="15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25"/>
    </row>
    <row r="239" spans="1:12" ht="15.75" customHeight="1" x14ac:dyDescent="0.35">
      <c r="A239" s="15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25"/>
    </row>
    <row r="240" spans="1:12" ht="15.75" customHeight="1" x14ac:dyDescent="0.35">
      <c r="A240" s="15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25"/>
    </row>
    <row r="241" spans="1:12" ht="15.75" customHeight="1" x14ac:dyDescent="0.35">
      <c r="A241" s="15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25"/>
    </row>
    <row r="242" spans="1:12" ht="15.75" customHeight="1" x14ac:dyDescent="0.35">
      <c r="A242" s="15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25"/>
    </row>
    <row r="243" spans="1:12" ht="15.75" customHeight="1" x14ac:dyDescent="0.35">
      <c r="A243" s="15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25"/>
    </row>
    <row r="244" spans="1:12" ht="15.75" customHeight="1" x14ac:dyDescent="0.35">
      <c r="A244" s="15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25"/>
    </row>
    <row r="245" spans="1:12" ht="15.75" customHeight="1" x14ac:dyDescent="0.35">
      <c r="A245" s="15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25"/>
    </row>
    <row r="246" spans="1:12" ht="15.75" customHeight="1" x14ac:dyDescent="0.35">
      <c r="A246" s="15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25"/>
    </row>
    <row r="247" spans="1:12" ht="15.75" customHeight="1" x14ac:dyDescent="0.35">
      <c r="A247" s="15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25"/>
    </row>
    <row r="248" spans="1:12" ht="15.75" customHeight="1" x14ac:dyDescent="0.35">
      <c r="A248" s="15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25"/>
    </row>
    <row r="249" spans="1:12" ht="15.75" customHeight="1" x14ac:dyDescent="0.35">
      <c r="A249" s="15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25"/>
    </row>
    <row r="250" spans="1:12" ht="15.75" customHeight="1" x14ac:dyDescent="0.35">
      <c r="A250" s="15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25"/>
    </row>
    <row r="251" spans="1:12" ht="15.75" customHeight="1" x14ac:dyDescent="0.35">
      <c r="A251" s="15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25"/>
    </row>
    <row r="252" spans="1:12" ht="15.75" customHeight="1" x14ac:dyDescent="0.35">
      <c r="A252" s="15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25"/>
    </row>
    <row r="253" spans="1:12" ht="15.75" customHeight="1" x14ac:dyDescent="0.35">
      <c r="A253" s="15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25"/>
    </row>
    <row r="254" spans="1:12" ht="15.75" customHeight="1" x14ac:dyDescent="0.35">
      <c r="A254" s="15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25"/>
    </row>
    <row r="255" spans="1:12" ht="15.75" customHeight="1" x14ac:dyDescent="0.35">
      <c r="A255" s="15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25"/>
    </row>
    <row r="256" spans="1:12" ht="15.75" customHeight="1" x14ac:dyDescent="0.35">
      <c r="A256" s="15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25"/>
    </row>
    <row r="257" spans="1:12" ht="15.75" customHeight="1" x14ac:dyDescent="0.35">
      <c r="A257" s="15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25"/>
    </row>
    <row r="258" spans="1:12" ht="15.75" customHeight="1" x14ac:dyDescent="0.35">
      <c r="A258" s="15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25"/>
    </row>
    <row r="259" spans="1:12" ht="15.75" customHeight="1" x14ac:dyDescent="0.35">
      <c r="A259" s="15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25"/>
    </row>
    <row r="260" spans="1:12" ht="15.75" customHeight="1" x14ac:dyDescent="0.35">
      <c r="A260" s="15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25"/>
    </row>
    <row r="261" spans="1:12" ht="15.75" customHeight="1" x14ac:dyDescent="0.35">
      <c r="A261" s="15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25"/>
    </row>
    <row r="262" spans="1:12" ht="15.75" customHeight="1" x14ac:dyDescent="0.35">
      <c r="A262" s="15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25"/>
    </row>
    <row r="263" spans="1:12" ht="15.75" customHeight="1" x14ac:dyDescent="0.35">
      <c r="A263" s="15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25"/>
    </row>
    <row r="264" spans="1:12" ht="15.75" customHeight="1" x14ac:dyDescent="0.35">
      <c r="A264" s="15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25"/>
    </row>
    <row r="265" spans="1:12" ht="15.75" customHeight="1" x14ac:dyDescent="0.35">
      <c r="A265" s="15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25"/>
    </row>
    <row r="266" spans="1:12" ht="15.75" customHeight="1" x14ac:dyDescent="0.35">
      <c r="A266" s="15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25"/>
    </row>
    <row r="267" spans="1:12" ht="15.75" customHeight="1" x14ac:dyDescent="0.35">
      <c r="A267" s="1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25"/>
    </row>
    <row r="268" spans="1:12" ht="15.75" customHeight="1" x14ac:dyDescent="0.35">
      <c r="A268" s="15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25"/>
    </row>
    <row r="269" spans="1:12" ht="15.75" customHeight="1" x14ac:dyDescent="0.35">
      <c r="A269" s="15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25"/>
    </row>
    <row r="270" spans="1:12" ht="15.75" customHeight="1" x14ac:dyDescent="0.35">
      <c r="A270" s="15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25"/>
    </row>
    <row r="271" spans="1:12" ht="15.75" customHeight="1" x14ac:dyDescent="0.35">
      <c r="A271" s="15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25"/>
    </row>
    <row r="272" spans="1:12" ht="15.75" customHeight="1" x14ac:dyDescent="0.35">
      <c r="A272" s="15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25"/>
    </row>
    <row r="273" spans="1:12" ht="15.75" customHeight="1" x14ac:dyDescent="0.35">
      <c r="A273" s="15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25"/>
    </row>
    <row r="274" spans="1:12" ht="15.75" customHeight="1" x14ac:dyDescent="0.35">
      <c r="A274" s="15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25"/>
    </row>
    <row r="275" spans="1:12" ht="15.75" customHeight="1" x14ac:dyDescent="0.35">
      <c r="A275" s="15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25"/>
    </row>
    <row r="276" spans="1:12" ht="15.75" customHeight="1" x14ac:dyDescent="0.35">
      <c r="A276" s="15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25"/>
    </row>
    <row r="277" spans="1:12" ht="15.75" customHeight="1" x14ac:dyDescent="0.35">
      <c r="A277" s="15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25"/>
    </row>
    <row r="278" spans="1:12" ht="15.75" customHeight="1" x14ac:dyDescent="0.35">
      <c r="A278" s="15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25"/>
    </row>
    <row r="279" spans="1:12" ht="15.75" customHeight="1" x14ac:dyDescent="0.35">
      <c r="A279" s="15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25"/>
    </row>
    <row r="280" spans="1:12" ht="15.75" customHeight="1" x14ac:dyDescent="0.35">
      <c r="A280" s="15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25"/>
    </row>
    <row r="281" spans="1:12" ht="15.75" customHeight="1" x14ac:dyDescent="0.35">
      <c r="A281" s="15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25"/>
    </row>
    <row r="282" spans="1:12" ht="15.75" customHeight="1" x14ac:dyDescent="0.35">
      <c r="A282" s="15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25"/>
    </row>
    <row r="283" spans="1:12" ht="15.75" customHeight="1" x14ac:dyDescent="0.35">
      <c r="A283" s="15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25"/>
    </row>
    <row r="284" spans="1:12" ht="15.75" customHeight="1" x14ac:dyDescent="0.35">
      <c r="A284" s="15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25"/>
    </row>
    <row r="285" spans="1:12" ht="15.75" customHeight="1" x14ac:dyDescent="0.35">
      <c r="A285" s="15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25"/>
    </row>
    <row r="286" spans="1:12" ht="15.75" customHeight="1" x14ac:dyDescent="0.35">
      <c r="A286" s="15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25"/>
    </row>
    <row r="287" spans="1:12" ht="15.75" customHeight="1" x14ac:dyDescent="0.35">
      <c r="A287" s="15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25"/>
    </row>
    <row r="288" spans="1:12" ht="15.75" customHeight="1" x14ac:dyDescent="0.35">
      <c r="A288" s="15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25"/>
    </row>
    <row r="289" spans="1:12" ht="15.75" customHeight="1" x14ac:dyDescent="0.35">
      <c r="A289" s="15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25"/>
    </row>
    <row r="290" spans="1:12" ht="15.75" customHeight="1" x14ac:dyDescent="0.35">
      <c r="A290" s="15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25"/>
    </row>
    <row r="291" spans="1:12" ht="15.75" customHeight="1" x14ac:dyDescent="0.35">
      <c r="A291" s="15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25"/>
    </row>
    <row r="292" spans="1:12" ht="15.75" customHeight="1" x14ac:dyDescent="0.35">
      <c r="A292" s="15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25"/>
    </row>
    <row r="293" spans="1:12" ht="15.75" customHeight="1" x14ac:dyDescent="0.35">
      <c r="A293" s="15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25"/>
    </row>
    <row r="294" spans="1:12" ht="15.75" customHeight="1" x14ac:dyDescent="0.35">
      <c r="A294" s="15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25"/>
    </row>
    <row r="295" spans="1:12" ht="15.75" customHeight="1" x14ac:dyDescent="0.35">
      <c r="A295" s="15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25"/>
    </row>
    <row r="296" spans="1:12" ht="15.75" customHeight="1" x14ac:dyDescent="0.35">
      <c r="A296" s="15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25"/>
    </row>
    <row r="297" spans="1:12" ht="15.75" customHeight="1" x14ac:dyDescent="0.35">
      <c r="A297" s="15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25"/>
    </row>
    <row r="298" spans="1:12" ht="15.75" customHeight="1" x14ac:dyDescent="0.35">
      <c r="A298" s="15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25"/>
    </row>
    <row r="299" spans="1:12" ht="15.75" customHeight="1" x14ac:dyDescent="0.35">
      <c r="A299" s="15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25"/>
    </row>
    <row r="300" spans="1:12" ht="15.75" customHeight="1" x14ac:dyDescent="0.35">
      <c r="A300" s="15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25"/>
    </row>
    <row r="301" spans="1:12" ht="15.75" customHeight="1" x14ac:dyDescent="0.35">
      <c r="A301" s="15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25"/>
    </row>
    <row r="302" spans="1:12" ht="15.75" customHeight="1" x14ac:dyDescent="0.35">
      <c r="A302" s="15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25"/>
    </row>
    <row r="303" spans="1:12" ht="15.75" customHeight="1" x14ac:dyDescent="0.35">
      <c r="A303" s="15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25"/>
    </row>
    <row r="304" spans="1:12" ht="15.75" customHeight="1" x14ac:dyDescent="0.35">
      <c r="A304" s="15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25"/>
    </row>
    <row r="305" spans="1:12" ht="15.75" customHeight="1" x14ac:dyDescent="0.35">
      <c r="A305" s="15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25"/>
    </row>
    <row r="306" spans="1:12" ht="15.75" customHeight="1" x14ac:dyDescent="0.35">
      <c r="A306" s="15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25"/>
    </row>
    <row r="307" spans="1:12" ht="15.75" customHeight="1" x14ac:dyDescent="0.35">
      <c r="A307" s="15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25"/>
    </row>
    <row r="308" spans="1:12" ht="15.75" customHeight="1" x14ac:dyDescent="0.35">
      <c r="A308" s="15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25"/>
    </row>
    <row r="309" spans="1:12" ht="15.75" customHeight="1" x14ac:dyDescent="0.35">
      <c r="A309" s="15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25"/>
    </row>
    <row r="310" spans="1:12" ht="15.75" customHeight="1" x14ac:dyDescent="0.35">
      <c r="A310" s="15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25"/>
    </row>
    <row r="311" spans="1:12" ht="15.75" customHeight="1" x14ac:dyDescent="0.35">
      <c r="A311" s="15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25"/>
    </row>
    <row r="312" spans="1:12" ht="15.75" customHeight="1" x14ac:dyDescent="0.35">
      <c r="A312" s="15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25"/>
    </row>
    <row r="313" spans="1:12" ht="15.75" customHeight="1" x14ac:dyDescent="0.35">
      <c r="A313" s="15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25"/>
    </row>
    <row r="314" spans="1:12" ht="15.75" customHeight="1" x14ac:dyDescent="0.35">
      <c r="A314" s="15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25"/>
    </row>
    <row r="315" spans="1:12" ht="15.75" customHeight="1" x14ac:dyDescent="0.35">
      <c r="A315" s="15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25"/>
    </row>
    <row r="316" spans="1:12" ht="15.75" customHeight="1" x14ac:dyDescent="0.35">
      <c r="A316" s="15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25"/>
    </row>
    <row r="317" spans="1:12" ht="15.75" customHeight="1" x14ac:dyDescent="0.35">
      <c r="A317" s="15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25"/>
    </row>
    <row r="318" spans="1:12" ht="15.75" customHeight="1" x14ac:dyDescent="0.35">
      <c r="A318" s="15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25"/>
    </row>
    <row r="319" spans="1:12" ht="15.75" customHeight="1" x14ac:dyDescent="0.35">
      <c r="A319" s="15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25"/>
    </row>
    <row r="320" spans="1:12" ht="15.75" customHeight="1" x14ac:dyDescent="0.35">
      <c r="A320" s="15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25"/>
    </row>
    <row r="321" spans="1:12" ht="15.75" customHeight="1" x14ac:dyDescent="0.35">
      <c r="A321" s="15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25"/>
    </row>
    <row r="322" spans="1:12" ht="15.75" customHeight="1" x14ac:dyDescent="0.35">
      <c r="A322" s="15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25"/>
    </row>
    <row r="323" spans="1:12" ht="15.75" customHeight="1" x14ac:dyDescent="0.35">
      <c r="A323" s="15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25"/>
    </row>
    <row r="324" spans="1:12" ht="15.75" customHeight="1" x14ac:dyDescent="0.35">
      <c r="A324" s="15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25"/>
    </row>
    <row r="325" spans="1:12" ht="15.75" customHeight="1" x14ac:dyDescent="0.35">
      <c r="A325" s="15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25"/>
    </row>
    <row r="326" spans="1:12" ht="15.75" customHeight="1" x14ac:dyDescent="0.35">
      <c r="A326" s="15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25"/>
    </row>
    <row r="327" spans="1:12" ht="15.75" customHeight="1" x14ac:dyDescent="0.35">
      <c r="A327" s="15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25"/>
    </row>
    <row r="328" spans="1:12" ht="15.75" customHeight="1" x14ac:dyDescent="0.35">
      <c r="A328" s="15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25"/>
    </row>
    <row r="329" spans="1:12" ht="15.75" customHeight="1" x14ac:dyDescent="0.35">
      <c r="A329" s="15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25"/>
    </row>
    <row r="330" spans="1:12" ht="15.75" customHeight="1" x14ac:dyDescent="0.35">
      <c r="A330" s="15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25"/>
    </row>
    <row r="331" spans="1:12" ht="15.75" customHeight="1" x14ac:dyDescent="0.35">
      <c r="A331" s="15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25"/>
    </row>
    <row r="332" spans="1:12" ht="15.75" customHeight="1" x14ac:dyDescent="0.35">
      <c r="A332" s="15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25"/>
    </row>
    <row r="333" spans="1:12" ht="15.75" customHeight="1" x14ac:dyDescent="0.35">
      <c r="A333" s="15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25"/>
    </row>
    <row r="334" spans="1:12" ht="15.75" customHeight="1" x14ac:dyDescent="0.35">
      <c r="A334" s="15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25"/>
    </row>
    <row r="335" spans="1:12" ht="15.75" customHeight="1" x14ac:dyDescent="0.35">
      <c r="A335" s="15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25"/>
    </row>
    <row r="336" spans="1:12" ht="15.75" customHeight="1" x14ac:dyDescent="0.35">
      <c r="A336" s="15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25"/>
    </row>
    <row r="337" spans="1:12" ht="15.75" customHeight="1" x14ac:dyDescent="0.35">
      <c r="A337" s="15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25"/>
    </row>
    <row r="338" spans="1:12" ht="15.75" customHeight="1" x14ac:dyDescent="0.35">
      <c r="A338" s="15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25"/>
    </row>
    <row r="339" spans="1:12" ht="15.75" customHeight="1" x14ac:dyDescent="0.35">
      <c r="A339" s="15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25"/>
    </row>
    <row r="340" spans="1:12" ht="15.75" customHeight="1" x14ac:dyDescent="0.35">
      <c r="A340" s="15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25"/>
    </row>
    <row r="341" spans="1:12" ht="15.75" customHeight="1" x14ac:dyDescent="0.35">
      <c r="A341" s="15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25"/>
    </row>
    <row r="342" spans="1:12" ht="15.75" customHeight="1" x14ac:dyDescent="0.35">
      <c r="A342" s="15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25"/>
    </row>
    <row r="343" spans="1:12" ht="15.75" customHeight="1" x14ac:dyDescent="0.35">
      <c r="A343" s="15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25"/>
    </row>
    <row r="344" spans="1:12" ht="15.75" customHeight="1" x14ac:dyDescent="0.35">
      <c r="A344" s="15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25"/>
    </row>
    <row r="345" spans="1:12" ht="15.75" customHeight="1" x14ac:dyDescent="0.35">
      <c r="A345" s="15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25"/>
    </row>
    <row r="346" spans="1:12" ht="15.75" customHeight="1" x14ac:dyDescent="0.35">
      <c r="A346" s="15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25"/>
    </row>
    <row r="347" spans="1:12" ht="15.75" customHeight="1" x14ac:dyDescent="0.35">
      <c r="A347" s="15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25"/>
    </row>
    <row r="348" spans="1:12" ht="15.75" customHeight="1" x14ac:dyDescent="0.35">
      <c r="A348" s="15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25"/>
    </row>
    <row r="349" spans="1:12" ht="15.75" customHeight="1" x14ac:dyDescent="0.35">
      <c r="A349" s="15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25"/>
    </row>
    <row r="350" spans="1:12" ht="15.75" customHeight="1" x14ac:dyDescent="0.35">
      <c r="A350" s="15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25"/>
    </row>
    <row r="351" spans="1:12" ht="15.75" customHeight="1" x14ac:dyDescent="0.35">
      <c r="A351" s="15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25"/>
    </row>
    <row r="352" spans="1:12" ht="15.75" customHeight="1" x14ac:dyDescent="0.35">
      <c r="A352" s="15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25"/>
    </row>
    <row r="353" spans="1:12" ht="15.75" customHeight="1" x14ac:dyDescent="0.35">
      <c r="A353" s="15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25"/>
    </row>
    <row r="354" spans="1:12" ht="15.75" customHeight="1" x14ac:dyDescent="0.35">
      <c r="A354" s="15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25"/>
    </row>
    <row r="355" spans="1:12" ht="15.75" customHeight="1" x14ac:dyDescent="0.35">
      <c r="A355" s="15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25"/>
    </row>
    <row r="356" spans="1:12" ht="15.75" customHeight="1" x14ac:dyDescent="0.35">
      <c r="A356" s="15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25"/>
    </row>
    <row r="357" spans="1:12" ht="15.75" customHeight="1" x14ac:dyDescent="0.35">
      <c r="A357" s="15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25"/>
    </row>
    <row r="358" spans="1:12" ht="15.75" customHeight="1" x14ac:dyDescent="0.35">
      <c r="A358" s="15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25"/>
    </row>
    <row r="359" spans="1:12" ht="15.75" customHeight="1" x14ac:dyDescent="0.35">
      <c r="A359" s="15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25"/>
    </row>
    <row r="360" spans="1:12" ht="15.75" customHeight="1" x14ac:dyDescent="0.35">
      <c r="A360" s="15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25"/>
    </row>
    <row r="361" spans="1:12" ht="15.75" customHeight="1" x14ac:dyDescent="0.35">
      <c r="A361" s="15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25"/>
    </row>
    <row r="362" spans="1:12" ht="15.75" customHeight="1" x14ac:dyDescent="0.35">
      <c r="A362" s="15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25"/>
    </row>
    <row r="363" spans="1:12" ht="15.75" customHeight="1" x14ac:dyDescent="0.35">
      <c r="A363" s="15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25"/>
    </row>
    <row r="364" spans="1:12" ht="15.75" customHeight="1" x14ac:dyDescent="0.35">
      <c r="A364" s="15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25"/>
    </row>
    <row r="365" spans="1:12" ht="15.75" customHeight="1" x14ac:dyDescent="0.35">
      <c r="A365" s="15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25"/>
    </row>
    <row r="366" spans="1:12" ht="15.75" customHeight="1" x14ac:dyDescent="0.35">
      <c r="A366" s="15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25"/>
    </row>
    <row r="367" spans="1:12" ht="15.75" customHeight="1" x14ac:dyDescent="0.35">
      <c r="A367" s="15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25"/>
    </row>
    <row r="368" spans="1:12" ht="15.75" customHeight="1" x14ac:dyDescent="0.35">
      <c r="A368" s="15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25"/>
    </row>
    <row r="369" spans="1:12" ht="15.75" customHeight="1" x14ac:dyDescent="0.35">
      <c r="A369" s="15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25"/>
    </row>
    <row r="370" spans="1:12" ht="15.75" customHeight="1" x14ac:dyDescent="0.35">
      <c r="A370" s="15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25"/>
    </row>
    <row r="371" spans="1:12" ht="15.75" customHeight="1" x14ac:dyDescent="0.35">
      <c r="A371" s="15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25"/>
    </row>
    <row r="372" spans="1:12" ht="15.75" customHeight="1" x14ac:dyDescent="0.35">
      <c r="A372" s="15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25"/>
    </row>
    <row r="373" spans="1:12" ht="15.75" customHeight="1" x14ac:dyDescent="0.35">
      <c r="A373" s="15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25"/>
    </row>
    <row r="374" spans="1:12" ht="15.75" customHeight="1" x14ac:dyDescent="0.35">
      <c r="A374" s="15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25"/>
    </row>
    <row r="375" spans="1:12" ht="15.75" customHeight="1" x14ac:dyDescent="0.35">
      <c r="A375" s="15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25"/>
    </row>
    <row r="376" spans="1:12" ht="15.75" customHeight="1" x14ac:dyDescent="0.35">
      <c r="A376" s="15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25"/>
    </row>
    <row r="377" spans="1:12" ht="15.75" customHeight="1" x14ac:dyDescent="0.35">
      <c r="A377" s="15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25"/>
    </row>
    <row r="378" spans="1:12" ht="15.75" customHeight="1" x14ac:dyDescent="0.35">
      <c r="A378" s="15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25"/>
    </row>
    <row r="379" spans="1:12" ht="15.75" customHeight="1" x14ac:dyDescent="0.35">
      <c r="A379" s="15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25"/>
    </row>
    <row r="380" spans="1:12" ht="15.75" customHeight="1" x14ac:dyDescent="0.35">
      <c r="A380" s="15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25"/>
    </row>
    <row r="381" spans="1:12" ht="15.75" customHeight="1" x14ac:dyDescent="0.35">
      <c r="A381" s="15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25"/>
    </row>
    <row r="382" spans="1:12" ht="15.75" customHeight="1" x14ac:dyDescent="0.35">
      <c r="A382" s="15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25"/>
    </row>
    <row r="383" spans="1:12" ht="15.75" customHeight="1" x14ac:dyDescent="0.35">
      <c r="A383" s="15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25"/>
    </row>
    <row r="384" spans="1:12" ht="15.75" customHeight="1" x14ac:dyDescent="0.35">
      <c r="A384" s="15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25"/>
    </row>
    <row r="385" spans="1:12" ht="15.75" customHeight="1" x14ac:dyDescent="0.35">
      <c r="A385" s="15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25"/>
    </row>
    <row r="386" spans="1:12" ht="15.75" customHeight="1" x14ac:dyDescent="0.35">
      <c r="A386" s="15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25"/>
    </row>
    <row r="387" spans="1:12" ht="15.75" customHeight="1" x14ac:dyDescent="0.35">
      <c r="A387" s="15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25"/>
    </row>
    <row r="388" spans="1:12" ht="15.75" customHeight="1" x14ac:dyDescent="0.35">
      <c r="A388" s="15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25"/>
    </row>
    <row r="389" spans="1:12" ht="15.75" customHeight="1" x14ac:dyDescent="0.35">
      <c r="A389" s="15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25"/>
    </row>
    <row r="390" spans="1:12" ht="15.75" customHeight="1" x14ac:dyDescent="0.35">
      <c r="A390" s="15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25"/>
    </row>
    <row r="391" spans="1:12" ht="15.75" customHeight="1" x14ac:dyDescent="0.35">
      <c r="A391" s="15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25"/>
    </row>
    <row r="392" spans="1:12" ht="15.75" customHeight="1" x14ac:dyDescent="0.35">
      <c r="A392" s="15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25"/>
    </row>
    <row r="393" spans="1:12" ht="15.75" customHeight="1" x14ac:dyDescent="0.35">
      <c r="A393" s="15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25"/>
    </row>
    <row r="394" spans="1:12" ht="15.75" customHeight="1" x14ac:dyDescent="0.35">
      <c r="A394" s="15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25"/>
    </row>
    <row r="395" spans="1:12" ht="15.75" customHeight="1" x14ac:dyDescent="0.35">
      <c r="A395" s="15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25"/>
    </row>
    <row r="396" spans="1:12" ht="15.75" customHeight="1" x14ac:dyDescent="0.35">
      <c r="A396" s="15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25"/>
    </row>
    <row r="397" spans="1:12" ht="15.75" customHeight="1" x14ac:dyDescent="0.35">
      <c r="A397" s="15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25"/>
    </row>
    <row r="398" spans="1:12" ht="15.75" customHeight="1" x14ac:dyDescent="0.35">
      <c r="A398" s="15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25"/>
    </row>
    <row r="399" spans="1:12" ht="15.75" customHeight="1" x14ac:dyDescent="0.35">
      <c r="A399" s="15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25"/>
    </row>
    <row r="400" spans="1:12" ht="15.75" customHeight="1" x14ac:dyDescent="0.35">
      <c r="A400" s="15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25"/>
    </row>
    <row r="401" spans="1:12" ht="15.75" customHeight="1" x14ac:dyDescent="0.35">
      <c r="A401" s="15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25"/>
    </row>
    <row r="402" spans="1:12" ht="15.75" customHeight="1" x14ac:dyDescent="0.35">
      <c r="A402" s="15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25"/>
    </row>
    <row r="403" spans="1:12" ht="15.75" customHeight="1" x14ac:dyDescent="0.35">
      <c r="A403" s="15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25"/>
    </row>
    <row r="404" spans="1:12" ht="15.75" customHeight="1" x14ac:dyDescent="0.35">
      <c r="A404" s="15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25"/>
    </row>
    <row r="405" spans="1:12" ht="15.75" customHeight="1" x14ac:dyDescent="0.35">
      <c r="A405" s="15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25"/>
    </row>
    <row r="406" spans="1:12" ht="15.75" customHeight="1" x14ac:dyDescent="0.35">
      <c r="A406" s="15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25"/>
    </row>
    <row r="407" spans="1:12" ht="15.75" customHeight="1" x14ac:dyDescent="0.35">
      <c r="A407" s="15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25"/>
    </row>
    <row r="408" spans="1:12" ht="15.75" customHeight="1" x14ac:dyDescent="0.35">
      <c r="A408" s="15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25"/>
    </row>
    <row r="409" spans="1:12" ht="15.75" customHeight="1" x14ac:dyDescent="0.35">
      <c r="A409" s="15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25"/>
    </row>
    <row r="410" spans="1:12" ht="15.75" customHeight="1" x14ac:dyDescent="0.35">
      <c r="A410" s="15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25"/>
    </row>
    <row r="411" spans="1:12" ht="15.75" customHeight="1" x14ac:dyDescent="0.35">
      <c r="A411" s="15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25"/>
    </row>
    <row r="412" spans="1:12" ht="15.75" customHeight="1" x14ac:dyDescent="0.35">
      <c r="A412" s="15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25"/>
    </row>
    <row r="413" spans="1:12" ht="15.75" customHeight="1" x14ac:dyDescent="0.35">
      <c r="A413" s="15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25"/>
    </row>
    <row r="414" spans="1:12" ht="15.75" customHeight="1" x14ac:dyDescent="0.35">
      <c r="A414" s="15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25"/>
    </row>
    <row r="415" spans="1:12" ht="15.75" customHeight="1" x14ac:dyDescent="0.35">
      <c r="A415" s="15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25"/>
    </row>
    <row r="416" spans="1:12" ht="15.75" customHeight="1" x14ac:dyDescent="0.35">
      <c r="A416" s="15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25"/>
    </row>
    <row r="417" spans="1:12" ht="15.75" customHeight="1" x14ac:dyDescent="0.35">
      <c r="A417" s="15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25"/>
    </row>
    <row r="418" spans="1:12" ht="15.75" customHeight="1" x14ac:dyDescent="0.35">
      <c r="A418" s="15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25"/>
    </row>
    <row r="419" spans="1:12" ht="15.75" customHeight="1" x14ac:dyDescent="0.35">
      <c r="A419" s="15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25"/>
    </row>
    <row r="420" spans="1:12" ht="15.75" customHeight="1" x14ac:dyDescent="0.35">
      <c r="A420" s="15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25"/>
    </row>
    <row r="421" spans="1:12" ht="15.75" customHeight="1" x14ac:dyDescent="0.35">
      <c r="A421" s="15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25"/>
    </row>
    <row r="422" spans="1:12" ht="15.75" customHeight="1" x14ac:dyDescent="0.35">
      <c r="A422" s="15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25"/>
    </row>
    <row r="423" spans="1:12" ht="15.75" customHeight="1" x14ac:dyDescent="0.35">
      <c r="A423" s="15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25"/>
    </row>
    <row r="424" spans="1:12" ht="15.75" customHeight="1" x14ac:dyDescent="0.35">
      <c r="A424" s="15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25"/>
    </row>
    <row r="425" spans="1:12" ht="15.75" customHeight="1" x14ac:dyDescent="0.35">
      <c r="A425" s="15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25"/>
    </row>
    <row r="426" spans="1:12" ht="15.75" customHeight="1" x14ac:dyDescent="0.35">
      <c r="A426" s="15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25"/>
    </row>
    <row r="427" spans="1:12" ht="15.75" customHeight="1" x14ac:dyDescent="0.35">
      <c r="A427" s="15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25"/>
    </row>
    <row r="428" spans="1:12" ht="15.75" customHeight="1" x14ac:dyDescent="0.35">
      <c r="A428" s="15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25"/>
    </row>
    <row r="429" spans="1:12" ht="15.75" customHeight="1" x14ac:dyDescent="0.35">
      <c r="A429" s="15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25"/>
    </row>
    <row r="430" spans="1:12" ht="15.75" customHeight="1" x14ac:dyDescent="0.35">
      <c r="A430" s="15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25"/>
    </row>
    <row r="431" spans="1:12" ht="15.75" customHeight="1" x14ac:dyDescent="0.35">
      <c r="A431" s="15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25"/>
    </row>
    <row r="432" spans="1:12" ht="15.75" customHeight="1" x14ac:dyDescent="0.35">
      <c r="A432" s="15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25"/>
    </row>
    <row r="433" spans="1:12" ht="15.75" customHeight="1" x14ac:dyDescent="0.35">
      <c r="A433" s="15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25"/>
    </row>
    <row r="434" spans="1:12" ht="15.75" customHeight="1" x14ac:dyDescent="0.35">
      <c r="A434" s="15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25"/>
    </row>
    <row r="435" spans="1:12" ht="15.75" customHeight="1" x14ac:dyDescent="0.35">
      <c r="A435" s="15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25"/>
    </row>
    <row r="436" spans="1:12" ht="15.75" customHeight="1" x14ac:dyDescent="0.35">
      <c r="A436" s="15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25"/>
    </row>
    <row r="437" spans="1:12" ht="15.75" customHeight="1" x14ac:dyDescent="0.35">
      <c r="A437" s="15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25"/>
    </row>
    <row r="438" spans="1:12" ht="15.75" customHeight="1" x14ac:dyDescent="0.35">
      <c r="A438" s="15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25"/>
    </row>
    <row r="439" spans="1:12" ht="15.75" customHeight="1" x14ac:dyDescent="0.35">
      <c r="A439" s="15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25"/>
    </row>
    <row r="440" spans="1:12" ht="15.75" customHeight="1" x14ac:dyDescent="0.35">
      <c r="A440" s="15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25"/>
    </row>
    <row r="441" spans="1:12" ht="15.75" customHeight="1" x14ac:dyDescent="0.35">
      <c r="A441" s="15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25"/>
    </row>
    <row r="442" spans="1:12" ht="15.75" customHeight="1" x14ac:dyDescent="0.35">
      <c r="A442" s="15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25"/>
    </row>
    <row r="443" spans="1:12" ht="15.75" customHeight="1" x14ac:dyDescent="0.35">
      <c r="A443" s="15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25"/>
    </row>
    <row r="444" spans="1:12" ht="15.75" customHeight="1" x14ac:dyDescent="0.35">
      <c r="A444" s="15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25"/>
    </row>
    <row r="445" spans="1:12" ht="15.75" customHeight="1" x14ac:dyDescent="0.35">
      <c r="A445" s="15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25"/>
    </row>
    <row r="446" spans="1:12" ht="15.75" customHeight="1" x14ac:dyDescent="0.35">
      <c r="A446" s="15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25"/>
    </row>
    <row r="447" spans="1:12" ht="15.75" customHeight="1" x14ac:dyDescent="0.35">
      <c r="A447" s="15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25"/>
    </row>
    <row r="448" spans="1:12" ht="15.75" customHeight="1" x14ac:dyDescent="0.35">
      <c r="A448" s="15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25"/>
    </row>
    <row r="449" spans="1:12" ht="15.75" customHeight="1" x14ac:dyDescent="0.35">
      <c r="A449" s="15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25"/>
    </row>
    <row r="450" spans="1:12" ht="15.75" customHeight="1" x14ac:dyDescent="0.35">
      <c r="A450" s="15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25"/>
    </row>
    <row r="451" spans="1:12" ht="15.75" customHeight="1" x14ac:dyDescent="0.35">
      <c r="A451" s="15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25"/>
    </row>
    <row r="452" spans="1:12" ht="15.75" customHeight="1" x14ac:dyDescent="0.35">
      <c r="A452" s="15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25"/>
    </row>
    <row r="453" spans="1:12" ht="15.75" customHeight="1" x14ac:dyDescent="0.35">
      <c r="A453" s="15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25"/>
    </row>
    <row r="454" spans="1:12" ht="15.75" customHeight="1" x14ac:dyDescent="0.35">
      <c r="A454" s="15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25"/>
    </row>
    <row r="455" spans="1:12" ht="15.75" customHeight="1" x14ac:dyDescent="0.35">
      <c r="A455" s="15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25"/>
    </row>
    <row r="456" spans="1:12" ht="15.75" customHeight="1" x14ac:dyDescent="0.35">
      <c r="A456" s="15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25"/>
    </row>
    <row r="457" spans="1:12" ht="15.75" customHeight="1" x14ac:dyDescent="0.35">
      <c r="A457" s="15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25"/>
    </row>
    <row r="458" spans="1:12" ht="15.75" customHeight="1" x14ac:dyDescent="0.35">
      <c r="A458" s="15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25"/>
    </row>
    <row r="459" spans="1:12" ht="15.75" customHeight="1" x14ac:dyDescent="0.35">
      <c r="A459" s="15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25"/>
    </row>
    <row r="460" spans="1:12" ht="15.75" customHeight="1" x14ac:dyDescent="0.35">
      <c r="A460" s="15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25"/>
    </row>
    <row r="461" spans="1:12" ht="15.75" customHeight="1" x14ac:dyDescent="0.35">
      <c r="A461" s="15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25"/>
    </row>
    <row r="462" spans="1:12" ht="15.75" customHeight="1" x14ac:dyDescent="0.35">
      <c r="A462" s="15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25"/>
    </row>
    <row r="463" spans="1:12" ht="15.75" customHeight="1" x14ac:dyDescent="0.35">
      <c r="A463" s="15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25"/>
    </row>
    <row r="464" spans="1:12" ht="15.75" customHeight="1" x14ac:dyDescent="0.35">
      <c r="A464" s="15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25"/>
    </row>
    <row r="465" spans="1:12" ht="15.75" customHeight="1" x14ac:dyDescent="0.35">
      <c r="A465" s="15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25"/>
    </row>
    <row r="466" spans="1:12" ht="15.75" customHeight="1" x14ac:dyDescent="0.35">
      <c r="A466" s="15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25"/>
    </row>
    <row r="467" spans="1:12" ht="15.75" customHeight="1" x14ac:dyDescent="0.35">
      <c r="A467" s="15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25"/>
    </row>
    <row r="468" spans="1:12" ht="15.75" customHeight="1" x14ac:dyDescent="0.35">
      <c r="A468" s="15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25"/>
    </row>
    <row r="469" spans="1:12" ht="15.75" customHeight="1" x14ac:dyDescent="0.35">
      <c r="A469" s="15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25"/>
    </row>
    <row r="470" spans="1:12" ht="15.75" customHeight="1" x14ac:dyDescent="0.35">
      <c r="A470" s="15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25"/>
    </row>
    <row r="471" spans="1:12" ht="15.75" customHeight="1" x14ac:dyDescent="0.35">
      <c r="A471" s="15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25"/>
    </row>
    <row r="472" spans="1:12" ht="15.75" customHeight="1" x14ac:dyDescent="0.35">
      <c r="A472" s="15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25"/>
    </row>
    <row r="473" spans="1:12" ht="15.75" customHeight="1" x14ac:dyDescent="0.35">
      <c r="A473" s="15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25"/>
    </row>
    <row r="474" spans="1:12" ht="15.75" customHeight="1" x14ac:dyDescent="0.35">
      <c r="A474" s="15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25"/>
    </row>
    <row r="475" spans="1:12" ht="15.75" customHeight="1" x14ac:dyDescent="0.35">
      <c r="A475" s="15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25"/>
    </row>
    <row r="476" spans="1:12" ht="15.75" customHeight="1" x14ac:dyDescent="0.35">
      <c r="A476" s="15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25"/>
    </row>
    <row r="477" spans="1:12" ht="15.75" customHeight="1" x14ac:dyDescent="0.35">
      <c r="A477" s="15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25"/>
    </row>
    <row r="478" spans="1:12" ht="15.75" customHeight="1" x14ac:dyDescent="0.35">
      <c r="A478" s="15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25"/>
    </row>
    <row r="479" spans="1:12" ht="15.75" customHeight="1" x14ac:dyDescent="0.35">
      <c r="A479" s="15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25"/>
    </row>
    <row r="480" spans="1:12" ht="15.75" customHeight="1" x14ac:dyDescent="0.35">
      <c r="A480" s="15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25"/>
    </row>
    <row r="481" spans="1:12" ht="15.75" customHeight="1" x14ac:dyDescent="0.35">
      <c r="A481" s="15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25"/>
    </row>
    <row r="482" spans="1:12" ht="15.75" customHeight="1" x14ac:dyDescent="0.35">
      <c r="A482" s="15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25"/>
    </row>
    <row r="483" spans="1:12" ht="15.75" customHeight="1" x14ac:dyDescent="0.35">
      <c r="A483" s="15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25"/>
    </row>
    <row r="484" spans="1:12" ht="15.75" customHeight="1" x14ac:dyDescent="0.35">
      <c r="A484" s="15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25"/>
    </row>
    <row r="485" spans="1:12" ht="15.75" customHeight="1" x14ac:dyDescent="0.35">
      <c r="A485" s="15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25"/>
    </row>
    <row r="486" spans="1:12" ht="15.75" customHeight="1" x14ac:dyDescent="0.35">
      <c r="A486" s="15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25"/>
    </row>
    <row r="487" spans="1:12" ht="15.75" customHeight="1" x14ac:dyDescent="0.35">
      <c r="A487" s="15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25"/>
    </row>
    <row r="488" spans="1:12" ht="15.75" customHeight="1" x14ac:dyDescent="0.35">
      <c r="A488" s="15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25"/>
    </row>
    <row r="489" spans="1:12" ht="15.75" customHeight="1" x14ac:dyDescent="0.35">
      <c r="A489" s="15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25"/>
    </row>
    <row r="490" spans="1:12" ht="15.75" customHeight="1" x14ac:dyDescent="0.35">
      <c r="A490" s="15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25"/>
    </row>
    <row r="491" spans="1:12" ht="15.75" customHeight="1" x14ac:dyDescent="0.35">
      <c r="A491" s="15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25"/>
    </row>
    <row r="492" spans="1:12" ht="15.75" customHeight="1" x14ac:dyDescent="0.35">
      <c r="A492" s="15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25"/>
    </row>
    <row r="493" spans="1:12" ht="15.75" customHeight="1" x14ac:dyDescent="0.35">
      <c r="A493" s="15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25"/>
    </row>
    <row r="494" spans="1:12" ht="15.75" customHeight="1" x14ac:dyDescent="0.35">
      <c r="A494" s="15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25"/>
    </row>
    <row r="495" spans="1:12" ht="15.75" customHeight="1" x14ac:dyDescent="0.35">
      <c r="A495" s="15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25"/>
    </row>
    <row r="496" spans="1:12" ht="15.75" customHeight="1" x14ac:dyDescent="0.35">
      <c r="A496" s="15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25"/>
    </row>
    <row r="497" spans="1:12" ht="15.75" customHeight="1" x14ac:dyDescent="0.35">
      <c r="A497" s="15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25"/>
    </row>
    <row r="498" spans="1:12" ht="15.75" customHeight="1" x14ac:dyDescent="0.35">
      <c r="A498" s="15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25"/>
    </row>
    <row r="499" spans="1:12" ht="15.75" customHeight="1" x14ac:dyDescent="0.35">
      <c r="A499" s="15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25"/>
    </row>
    <row r="500" spans="1:12" ht="15.75" customHeight="1" x14ac:dyDescent="0.35">
      <c r="A500" s="15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25"/>
    </row>
    <row r="501" spans="1:12" ht="15.75" customHeight="1" x14ac:dyDescent="0.35">
      <c r="A501" s="15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25"/>
    </row>
    <row r="502" spans="1:12" ht="15.75" customHeight="1" x14ac:dyDescent="0.35">
      <c r="A502" s="15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25"/>
    </row>
    <row r="503" spans="1:12" ht="15.75" customHeight="1" x14ac:dyDescent="0.35">
      <c r="A503" s="15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25"/>
    </row>
    <row r="504" spans="1:12" ht="15.75" customHeight="1" x14ac:dyDescent="0.35">
      <c r="A504" s="15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25"/>
    </row>
    <row r="505" spans="1:12" ht="15.75" customHeight="1" x14ac:dyDescent="0.35">
      <c r="A505" s="15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25"/>
    </row>
    <row r="506" spans="1:12" ht="15.75" customHeight="1" x14ac:dyDescent="0.35">
      <c r="A506" s="15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25"/>
    </row>
    <row r="507" spans="1:12" ht="15.75" customHeight="1" x14ac:dyDescent="0.35">
      <c r="A507" s="15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25"/>
    </row>
    <row r="508" spans="1:12" ht="15.75" customHeight="1" x14ac:dyDescent="0.35">
      <c r="A508" s="15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25"/>
    </row>
    <row r="509" spans="1:12" ht="15.75" customHeight="1" x14ac:dyDescent="0.35">
      <c r="A509" s="15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25"/>
    </row>
    <row r="510" spans="1:12" ht="15.75" customHeight="1" x14ac:dyDescent="0.35">
      <c r="A510" s="15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25"/>
    </row>
    <row r="511" spans="1:12" ht="15.75" customHeight="1" x14ac:dyDescent="0.35">
      <c r="A511" s="15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25"/>
    </row>
    <row r="512" spans="1:12" ht="15.75" customHeight="1" x14ac:dyDescent="0.35">
      <c r="A512" s="15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25"/>
    </row>
    <row r="513" spans="1:12" ht="15.75" customHeight="1" x14ac:dyDescent="0.35">
      <c r="A513" s="15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25"/>
    </row>
    <row r="514" spans="1:12" ht="15.75" customHeight="1" x14ac:dyDescent="0.35">
      <c r="A514" s="15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25"/>
    </row>
    <row r="515" spans="1:12" ht="15.75" customHeight="1" x14ac:dyDescent="0.35">
      <c r="A515" s="15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25"/>
    </row>
    <row r="516" spans="1:12" ht="15.75" customHeight="1" x14ac:dyDescent="0.35">
      <c r="A516" s="15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25"/>
    </row>
    <row r="517" spans="1:12" ht="15.75" customHeight="1" x14ac:dyDescent="0.35">
      <c r="A517" s="15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25"/>
    </row>
    <row r="518" spans="1:12" ht="15.75" customHeight="1" x14ac:dyDescent="0.35">
      <c r="A518" s="15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25"/>
    </row>
    <row r="519" spans="1:12" ht="15.75" customHeight="1" x14ac:dyDescent="0.35">
      <c r="A519" s="15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25"/>
    </row>
    <row r="520" spans="1:12" ht="15.75" customHeight="1" x14ac:dyDescent="0.35">
      <c r="A520" s="15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25"/>
    </row>
    <row r="521" spans="1:12" ht="15.75" customHeight="1" x14ac:dyDescent="0.35">
      <c r="A521" s="15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25"/>
    </row>
    <row r="522" spans="1:12" ht="15.75" customHeight="1" x14ac:dyDescent="0.35">
      <c r="A522" s="15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25"/>
    </row>
    <row r="523" spans="1:12" ht="15.75" customHeight="1" x14ac:dyDescent="0.35">
      <c r="A523" s="15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25"/>
    </row>
    <row r="524" spans="1:12" ht="15.75" customHeight="1" x14ac:dyDescent="0.35">
      <c r="A524" s="15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25"/>
    </row>
    <row r="525" spans="1:12" ht="15.75" customHeight="1" x14ac:dyDescent="0.35">
      <c r="A525" s="15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25"/>
    </row>
    <row r="526" spans="1:12" ht="15.75" customHeight="1" x14ac:dyDescent="0.35">
      <c r="A526" s="15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25"/>
    </row>
    <row r="527" spans="1:12" ht="15.75" customHeight="1" x14ac:dyDescent="0.35">
      <c r="A527" s="15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25"/>
    </row>
    <row r="528" spans="1:12" ht="15.75" customHeight="1" x14ac:dyDescent="0.35">
      <c r="A528" s="15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25"/>
    </row>
    <row r="529" spans="1:12" ht="15.75" customHeight="1" x14ac:dyDescent="0.35">
      <c r="A529" s="15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25"/>
    </row>
    <row r="530" spans="1:12" ht="15.75" customHeight="1" x14ac:dyDescent="0.35">
      <c r="A530" s="15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25"/>
    </row>
    <row r="531" spans="1:12" ht="15.75" customHeight="1" x14ac:dyDescent="0.35">
      <c r="A531" s="15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25"/>
    </row>
    <row r="532" spans="1:12" ht="15.75" customHeight="1" x14ac:dyDescent="0.35">
      <c r="A532" s="15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25"/>
    </row>
    <row r="533" spans="1:12" ht="15.75" customHeight="1" x14ac:dyDescent="0.35">
      <c r="A533" s="15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25"/>
    </row>
    <row r="534" spans="1:12" ht="15.75" customHeight="1" x14ac:dyDescent="0.35">
      <c r="A534" s="15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25"/>
    </row>
    <row r="535" spans="1:12" ht="15.75" customHeight="1" x14ac:dyDescent="0.35">
      <c r="A535" s="15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25"/>
    </row>
    <row r="536" spans="1:12" ht="15.75" customHeight="1" x14ac:dyDescent="0.35">
      <c r="A536" s="15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25"/>
    </row>
    <row r="537" spans="1:12" ht="15.75" customHeight="1" x14ac:dyDescent="0.35">
      <c r="A537" s="15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25"/>
    </row>
    <row r="538" spans="1:12" ht="15.75" customHeight="1" x14ac:dyDescent="0.35">
      <c r="A538" s="15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25"/>
    </row>
    <row r="539" spans="1:12" ht="15.75" customHeight="1" x14ac:dyDescent="0.35">
      <c r="A539" s="15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25"/>
    </row>
    <row r="540" spans="1:12" ht="15.75" customHeight="1" x14ac:dyDescent="0.35">
      <c r="A540" s="15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25"/>
    </row>
    <row r="541" spans="1:12" ht="15.75" customHeight="1" x14ac:dyDescent="0.35">
      <c r="A541" s="15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25"/>
    </row>
    <row r="542" spans="1:12" ht="15.75" customHeight="1" x14ac:dyDescent="0.35">
      <c r="A542" s="15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25"/>
    </row>
    <row r="543" spans="1:12" ht="15.75" customHeight="1" x14ac:dyDescent="0.35">
      <c r="A543" s="15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25"/>
    </row>
    <row r="544" spans="1:12" ht="15.75" customHeight="1" x14ac:dyDescent="0.35">
      <c r="A544" s="15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25"/>
    </row>
    <row r="545" spans="1:12" ht="15.75" customHeight="1" x14ac:dyDescent="0.35">
      <c r="A545" s="15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25"/>
    </row>
    <row r="546" spans="1:12" ht="15.75" customHeight="1" x14ac:dyDescent="0.35">
      <c r="A546" s="15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25"/>
    </row>
    <row r="547" spans="1:12" ht="15.75" customHeight="1" x14ac:dyDescent="0.35">
      <c r="A547" s="15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25"/>
    </row>
    <row r="548" spans="1:12" ht="15.75" customHeight="1" x14ac:dyDescent="0.35">
      <c r="A548" s="1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25"/>
    </row>
    <row r="549" spans="1:12" ht="15.75" customHeight="1" x14ac:dyDescent="0.35">
      <c r="A549" s="15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25"/>
    </row>
    <row r="550" spans="1:12" ht="15.75" customHeight="1" x14ac:dyDescent="0.35">
      <c r="A550" s="15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25"/>
    </row>
    <row r="551" spans="1:12" ht="15.75" customHeight="1" x14ac:dyDescent="0.35">
      <c r="A551" s="15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25"/>
    </row>
    <row r="552" spans="1:12" ht="15.75" customHeight="1" x14ac:dyDescent="0.35">
      <c r="A552" s="15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25"/>
    </row>
    <row r="553" spans="1:12" ht="15.75" customHeight="1" x14ac:dyDescent="0.35">
      <c r="A553" s="15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25"/>
    </row>
    <row r="554" spans="1:12" ht="15.75" customHeight="1" x14ac:dyDescent="0.35">
      <c r="A554" s="15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25"/>
    </row>
    <row r="555" spans="1:12" ht="15.75" customHeight="1" x14ac:dyDescent="0.35">
      <c r="A555" s="15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25"/>
    </row>
    <row r="556" spans="1:12" ht="15.75" customHeight="1" x14ac:dyDescent="0.35">
      <c r="A556" s="15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25"/>
    </row>
    <row r="557" spans="1:12" ht="15.75" customHeight="1" x14ac:dyDescent="0.35">
      <c r="A557" s="15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25"/>
    </row>
    <row r="558" spans="1:12" ht="15.75" customHeight="1" x14ac:dyDescent="0.35">
      <c r="A558" s="15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25"/>
    </row>
    <row r="559" spans="1:12" ht="15.75" customHeight="1" x14ac:dyDescent="0.35">
      <c r="A559" s="15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25"/>
    </row>
    <row r="560" spans="1:12" ht="15.75" customHeight="1" x14ac:dyDescent="0.35">
      <c r="A560" s="15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25"/>
    </row>
    <row r="561" spans="1:12" ht="15.75" customHeight="1" x14ac:dyDescent="0.35">
      <c r="A561" s="15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25"/>
    </row>
    <row r="562" spans="1:12" ht="15.75" customHeight="1" x14ac:dyDescent="0.35">
      <c r="A562" s="15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25"/>
    </row>
    <row r="563" spans="1:12" ht="15.75" customHeight="1" x14ac:dyDescent="0.35">
      <c r="A563" s="15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25"/>
    </row>
    <row r="564" spans="1:12" ht="15.75" customHeight="1" x14ac:dyDescent="0.35">
      <c r="A564" s="15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25"/>
    </row>
    <row r="565" spans="1:12" ht="15.75" customHeight="1" x14ac:dyDescent="0.35">
      <c r="A565" s="15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25"/>
    </row>
    <row r="566" spans="1:12" ht="15.75" customHeight="1" x14ac:dyDescent="0.35">
      <c r="A566" s="15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25"/>
    </row>
    <row r="567" spans="1:12" ht="15.75" customHeight="1" x14ac:dyDescent="0.35">
      <c r="A567" s="15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25"/>
    </row>
    <row r="568" spans="1:12" ht="15.75" customHeight="1" x14ac:dyDescent="0.35">
      <c r="A568" s="15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25"/>
    </row>
    <row r="569" spans="1:12" ht="15.75" customHeight="1" x14ac:dyDescent="0.35">
      <c r="A569" s="15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25"/>
    </row>
    <row r="570" spans="1:12" ht="15.75" customHeight="1" x14ac:dyDescent="0.35">
      <c r="A570" s="15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25"/>
    </row>
    <row r="571" spans="1:12" ht="15.75" customHeight="1" x14ac:dyDescent="0.35">
      <c r="A571" s="15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25"/>
    </row>
    <row r="572" spans="1:12" ht="15.75" customHeight="1" x14ac:dyDescent="0.35">
      <c r="A572" s="1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25"/>
    </row>
    <row r="573" spans="1:12" ht="15.75" customHeight="1" x14ac:dyDescent="0.35">
      <c r="A573" s="15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25"/>
    </row>
    <row r="574" spans="1:12" ht="15.75" customHeight="1" x14ac:dyDescent="0.35">
      <c r="A574" s="15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25"/>
    </row>
    <row r="575" spans="1:12" ht="15.75" customHeight="1" x14ac:dyDescent="0.35">
      <c r="A575" s="15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25"/>
    </row>
    <row r="576" spans="1:12" ht="15.75" customHeight="1" x14ac:dyDescent="0.35">
      <c r="A576" s="15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25"/>
    </row>
    <row r="577" spans="1:12" ht="15.75" customHeight="1" x14ac:dyDescent="0.35">
      <c r="A577" s="15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25"/>
    </row>
    <row r="578" spans="1:12" ht="15.75" customHeight="1" x14ac:dyDescent="0.35">
      <c r="A578" s="15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25"/>
    </row>
    <row r="579" spans="1:12" ht="15.75" customHeight="1" x14ac:dyDescent="0.35">
      <c r="A579" s="15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25"/>
    </row>
    <row r="580" spans="1:12" ht="15.75" customHeight="1" x14ac:dyDescent="0.35">
      <c r="A580" s="15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25"/>
    </row>
    <row r="581" spans="1:12" ht="15.75" customHeight="1" x14ac:dyDescent="0.35">
      <c r="A581" s="15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25"/>
    </row>
    <row r="582" spans="1:12" ht="15.75" customHeight="1" x14ac:dyDescent="0.35">
      <c r="A582" s="15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25"/>
    </row>
    <row r="583" spans="1:12" ht="15.75" customHeight="1" x14ac:dyDescent="0.35">
      <c r="A583" s="15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25"/>
    </row>
    <row r="584" spans="1:12" ht="15.75" customHeight="1" x14ac:dyDescent="0.35">
      <c r="A584" s="15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25"/>
    </row>
    <row r="585" spans="1:12" ht="15.75" customHeight="1" x14ac:dyDescent="0.35">
      <c r="A585" s="15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25"/>
    </row>
    <row r="586" spans="1:12" ht="15.75" customHeight="1" x14ac:dyDescent="0.35">
      <c r="A586" s="15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25"/>
    </row>
    <row r="587" spans="1:12" ht="15.75" customHeight="1" x14ac:dyDescent="0.35">
      <c r="A587" s="15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25"/>
    </row>
    <row r="588" spans="1:12" ht="15.75" customHeight="1" x14ac:dyDescent="0.35">
      <c r="A588" s="15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25"/>
    </row>
    <row r="589" spans="1:12" ht="15.75" customHeight="1" x14ac:dyDescent="0.35">
      <c r="A589" s="15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25"/>
    </row>
    <row r="590" spans="1:12" ht="15.75" customHeight="1" x14ac:dyDescent="0.35">
      <c r="A590" s="15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25"/>
    </row>
    <row r="591" spans="1:12" ht="15.75" customHeight="1" x14ac:dyDescent="0.35">
      <c r="A591" s="15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25"/>
    </row>
    <row r="592" spans="1:12" ht="15.75" customHeight="1" x14ac:dyDescent="0.35">
      <c r="A592" s="15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25"/>
    </row>
    <row r="593" spans="1:12" ht="15.75" customHeight="1" x14ac:dyDescent="0.35">
      <c r="A593" s="15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25"/>
    </row>
    <row r="594" spans="1:12" ht="15.75" customHeight="1" x14ac:dyDescent="0.35">
      <c r="A594" s="15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25"/>
    </row>
    <row r="595" spans="1:12" ht="15.75" customHeight="1" x14ac:dyDescent="0.35">
      <c r="A595" s="15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25"/>
    </row>
    <row r="596" spans="1:12" ht="15.75" customHeight="1" x14ac:dyDescent="0.35">
      <c r="A596" s="15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25"/>
    </row>
    <row r="597" spans="1:12" ht="15.75" customHeight="1" x14ac:dyDescent="0.35">
      <c r="A597" s="15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25"/>
    </row>
    <row r="598" spans="1:12" ht="15.75" customHeight="1" x14ac:dyDescent="0.35">
      <c r="A598" s="15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25"/>
    </row>
    <row r="599" spans="1:12" ht="15.75" customHeight="1" x14ac:dyDescent="0.35">
      <c r="A599" s="15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25"/>
    </row>
    <row r="600" spans="1:12" ht="15.75" customHeight="1" x14ac:dyDescent="0.35">
      <c r="A600" s="15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25"/>
    </row>
    <row r="601" spans="1:12" ht="15.75" customHeight="1" x14ac:dyDescent="0.35">
      <c r="A601" s="15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25"/>
    </row>
    <row r="602" spans="1:12" ht="15.75" customHeight="1" x14ac:dyDescent="0.35">
      <c r="A602" s="15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25"/>
    </row>
    <row r="603" spans="1:12" ht="15.75" customHeight="1" x14ac:dyDescent="0.35">
      <c r="A603" s="15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25"/>
    </row>
    <row r="604" spans="1:12" ht="15.75" customHeight="1" x14ac:dyDescent="0.35">
      <c r="A604" s="15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25"/>
    </row>
    <row r="605" spans="1:12" ht="15.75" customHeight="1" x14ac:dyDescent="0.35">
      <c r="A605" s="15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25"/>
    </row>
    <row r="606" spans="1:12" ht="15.75" customHeight="1" x14ac:dyDescent="0.35">
      <c r="A606" s="15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25"/>
    </row>
    <row r="607" spans="1:12" ht="15.75" customHeight="1" x14ac:dyDescent="0.35">
      <c r="A607" s="15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25"/>
    </row>
    <row r="608" spans="1:12" ht="15.75" customHeight="1" x14ac:dyDescent="0.35">
      <c r="A608" s="15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25"/>
    </row>
    <row r="609" spans="1:12" ht="15.75" customHeight="1" x14ac:dyDescent="0.35">
      <c r="A609" s="15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25"/>
    </row>
    <row r="610" spans="1:12" ht="15.75" customHeight="1" x14ac:dyDescent="0.35">
      <c r="A610" s="15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25"/>
    </row>
    <row r="611" spans="1:12" ht="15.75" customHeight="1" x14ac:dyDescent="0.35">
      <c r="A611" s="15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25"/>
    </row>
    <row r="612" spans="1:12" ht="15.75" customHeight="1" x14ac:dyDescent="0.35">
      <c r="A612" s="15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25"/>
    </row>
    <row r="613" spans="1:12" ht="15.75" customHeight="1" x14ac:dyDescent="0.35">
      <c r="A613" s="15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25"/>
    </row>
    <row r="614" spans="1:12" ht="15.75" customHeight="1" x14ac:dyDescent="0.35">
      <c r="A614" s="15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25"/>
    </row>
    <row r="615" spans="1:12" ht="15.75" customHeight="1" x14ac:dyDescent="0.35">
      <c r="A615" s="15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25"/>
    </row>
    <row r="616" spans="1:12" ht="15.75" customHeight="1" x14ac:dyDescent="0.35">
      <c r="A616" s="15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25"/>
    </row>
    <row r="617" spans="1:12" ht="15.75" customHeight="1" x14ac:dyDescent="0.35">
      <c r="A617" s="15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25"/>
    </row>
    <row r="618" spans="1:12" ht="15.75" customHeight="1" x14ac:dyDescent="0.35">
      <c r="A618" s="15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25"/>
    </row>
    <row r="619" spans="1:12" ht="15.75" customHeight="1" x14ac:dyDescent="0.35">
      <c r="A619" s="15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25"/>
    </row>
    <row r="620" spans="1:12" ht="15.75" customHeight="1" x14ac:dyDescent="0.35">
      <c r="A620" s="15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25"/>
    </row>
    <row r="621" spans="1:12" ht="15.75" customHeight="1" x14ac:dyDescent="0.35">
      <c r="A621" s="15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25"/>
    </row>
    <row r="622" spans="1:12" ht="15.75" customHeight="1" x14ac:dyDescent="0.35">
      <c r="A622" s="15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25"/>
    </row>
    <row r="623" spans="1:12" ht="15.75" customHeight="1" x14ac:dyDescent="0.35">
      <c r="A623" s="15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25"/>
    </row>
    <row r="624" spans="1:12" ht="15.75" customHeight="1" x14ac:dyDescent="0.35">
      <c r="A624" s="15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25"/>
    </row>
    <row r="625" spans="1:12" ht="15.75" customHeight="1" x14ac:dyDescent="0.35">
      <c r="A625" s="15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25"/>
    </row>
    <row r="626" spans="1:12" ht="15.75" customHeight="1" x14ac:dyDescent="0.35">
      <c r="A626" s="15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25"/>
    </row>
    <row r="627" spans="1:12" ht="15.75" customHeight="1" x14ac:dyDescent="0.35">
      <c r="A627" s="15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25"/>
    </row>
    <row r="628" spans="1:12" ht="15.75" customHeight="1" x14ac:dyDescent="0.35">
      <c r="A628" s="15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25"/>
    </row>
    <row r="629" spans="1:12" ht="15.75" customHeight="1" x14ac:dyDescent="0.35">
      <c r="A629" s="15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25"/>
    </row>
    <row r="630" spans="1:12" ht="15.75" customHeight="1" x14ac:dyDescent="0.35">
      <c r="A630" s="15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25"/>
    </row>
    <row r="631" spans="1:12" ht="15.75" customHeight="1" x14ac:dyDescent="0.35">
      <c r="A631" s="15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25"/>
    </row>
    <row r="632" spans="1:12" ht="15.75" customHeight="1" x14ac:dyDescent="0.35">
      <c r="A632" s="15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25"/>
    </row>
    <row r="633" spans="1:12" ht="15.75" customHeight="1" x14ac:dyDescent="0.35">
      <c r="A633" s="15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25"/>
    </row>
    <row r="634" spans="1:12" ht="15.75" customHeight="1" x14ac:dyDescent="0.35">
      <c r="A634" s="15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25"/>
    </row>
    <row r="635" spans="1:12" ht="15.75" customHeight="1" x14ac:dyDescent="0.35">
      <c r="A635" s="15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25"/>
    </row>
    <row r="636" spans="1:12" ht="15.75" customHeight="1" x14ac:dyDescent="0.35">
      <c r="A636" s="15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25"/>
    </row>
    <row r="637" spans="1:12" ht="15.75" customHeight="1" x14ac:dyDescent="0.35">
      <c r="A637" s="15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25"/>
    </row>
    <row r="638" spans="1:12" ht="15.75" customHeight="1" x14ac:dyDescent="0.35">
      <c r="A638" s="15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25"/>
    </row>
    <row r="639" spans="1:12" ht="15.75" customHeight="1" x14ac:dyDescent="0.35">
      <c r="A639" s="15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25"/>
    </row>
    <row r="640" spans="1:12" ht="15.75" customHeight="1" x14ac:dyDescent="0.35">
      <c r="A640" s="15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25"/>
    </row>
    <row r="641" spans="1:12" ht="15.75" customHeight="1" x14ac:dyDescent="0.35">
      <c r="A641" s="15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25"/>
    </row>
    <row r="642" spans="1:12" ht="15.75" customHeight="1" x14ac:dyDescent="0.35">
      <c r="A642" s="15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25"/>
    </row>
    <row r="643" spans="1:12" ht="15.75" customHeight="1" x14ac:dyDescent="0.35">
      <c r="A643" s="15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25"/>
    </row>
    <row r="644" spans="1:12" ht="15.75" customHeight="1" x14ac:dyDescent="0.35">
      <c r="A644" s="1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25"/>
    </row>
    <row r="645" spans="1:12" ht="15.75" customHeight="1" x14ac:dyDescent="0.35">
      <c r="A645" s="15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25"/>
    </row>
    <row r="646" spans="1:12" ht="15.75" customHeight="1" x14ac:dyDescent="0.35">
      <c r="A646" s="15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25"/>
    </row>
    <row r="647" spans="1:12" ht="15.75" customHeight="1" x14ac:dyDescent="0.35">
      <c r="A647" s="15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25"/>
    </row>
    <row r="648" spans="1:12" ht="15.75" customHeight="1" x14ac:dyDescent="0.35">
      <c r="A648" s="15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25"/>
    </row>
    <row r="649" spans="1:12" ht="15.75" customHeight="1" x14ac:dyDescent="0.35">
      <c r="A649" s="15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25"/>
    </row>
    <row r="650" spans="1:12" ht="15.75" customHeight="1" x14ac:dyDescent="0.35">
      <c r="A650" s="15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25"/>
    </row>
    <row r="651" spans="1:12" ht="15.75" customHeight="1" x14ac:dyDescent="0.35">
      <c r="A651" s="15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25"/>
    </row>
    <row r="652" spans="1:12" ht="15.75" customHeight="1" x14ac:dyDescent="0.35">
      <c r="A652" s="15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25"/>
    </row>
    <row r="653" spans="1:12" ht="15.75" customHeight="1" x14ac:dyDescent="0.35">
      <c r="A653" s="15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25"/>
    </row>
    <row r="654" spans="1:12" ht="15.75" customHeight="1" x14ac:dyDescent="0.35">
      <c r="A654" s="15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25"/>
    </row>
    <row r="655" spans="1:12" ht="15.75" customHeight="1" x14ac:dyDescent="0.35">
      <c r="A655" s="15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25"/>
    </row>
    <row r="656" spans="1:12" ht="15.75" customHeight="1" x14ac:dyDescent="0.35">
      <c r="A656" s="15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25"/>
    </row>
    <row r="657" spans="1:12" ht="15.75" customHeight="1" x14ac:dyDescent="0.35">
      <c r="A657" s="15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25"/>
    </row>
    <row r="658" spans="1:12" ht="15.75" customHeight="1" x14ac:dyDescent="0.35">
      <c r="A658" s="15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25"/>
    </row>
    <row r="659" spans="1:12" ht="15.75" customHeight="1" x14ac:dyDescent="0.35">
      <c r="A659" s="15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25"/>
    </row>
    <row r="660" spans="1:12" ht="15.75" customHeight="1" x14ac:dyDescent="0.35">
      <c r="A660" s="15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25"/>
    </row>
    <row r="661" spans="1:12" ht="15.75" customHeight="1" x14ac:dyDescent="0.35">
      <c r="A661" s="15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25"/>
    </row>
    <row r="662" spans="1:12" ht="15.75" customHeight="1" x14ac:dyDescent="0.35">
      <c r="A662" s="15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25"/>
    </row>
    <row r="663" spans="1:12" ht="15.75" customHeight="1" x14ac:dyDescent="0.35">
      <c r="A663" s="15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25"/>
    </row>
    <row r="664" spans="1:12" ht="15.75" customHeight="1" x14ac:dyDescent="0.35">
      <c r="A664" s="15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25"/>
    </row>
    <row r="665" spans="1:12" ht="15.75" customHeight="1" x14ac:dyDescent="0.35">
      <c r="A665" s="15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25"/>
    </row>
    <row r="666" spans="1:12" ht="15.75" customHeight="1" x14ac:dyDescent="0.35">
      <c r="A666" s="15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25"/>
    </row>
    <row r="667" spans="1:12" ht="15.75" customHeight="1" x14ac:dyDescent="0.35">
      <c r="A667" s="15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25"/>
    </row>
    <row r="668" spans="1:12" ht="15.75" customHeight="1" x14ac:dyDescent="0.35">
      <c r="A668" s="15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25"/>
    </row>
    <row r="669" spans="1:12" ht="15.75" customHeight="1" x14ac:dyDescent="0.35">
      <c r="A669" s="15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25"/>
    </row>
    <row r="670" spans="1:12" ht="15.75" customHeight="1" x14ac:dyDescent="0.35">
      <c r="A670" s="15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25"/>
    </row>
    <row r="671" spans="1:12" ht="15.75" customHeight="1" x14ac:dyDescent="0.35">
      <c r="A671" s="15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25"/>
    </row>
    <row r="672" spans="1:12" ht="15.75" customHeight="1" x14ac:dyDescent="0.35">
      <c r="A672" s="15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25"/>
    </row>
    <row r="673" spans="1:12" ht="15.75" customHeight="1" x14ac:dyDescent="0.35">
      <c r="A673" s="15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25"/>
    </row>
    <row r="674" spans="1:12" ht="15.75" customHeight="1" x14ac:dyDescent="0.35">
      <c r="A674" s="15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25"/>
    </row>
    <row r="675" spans="1:12" ht="15.75" customHeight="1" x14ac:dyDescent="0.35">
      <c r="A675" s="15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25"/>
    </row>
    <row r="676" spans="1:12" ht="15.75" customHeight="1" x14ac:dyDescent="0.35">
      <c r="A676" s="15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25"/>
    </row>
    <row r="677" spans="1:12" ht="15.75" customHeight="1" x14ac:dyDescent="0.35">
      <c r="A677" s="15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25"/>
    </row>
    <row r="678" spans="1:12" ht="15.75" customHeight="1" x14ac:dyDescent="0.35">
      <c r="A678" s="15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25"/>
    </row>
    <row r="679" spans="1:12" ht="15.75" customHeight="1" x14ac:dyDescent="0.35">
      <c r="A679" s="15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25"/>
    </row>
    <row r="680" spans="1:12" ht="15.75" customHeight="1" x14ac:dyDescent="0.35">
      <c r="A680" s="15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25"/>
    </row>
    <row r="681" spans="1:12" ht="15.75" customHeight="1" x14ac:dyDescent="0.35">
      <c r="A681" s="15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25"/>
    </row>
    <row r="682" spans="1:12" ht="15.75" customHeight="1" x14ac:dyDescent="0.35">
      <c r="A682" s="15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25"/>
    </row>
    <row r="683" spans="1:12" ht="15.75" customHeight="1" x14ac:dyDescent="0.35">
      <c r="A683" s="15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25"/>
    </row>
    <row r="684" spans="1:12" ht="15.75" customHeight="1" x14ac:dyDescent="0.35">
      <c r="A684" s="15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25"/>
    </row>
    <row r="685" spans="1:12" ht="15.75" customHeight="1" x14ac:dyDescent="0.35">
      <c r="A685" s="15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25"/>
    </row>
    <row r="686" spans="1:12" ht="15.75" customHeight="1" x14ac:dyDescent="0.35">
      <c r="A686" s="15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25"/>
    </row>
    <row r="687" spans="1:12" ht="15.75" customHeight="1" x14ac:dyDescent="0.35">
      <c r="A687" s="15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25"/>
    </row>
    <row r="688" spans="1:12" ht="15.75" customHeight="1" x14ac:dyDescent="0.35">
      <c r="A688" s="15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25"/>
    </row>
    <row r="689" spans="1:12" ht="15.75" customHeight="1" x14ac:dyDescent="0.35">
      <c r="A689" s="15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25"/>
    </row>
    <row r="690" spans="1:12" ht="15.75" customHeight="1" x14ac:dyDescent="0.35">
      <c r="A690" s="15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25"/>
    </row>
    <row r="691" spans="1:12" ht="15.75" customHeight="1" x14ac:dyDescent="0.35">
      <c r="A691" s="15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25"/>
    </row>
    <row r="692" spans="1:12" ht="15.75" customHeight="1" x14ac:dyDescent="0.35">
      <c r="A692" s="15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25"/>
    </row>
    <row r="693" spans="1:12" ht="15.75" customHeight="1" x14ac:dyDescent="0.35">
      <c r="A693" s="15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25"/>
    </row>
    <row r="694" spans="1:12" ht="15.75" customHeight="1" x14ac:dyDescent="0.35">
      <c r="A694" s="15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25"/>
    </row>
    <row r="695" spans="1:12" ht="15.75" customHeight="1" x14ac:dyDescent="0.35">
      <c r="A695" s="15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25"/>
    </row>
    <row r="696" spans="1:12" ht="15.75" customHeight="1" x14ac:dyDescent="0.35">
      <c r="A696" s="15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25"/>
    </row>
    <row r="697" spans="1:12" ht="15.75" customHeight="1" x14ac:dyDescent="0.35">
      <c r="A697" s="15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25"/>
    </row>
    <row r="698" spans="1:12" ht="15.75" customHeight="1" x14ac:dyDescent="0.35">
      <c r="A698" s="15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25"/>
    </row>
    <row r="699" spans="1:12" ht="15.75" customHeight="1" x14ac:dyDescent="0.35">
      <c r="A699" s="15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25"/>
    </row>
    <row r="700" spans="1:12" ht="15.75" customHeight="1" x14ac:dyDescent="0.35">
      <c r="A700" s="15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25"/>
    </row>
    <row r="701" spans="1:12" ht="15.75" customHeight="1" x14ac:dyDescent="0.35">
      <c r="A701" s="15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25"/>
    </row>
    <row r="702" spans="1:12" ht="15.75" customHeight="1" x14ac:dyDescent="0.35">
      <c r="A702" s="15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25"/>
    </row>
    <row r="703" spans="1:12" ht="15.75" customHeight="1" x14ac:dyDescent="0.35">
      <c r="A703" s="15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25"/>
    </row>
    <row r="704" spans="1:12" ht="15.75" customHeight="1" x14ac:dyDescent="0.35">
      <c r="A704" s="15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25"/>
    </row>
    <row r="705" spans="1:12" ht="15.75" customHeight="1" x14ac:dyDescent="0.35">
      <c r="A705" s="15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25"/>
    </row>
    <row r="706" spans="1:12" ht="15.75" customHeight="1" x14ac:dyDescent="0.35">
      <c r="A706" s="15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25"/>
    </row>
    <row r="707" spans="1:12" ht="15.75" customHeight="1" x14ac:dyDescent="0.35">
      <c r="A707" s="15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25"/>
    </row>
    <row r="708" spans="1:12" ht="15.75" customHeight="1" x14ac:dyDescent="0.35">
      <c r="A708" s="15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25"/>
    </row>
    <row r="709" spans="1:12" ht="15.75" customHeight="1" x14ac:dyDescent="0.35">
      <c r="A709" s="15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25"/>
    </row>
    <row r="710" spans="1:12" ht="15.75" customHeight="1" x14ac:dyDescent="0.35">
      <c r="A710" s="15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25"/>
    </row>
    <row r="711" spans="1:12" ht="15.75" customHeight="1" x14ac:dyDescent="0.35">
      <c r="A711" s="15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25"/>
    </row>
    <row r="712" spans="1:12" ht="15.75" customHeight="1" x14ac:dyDescent="0.35">
      <c r="A712" s="15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25"/>
    </row>
    <row r="713" spans="1:12" ht="15.75" customHeight="1" x14ac:dyDescent="0.35">
      <c r="A713" s="15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25"/>
    </row>
    <row r="714" spans="1:12" ht="15.75" customHeight="1" x14ac:dyDescent="0.35">
      <c r="A714" s="15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25"/>
    </row>
    <row r="715" spans="1:12" ht="15.75" customHeight="1" x14ac:dyDescent="0.35">
      <c r="A715" s="15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25"/>
    </row>
    <row r="716" spans="1:12" ht="15.75" customHeight="1" x14ac:dyDescent="0.35">
      <c r="A716" s="15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25"/>
    </row>
    <row r="717" spans="1:12" ht="15.75" customHeight="1" x14ac:dyDescent="0.35">
      <c r="A717" s="15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25"/>
    </row>
    <row r="718" spans="1:12" ht="15.75" customHeight="1" x14ac:dyDescent="0.35">
      <c r="A718" s="15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25"/>
    </row>
    <row r="719" spans="1:12" ht="15.75" customHeight="1" x14ac:dyDescent="0.35">
      <c r="A719" s="15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25"/>
    </row>
    <row r="720" spans="1:12" ht="15.75" customHeight="1" x14ac:dyDescent="0.35">
      <c r="A720" s="15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25"/>
    </row>
    <row r="721" spans="1:12" ht="15.75" customHeight="1" x14ac:dyDescent="0.35">
      <c r="A721" s="15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25"/>
    </row>
    <row r="722" spans="1:12" ht="15.75" customHeight="1" x14ac:dyDescent="0.35">
      <c r="A722" s="15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25"/>
    </row>
    <row r="723" spans="1:12" ht="15.75" customHeight="1" x14ac:dyDescent="0.35">
      <c r="A723" s="15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25"/>
    </row>
    <row r="724" spans="1:12" ht="15.75" customHeight="1" x14ac:dyDescent="0.35">
      <c r="A724" s="15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25"/>
    </row>
    <row r="725" spans="1:12" ht="15.75" customHeight="1" x14ac:dyDescent="0.35">
      <c r="A725" s="15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25"/>
    </row>
    <row r="726" spans="1:12" ht="15.75" customHeight="1" x14ac:dyDescent="0.35">
      <c r="A726" s="15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25"/>
    </row>
    <row r="727" spans="1:12" ht="15.75" customHeight="1" x14ac:dyDescent="0.35">
      <c r="A727" s="15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25"/>
    </row>
    <row r="728" spans="1:12" ht="15.75" customHeight="1" x14ac:dyDescent="0.35">
      <c r="A728" s="15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25"/>
    </row>
    <row r="729" spans="1:12" ht="15.75" customHeight="1" x14ac:dyDescent="0.35">
      <c r="A729" s="15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25"/>
    </row>
    <row r="730" spans="1:12" ht="15.75" customHeight="1" x14ac:dyDescent="0.35">
      <c r="A730" s="15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25"/>
    </row>
    <row r="731" spans="1:12" ht="15.75" customHeight="1" x14ac:dyDescent="0.35">
      <c r="A731" s="15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25"/>
    </row>
    <row r="732" spans="1:12" ht="15.75" customHeight="1" x14ac:dyDescent="0.35">
      <c r="A732" s="15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25"/>
    </row>
    <row r="733" spans="1:12" ht="15.75" customHeight="1" x14ac:dyDescent="0.35">
      <c r="A733" s="15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25"/>
    </row>
    <row r="734" spans="1:12" ht="15.75" customHeight="1" x14ac:dyDescent="0.35">
      <c r="A734" s="15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25"/>
    </row>
    <row r="735" spans="1:12" ht="15.75" customHeight="1" x14ac:dyDescent="0.35">
      <c r="A735" s="15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25"/>
    </row>
    <row r="736" spans="1:12" ht="15.75" customHeight="1" x14ac:dyDescent="0.35">
      <c r="A736" s="15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25"/>
    </row>
    <row r="737" spans="1:12" ht="15.75" customHeight="1" x14ac:dyDescent="0.35">
      <c r="A737" s="15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25"/>
    </row>
    <row r="738" spans="1:12" ht="15.75" customHeight="1" x14ac:dyDescent="0.35">
      <c r="A738" s="15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25"/>
    </row>
    <row r="739" spans="1:12" ht="15.75" customHeight="1" x14ac:dyDescent="0.35">
      <c r="A739" s="15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25"/>
    </row>
    <row r="740" spans="1:12" ht="15.75" customHeight="1" x14ac:dyDescent="0.35">
      <c r="A740" s="15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25"/>
    </row>
    <row r="741" spans="1:12" ht="15.75" customHeight="1" x14ac:dyDescent="0.35">
      <c r="A741" s="15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25"/>
    </row>
    <row r="742" spans="1:12" ht="15.75" customHeight="1" x14ac:dyDescent="0.35">
      <c r="A742" s="15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25"/>
    </row>
    <row r="743" spans="1:12" ht="15.75" customHeight="1" x14ac:dyDescent="0.35">
      <c r="A743" s="15"/>
      <c r="B743" s="3" t="s">
        <v>6016</v>
      </c>
      <c r="C743" s="3" t="s">
        <v>6016</v>
      </c>
      <c r="D743" s="3" t="s">
        <v>6016</v>
      </c>
      <c r="E743" s="3" t="s">
        <v>6016</v>
      </c>
      <c r="F743" s="3" t="s">
        <v>6016</v>
      </c>
      <c r="G743" s="3" t="s">
        <v>6016</v>
      </c>
      <c r="H743" s="3" t="s">
        <v>6016</v>
      </c>
      <c r="I743" s="3" t="s">
        <v>6016</v>
      </c>
      <c r="J743" s="3" t="s">
        <v>6016</v>
      </c>
      <c r="K743" s="3" t="s">
        <v>6016</v>
      </c>
      <c r="L743" s="25"/>
    </row>
    <row r="744" spans="1:12" ht="15.75" customHeight="1" x14ac:dyDescent="0.35">
      <c r="A744" s="15"/>
      <c r="B744" s="3" t="s">
        <v>6016</v>
      </c>
      <c r="C744" s="3" t="s">
        <v>6016</v>
      </c>
      <c r="D744" s="3" t="s">
        <v>6016</v>
      </c>
      <c r="E744" s="3" t="s">
        <v>6016</v>
      </c>
      <c r="F744" s="3" t="s">
        <v>6016</v>
      </c>
      <c r="G744" s="3" t="s">
        <v>6016</v>
      </c>
      <c r="H744" s="3" t="s">
        <v>6016</v>
      </c>
      <c r="I744" s="3" t="s">
        <v>6016</v>
      </c>
      <c r="J744" s="3" t="s">
        <v>6016</v>
      </c>
      <c r="K744" s="3" t="s">
        <v>6016</v>
      </c>
      <c r="L744" s="25"/>
    </row>
    <row r="745" spans="1:12" ht="15.75" customHeight="1" x14ac:dyDescent="0.35">
      <c r="A745" s="15"/>
      <c r="B745" s="3" t="s">
        <v>6016</v>
      </c>
      <c r="C745" s="3" t="s">
        <v>6016</v>
      </c>
      <c r="D745" s="3" t="s">
        <v>6016</v>
      </c>
      <c r="E745" s="3" t="s">
        <v>6016</v>
      </c>
      <c r="F745" s="3" t="s">
        <v>6016</v>
      </c>
      <c r="G745" s="3" t="s">
        <v>6016</v>
      </c>
      <c r="H745" s="3" t="s">
        <v>6016</v>
      </c>
      <c r="I745" s="3" t="s">
        <v>6016</v>
      </c>
      <c r="J745" s="3" t="s">
        <v>6016</v>
      </c>
      <c r="K745" s="3" t="s">
        <v>6016</v>
      </c>
      <c r="L745" s="25"/>
    </row>
    <row r="746" spans="1:12" ht="15.75" customHeight="1" x14ac:dyDescent="0.35">
      <c r="A746" s="15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25"/>
    </row>
    <row r="747" spans="1:12" ht="15.75" customHeight="1" x14ac:dyDescent="0.35">
      <c r="D747" s="22"/>
      <c r="E747" s="22"/>
      <c r="F747" s="22"/>
      <c r="G747" s="22"/>
      <c r="H747" s="22"/>
      <c r="I747" s="22"/>
      <c r="J747" s="22"/>
      <c r="K747" s="22"/>
      <c r="L747" s="25"/>
    </row>
    <row r="748" spans="1:12" ht="15.75" customHeight="1" x14ac:dyDescent="0.35">
      <c r="B748" s="58" t="s">
        <v>6010</v>
      </c>
      <c r="D748" s="22"/>
      <c r="E748" s="22"/>
      <c r="F748" s="22"/>
      <c r="G748" s="22"/>
      <c r="H748" s="22"/>
      <c r="I748" s="22"/>
      <c r="J748" s="22"/>
      <c r="K748" s="22"/>
      <c r="L748" s="25"/>
    </row>
    <row r="749" spans="1:12" ht="15.75" customHeight="1" x14ac:dyDescent="0.35">
      <c r="C749" s="59"/>
      <c r="D749" s="59"/>
      <c r="E749" s="59"/>
      <c r="F749" s="59"/>
      <c r="G749" s="59"/>
      <c r="L749" s="25"/>
    </row>
    <row r="750" spans="1:12" ht="15.75" customHeight="1" x14ac:dyDescent="0.35">
      <c r="B750" s="60" t="s">
        <v>6011</v>
      </c>
      <c r="C750" s="59"/>
      <c r="D750" s="59"/>
      <c r="E750" s="59"/>
      <c r="F750" s="59"/>
      <c r="G750" s="59"/>
      <c r="L750" s="25"/>
    </row>
    <row r="751" spans="1:12" ht="15.75" customHeight="1" x14ac:dyDescent="0.35">
      <c r="B751" s="61" t="s">
        <v>6012</v>
      </c>
      <c r="C751" s="59"/>
      <c r="D751" s="59"/>
      <c r="E751" s="59"/>
      <c r="F751" s="59"/>
    </row>
    <row r="752" spans="1:12" ht="33" customHeight="1" x14ac:dyDescent="0.35">
      <c r="B752" s="61" t="s">
        <v>6013</v>
      </c>
      <c r="C752" s="59"/>
      <c r="D752" s="59"/>
      <c r="E752" s="59"/>
      <c r="F752" s="59"/>
    </row>
    <row r="753" spans="1:133" ht="15.75" customHeight="1" thickBot="1" x14ac:dyDescent="0.4">
      <c r="A753" s="26"/>
      <c r="B753" s="27"/>
      <c r="C753" s="27"/>
      <c r="D753" s="28"/>
      <c r="E753" s="28"/>
      <c r="F753" s="28"/>
      <c r="G753" s="28"/>
      <c r="H753" s="29"/>
      <c r="I753" s="29"/>
      <c r="J753" s="29"/>
      <c r="K753" s="29"/>
      <c r="L753" s="25"/>
      <c r="M753" s="30"/>
      <c r="N753" s="30"/>
      <c r="O753" s="30"/>
      <c r="P753" s="30"/>
      <c r="Q753" s="30"/>
      <c r="R753" s="30"/>
      <c r="S753" s="30"/>
      <c r="T753" s="30"/>
      <c r="U753" s="30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  <c r="DI753" s="31"/>
      <c r="DJ753" s="31"/>
      <c r="DK753" s="31"/>
      <c r="DL753" s="31"/>
      <c r="DM753" s="31"/>
      <c r="DN753" s="31"/>
      <c r="DO753" s="31"/>
      <c r="DP753" s="31"/>
      <c r="DQ753" s="31"/>
      <c r="DR753" s="31"/>
      <c r="DS753" s="31"/>
      <c r="DT753" s="31"/>
      <c r="DU753" s="31"/>
      <c r="DV753" s="31"/>
      <c r="DW753" s="31"/>
      <c r="DX753" s="31"/>
      <c r="DY753" s="31"/>
      <c r="DZ753" s="31"/>
      <c r="EA753" s="31"/>
      <c r="EB753" s="31"/>
      <c r="EC753" s="31"/>
    </row>
    <row r="754" spans="1:133" ht="14.25" customHeight="1" x14ac:dyDescent="0.35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3"/>
      <c r="M754" s="30"/>
      <c r="N754" s="30"/>
      <c r="O754" s="30"/>
      <c r="P754" s="30"/>
      <c r="Q754" s="30"/>
      <c r="R754" s="30"/>
      <c r="S754" s="30"/>
      <c r="T754" s="30"/>
      <c r="U754" s="30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  <c r="DI754" s="31"/>
      <c r="DJ754" s="31"/>
      <c r="DK754" s="31"/>
      <c r="DL754" s="31"/>
      <c r="DM754" s="31"/>
      <c r="DN754" s="31"/>
      <c r="DO754" s="31"/>
      <c r="DP754" s="31"/>
      <c r="DQ754" s="31"/>
      <c r="DR754" s="31"/>
      <c r="DS754" s="31"/>
      <c r="DT754" s="31"/>
      <c r="DU754" s="31"/>
      <c r="DV754" s="31"/>
      <c r="DW754" s="31"/>
      <c r="DX754" s="31"/>
      <c r="DY754" s="31"/>
      <c r="DZ754" s="31"/>
      <c r="EA754" s="31"/>
      <c r="EB754" s="31"/>
      <c r="EC754" s="31"/>
    </row>
    <row r="755" spans="1:133" s="38" customFormat="1" ht="12.75" customHeight="1" x14ac:dyDescent="0.3">
      <c r="A755" s="62" t="s">
        <v>5444</v>
      </c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35"/>
      <c r="M755" s="36"/>
      <c r="N755" s="36"/>
      <c r="O755" s="36"/>
      <c r="P755" s="36"/>
      <c r="Q755" s="36"/>
      <c r="R755" s="36"/>
      <c r="S755" s="36"/>
      <c r="T755" s="36"/>
      <c r="U755" s="36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  <c r="DI755" s="37"/>
      <c r="DJ755" s="37"/>
      <c r="DK755" s="37"/>
      <c r="DL755" s="37"/>
      <c r="DM755" s="37"/>
      <c r="DN755" s="37"/>
      <c r="DO755" s="37"/>
      <c r="DP755" s="37"/>
      <c r="DQ755" s="37"/>
      <c r="DR755" s="37"/>
      <c r="DS755" s="37"/>
      <c r="DT755" s="37"/>
      <c r="DU755" s="37"/>
      <c r="DV755" s="37"/>
      <c r="DW755" s="37"/>
      <c r="DX755" s="37"/>
      <c r="DY755" s="37"/>
      <c r="DZ755" s="37"/>
      <c r="EA755" s="37"/>
      <c r="EB755" s="37"/>
      <c r="EC755" s="37"/>
    </row>
    <row r="756" spans="1:133" s="38" customFormat="1" ht="12.75" customHeight="1" x14ac:dyDescent="0.3">
      <c r="A756" s="62" t="s">
        <v>5445</v>
      </c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39"/>
      <c r="M756" s="36"/>
      <c r="N756" s="36"/>
      <c r="O756" s="36"/>
      <c r="P756" s="36"/>
      <c r="Q756" s="36"/>
      <c r="R756" s="36"/>
      <c r="S756" s="36"/>
      <c r="T756" s="36"/>
      <c r="U756" s="36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  <c r="DJ756" s="37"/>
      <c r="DK756" s="37"/>
      <c r="DL756" s="37"/>
      <c r="DM756" s="37"/>
      <c r="DN756" s="37"/>
      <c r="DO756" s="37"/>
      <c r="DP756" s="37"/>
      <c r="DQ756" s="37"/>
      <c r="DR756" s="37"/>
      <c r="DS756" s="37"/>
      <c r="DT756" s="37"/>
      <c r="DU756" s="37"/>
      <c r="DV756" s="37"/>
      <c r="DW756" s="37"/>
      <c r="DX756" s="37"/>
      <c r="DY756" s="37"/>
      <c r="DZ756" s="37"/>
      <c r="EA756" s="37"/>
      <c r="EB756" s="37"/>
      <c r="EC756" s="37"/>
    </row>
    <row r="757" spans="1:133" s="38" customFormat="1" ht="12.75" customHeight="1" x14ac:dyDescent="0.3">
      <c r="A757" s="62" t="s">
        <v>5446</v>
      </c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39"/>
      <c r="M757" s="36"/>
      <c r="N757" s="36"/>
      <c r="O757" s="36"/>
      <c r="P757" s="36"/>
      <c r="Q757" s="36"/>
      <c r="R757" s="36"/>
      <c r="S757" s="36"/>
      <c r="T757" s="36"/>
      <c r="U757" s="36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  <c r="DI757" s="37"/>
      <c r="DJ757" s="37"/>
      <c r="DK757" s="37"/>
      <c r="DL757" s="37"/>
      <c r="DM757" s="37"/>
      <c r="DN757" s="37"/>
      <c r="DO757" s="37"/>
      <c r="DP757" s="37"/>
      <c r="DQ757" s="37"/>
      <c r="DR757" s="37"/>
      <c r="DS757" s="37"/>
      <c r="DT757" s="37"/>
      <c r="DU757" s="37"/>
      <c r="DV757" s="37"/>
      <c r="DW757" s="37"/>
      <c r="DX757" s="37"/>
      <c r="DY757" s="37"/>
      <c r="DZ757" s="37"/>
      <c r="EA757" s="37"/>
      <c r="EB757" s="37"/>
      <c r="EC757" s="37"/>
    </row>
    <row r="758" spans="1:133" s="38" customFormat="1" ht="12.75" customHeight="1" x14ac:dyDescent="0.3">
      <c r="A758" s="62" t="s">
        <v>6014</v>
      </c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39"/>
      <c r="M758" s="36"/>
      <c r="N758" s="36"/>
      <c r="O758" s="36"/>
      <c r="P758" s="36"/>
      <c r="Q758" s="36"/>
      <c r="R758" s="36"/>
      <c r="S758" s="36"/>
      <c r="T758" s="36"/>
      <c r="U758" s="36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  <c r="DI758" s="37"/>
      <c r="DJ758" s="37"/>
      <c r="DK758" s="37"/>
      <c r="DL758" s="37"/>
      <c r="DM758" s="37"/>
      <c r="DN758" s="37"/>
      <c r="DO758" s="37"/>
      <c r="DP758" s="37"/>
      <c r="DQ758" s="37"/>
      <c r="DR758" s="37"/>
      <c r="DS758" s="37"/>
      <c r="DT758" s="37"/>
      <c r="DU758" s="37"/>
      <c r="DV758" s="37"/>
      <c r="DW758" s="37"/>
      <c r="DX758" s="37"/>
      <c r="DY758" s="37"/>
      <c r="DZ758" s="37"/>
      <c r="EA758" s="37"/>
      <c r="EB758" s="37"/>
      <c r="EC758" s="37"/>
    </row>
    <row r="759" spans="1:133" s="38" customFormat="1" ht="12.75" customHeight="1" x14ac:dyDescent="0.3">
      <c r="A759" s="62" t="s">
        <v>5447</v>
      </c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35"/>
      <c r="M759" s="36"/>
      <c r="N759" s="36"/>
      <c r="O759" s="36"/>
      <c r="P759" s="36"/>
      <c r="Q759" s="36"/>
      <c r="R759" s="36"/>
      <c r="S759" s="36"/>
      <c r="T759" s="36"/>
      <c r="U759" s="36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  <c r="DJ759" s="37"/>
      <c r="DK759" s="37"/>
      <c r="DL759" s="37"/>
      <c r="DM759" s="37"/>
      <c r="DN759" s="37"/>
      <c r="DO759" s="37"/>
      <c r="DP759" s="37"/>
      <c r="DQ759" s="37"/>
      <c r="DR759" s="37"/>
      <c r="DS759" s="37"/>
      <c r="DT759" s="37"/>
      <c r="DU759" s="37"/>
      <c r="DV759" s="37"/>
      <c r="DW759" s="37"/>
      <c r="DX759" s="37"/>
      <c r="DY759" s="37"/>
      <c r="DZ759" s="37"/>
      <c r="EA759" s="37"/>
      <c r="EB759" s="37"/>
      <c r="EC759" s="37"/>
    </row>
    <row r="760" spans="1:133" s="41" customFormat="1" ht="15.5" x14ac:dyDescent="0.35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40"/>
      <c r="M760" s="30"/>
      <c r="N760" s="30"/>
      <c r="O760" s="30"/>
      <c r="P760" s="30"/>
      <c r="Q760" s="30"/>
      <c r="R760" s="30"/>
      <c r="S760" s="30"/>
      <c r="T760" s="30"/>
      <c r="U760" s="30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  <c r="DI760" s="31"/>
      <c r="DJ760" s="31"/>
      <c r="DK760" s="31"/>
      <c r="DL760" s="31"/>
      <c r="DM760" s="31"/>
      <c r="DN760" s="31"/>
      <c r="DO760" s="31"/>
      <c r="DP760" s="31"/>
      <c r="DQ760" s="31"/>
      <c r="DR760" s="31"/>
      <c r="DS760" s="31"/>
      <c r="DT760" s="31"/>
      <c r="DU760" s="31"/>
      <c r="DV760" s="31"/>
      <c r="DW760" s="31"/>
      <c r="DX760" s="31"/>
      <c r="DY760" s="31"/>
      <c r="DZ760" s="31"/>
      <c r="EA760" s="31"/>
      <c r="EB760" s="31"/>
      <c r="EC760" s="31"/>
    </row>
    <row r="761" spans="1:133" s="10" customFormat="1" ht="15.5" x14ac:dyDescent="0.35">
      <c r="B761" s="42"/>
      <c r="C761" s="42"/>
      <c r="D761" s="43"/>
      <c r="E761" s="43"/>
      <c r="F761" s="43"/>
      <c r="G761" s="43"/>
      <c r="H761" s="44"/>
      <c r="I761" s="44"/>
      <c r="J761" s="44"/>
      <c r="K761" s="44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  <c r="BW761" s="30"/>
      <c r="BX761" s="30"/>
      <c r="BY761" s="30"/>
      <c r="BZ761" s="30"/>
      <c r="CA761" s="30"/>
      <c r="CB761" s="30"/>
      <c r="CC761" s="30"/>
      <c r="CD761" s="30"/>
      <c r="CE761" s="30"/>
      <c r="CF761" s="30"/>
      <c r="CG761" s="30"/>
      <c r="CH761" s="30"/>
      <c r="CI761" s="30"/>
      <c r="CJ761" s="30"/>
      <c r="CK761" s="30"/>
      <c r="CL761" s="30"/>
      <c r="CM761" s="30"/>
      <c r="CN761" s="30"/>
      <c r="CO761" s="30"/>
      <c r="CP761" s="30"/>
      <c r="CQ761" s="30"/>
      <c r="CR761" s="30"/>
      <c r="CS761" s="30"/>
      <c r="CT761" s="30"/>
      <c r="CU761" s="30"/>
      <c r="CV761" s="30"/>
      <c r="CW761" s="30"/>
      <c r="CX761" s="30"/>
      <c r="CY761" s="30"/>
      <c r="CZ761" s="30"/>
      <c r="DA761" s="30"/>
      <c r="DB761" s="30"/>
      <c r="DC761" s="30"/>
      <c r="DD761" s="30"/>
      <c r="DE761" s="30"/>
      <c r="DF761" s="30"/>
      <c r="DG761" s="30"/>
      <c r="DH761" s="30"/>
      <c r="DI761" s="30"/>
      <c r="DJ761" s="30"/>
      <c r="DK761" s="30"/>
      <c r="DL761" s="30"/>
      <c r="DM761" s="30"/>
      <c r="DN761" s="30"/>
      <c r="DO761" s="30"/>
      <c r="DP761" s="30"/>
      <c r="DQ761" s="30"/>
      <c r="DR761" s="30"/>
      <c r="DS761" s="30"/>
      <c r="DT761" s="30"/>
      <c r="DU761" s="30"/>
      <c r="DV761" s="30"/>
      <c r="DW761" s="30"/>
      <c r="DX761" s="30"/>
      <c r="DY761" s="30"/>
      <c r="DZ761" s="30"/>
      <c r="EA761" s="30"/>
      <c r="EB761" s="30"/>
      <c r="EC761" s="30"/>
    </row>
    <row r="762" spans="1:133" s="10" customFormat="1" ht="20.25" hidden="1" customHeight="1" x14ac:dyDescent="0.35">
      <c r="B762" s="42"/>
      <c r="C762" s="42"/>
      <c r="D762" s="43"/>
      <c r="E762" s="43"/>
      <c r="F762" s="43"/>
      <c r="G762" s="43"/>
      <c r="H762" s="44"/>
      <c r="I762" s="44"/>
      <c r="J762" s="44"/>
      <c r="K762" s="44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  <c r="BW762" s="30"/>
      <c r="BX762" s="30"/>
      <c r="BY762" s="30"/>
      <c r="BZ762" s="30"/>
      <c r="CA762" s="30"/>
      <c r="CB762" s="30"/>
      <c r="CC762" s="30"/>
      <c r="CD762" s="30"/>
      <c r="CE762" s="30"/>
      <c r="CF762" s="30"/>
      <c r="CG762" s="30"/>
      <c r="CH762" s="30"/>
      <c r="CI762" s="30"/>
      <c r="CJ762" s="30"/>
      <c r="CK762" s="30"/>
      <c r="CL762" s="30"/>
      <c r="CM762" s="30"/>
      <c r="CN762" s="30"/>
      <c r="CO762" s="30"/>
      <c r="CP762" s="30"/>
      <c r="CQ762" s="30"/>
      <c r="CR762" s="30"/>
      <c r="CS762" s="30"/>
      <c r="CT762" s="30"/>
      <c r="CU762" s="30"/>
      <c r="CV762" s="30"/>
      <c r="CW762" s="30"/>
      <c r="CX762" s="30"/>
      <c r="CY762" s="30"/>
      <c r="CZ762" s="30"/>
      <c r="DA762" s="30"/>
      <c r="DB762" s="30"/>
      <c r="DC762" s="30"/>
      <c r="DD762" s="30"/>
      <c r="DE762" s="30"/>
      <c r="DF762" s="30"/>
      <c r="DG762" s="30"/>
      <c r="DH762" s="30"/>
      <c r="DI762" s="30"/>
      <c r="DJ762" s="30"/>
      <c r="DK762" s="30"/>
      <c r="DL762" s="30"/>
      <c r="DM762" s="30"/>
      <c r="DN762" s="30"/>
      <c r="DO762" s="30"/>
      <c r="DP762" s="30"/>
      <c r="DQ762" s="30"/>
      <c r="DR762" s="30"/>
      <c r="DS762" s="30"/>
      <c r="DT762" s="30"/>
      <c r="DU762" s="30"/>
      <c r="DV762" s="30"/>
      <c r="DW762" s="30"/>
      <c r="DX762" s="30"/>
      <c r="DY762" s="30"/>
      <c r="DZ762" s="30"/>
      <c r="EA762" s="30"/>
      <c r="EB762" s="30"/>
      <c r="EC762" s="30"/>
    </row>
    <row r="763" spans="1:133" s="10" customFormat="1" ht="20.25" hidden="1" customHeight="1" x14ac:dyDescent="0.35">
      <c r="B763" s="42"/>
      <c r="C763" s="42"/>
      <c r="D763" s="43"/>
      <c r="E763" s="43"/>
      <c r="F763" s="43"/>
      <c r="G763" s="43"/>
      <c r="H763" s="44"/>
      <c r="I763" s="44"/>
      <c r="J763" s="44"/>
      <c r="K763" s="44"/>
    </row>
    <row r="764" spans="1:133" s="10" customFormat="1" ht="20.25" hidden="1" customHeight="1" x14ac:dyDescent="0.35">
      <c r="B764" s="42"/>
      <c r="C764" s="42"/>
      <c r="D764" s="43"/>
      <c r="E764" s="43"/>
      <c r="F764" s="43"/>
      <c r="G764" s="43"/>
      <c r="H764" s="44"/>
      <c r="I764" s="44"/>
      <c r="J764" s="44"/>
      <c r="K764" s="44"/>
    </row>
    <row r="765" spans="1:133" s="10" customFormat="1" ht="20.25" hidden="1" customHeight="1" x14ac:dyDescent="0.35">
      <c r="B765" s="42"/>
      <c r="C765" s="42"/>
      <c r="D765" s="43"/>
      <c r="E765" s="43"/>
      <c r="F765" s="43"/>
      <c r="G765" s="43"/>
      <c r="H765" s="44"/>
      <c r="I765" s="44"/>
      <c r="J765" s="44"/>
      <c r="K765" s="44"/>
    </row>
    <row r="766" spans="1:133" s="10" customFormat="1" ht="20.25" hidden="1" customHeight="1" x14ac:dyDescent="0.35">
      <c r="A766" s="45"/>
      <c r="B766" s="42"/>
      <c r="C766" s="42"/>
      <c r="D766" s="43"/>
      <c r="E766" s="43"/>
      <c r="F766" s="43"/>
      <c r="G766" s="43"/>
      <c r="H766" s="44"/>
      <c r="I766" s="44"/>
      <c r="J766" s="44"/>
      <c r="K766" s="44"/>
    </row>
    <row r="767" spans="1:133" s="10" customFormat="1" ht="20.25" hidden="1" customHeight="1" x14ac:dyDescent="0.35">
      <c r="A767" s="45"/>
      <c r="B767" s="42"/>
      <c r="C767" s="42"/>
      <c r="D767" s="43"/>
      <c r="E767" s="43"/>
      <c r="F767" s="43"/>
      <c r="G767" s="43"/>
      <c r="H767" s="44"/>
      <c r="I767" s="44"/>
      <c r="J767" s="44"/>
      <c r="K767" s="44"/>
    </row>
    <row r="768" spans="1:133" s="10" customFormat="1" ht="20.25" hidden="1" customHeight="1" x14ac:dyDescent="0.35">
      <c r="A768" s="45"/>
      <c r="B768" s="42"/>
      <c r="C768" s="42"/>
      <c r="D768" s="43"/>
      <c r="E768" s="43"/>
      <c r="F768" s="43"/>
      <c r="G768" s="43"/>
      <c r="H768" s="44"/>
      <c r="I768" s="44"/>
      <c r="J768" s="44"/>
      <c r="K768" s="44"/>
    </row>
    <row r="769" spans="1:11" s="10" customFormat="1" ht="20.25" hidden="1" customHeight="1" x14ac:dyDescent="0.35">
      <c r="A769" s="45"/>
      <c r="B769" s="42"/>
      <c r="C769" s="42"/>
      <c r="D769" s="43"/>
      <c r="E769" s="43"/>
      <c r="F769" s="43"/>
      <c r="G769" s="43"/>
      <c r="H769" s="44"/>
      <c r="I769" s="44"/>
      <c r="J769" s="44"/>
      <c r="K769" s="44"/>
    </row>
    <row r="770" spans="1:11" s="10" customFormat="1" ht="20.25" hidden="1" customHeight="1" x14ac:dyDescent="0.35">
      <c r="A770" s="45"/>
      <c r="B770" s="42"/>
      <c r="C770" s="42"/>
      <c r="D770" s="43"/>
      <c r="E770" s="43"/>
      <c r="F770" s="43"/>
      <c r="G770" s="43"/>
      <c r="H770" s="44"/>
      <c r="I770" s="44"/>
      <c r="J770" s="44"/>
      <c r="K770" s="44"/>
    </row>
    <row r="771" spans="1:11" s="10" customFormat="1" ht="20.25" hidden="1" customHeight="1" x14ac:dyDescent="0.35">
      <c r="A771" s="45"/>
      <c r="B771" s="42"/>
      <c r="C771" s="42"/>
      <c r="D771" s="43"/>
      <c r="E771" s="43"/>
      <c r="F771" s="43"/>
      <c r="G771" s="43"/>
      <c r="H771" s="44"/>
      <c r="I771" s="44"/>
      <c r="J771" s="44"/>
      <c r="K771" s="44"/>
    </row>
    <row r="772" spans="1:11" s="10" customFormat="1" ht="20.25" hidden="1" customHeight="1" x14ac:dyDescent="0.35">
      <c r="A772" s="45"/>
      <c r="B772" s="42"/>
      <c r="C772" s="42"/>
      <c r="D772" s="43"/>
      <c r="E772" s="43"/>
      <c r="F772" s="43"/>
      <c r="G772" s="43"/>
      <c r="H772" s="44"/>
      <c r="I772" s="44"/>
      <c r="J772" s="44"/>
      <c r="K772" s="44"/>
    </row>
    <row r="773" spans="1:11" s="10" customFormat="1" ht="20.25" hidden="1" customHeight="1" x14ac:dyDescent="0.35">
      <c r="A773" s="45"/>
      <c r="B773" s="42"/>
      <c r="C773" s="42"/>
      <c r="D773" s="43"/>
      <c r="E773" s="43"/>
      <c r="F773" s="43"/>
      <c r="G773" s="43"/>
      <c r="H773" s="44"/>
      <c r="I773" s="44"/>
      <c r="J773" s="44"/>
      <c r="K773" s="44"/>
    </row>
    <row r="774" spans="1:11" s="10" customFormat="1" ht="20.25" hidden="1" customHeight="1" x14ac:dyDescent="0.35">
      <c r="A774" s="45"/>
      <c r="B774" s="42"/>
      <c r="C774" s="42"/>
      <c r="D774" s="43"/>
      <c r="E774" s="43"/>
      <c r="F774" s="43"/>
      <c r="G774" s="43"/>
      <c r="H774" s="44"/>
      <c r="I774" s="44"/>
      <c r="J774" s="44"/>
      <c r="K774" s="44"/>
    </row>
    <row r="775" spans="1:11" s="10" customFormat="1" ht="20.25" hidden="1" customHeight="1" x14ac:dyDescent="0.35">
      <c r="A775" s="45"/>
      <c r="B775" s="42"/>
      <c r="C775" s="42"/>
      <c r="D775" s="43"/>
      <c r="E775" s="43"/>
      <c r="F775" s="43"/>
      <c r="G775" s="43"/>
      <c r="H775" s="44"/>
      <c r="I775" s="44"/>
      <c r="J775" s="44"/>
      <c r="K775" s="44"/>
    </row>
    <row r="776" spans="1:11" s="10" customFormat="1" ht="20.25" hidden="1" customHeight="1" x14ac:dyDescent="0.35">
      <c r="A776" s="45"/>
      <c r="B776" s="42"/>
      <c r="C776" s="42"/>
      <c r="D776" s="43"/>
      <c r="E776" s="43"/>
      <c r="F776" s="43"/>
      <c r="G776" s="43"/>
      <c r="H776" s="44"/>
      <c r="I776" s="44"/>
      <c r="J776" s="44"/>
      <c r="K776" s="44"/>
    </row>
    <row r="777" spans="1:11" s="10" customFormat="1" ht="20.25" hidden="1" customHeight="1" x14ac:dyDescent="0.35">
      <c r="A777" s="45"/>
      <c r="B777" s="42"/>
      <c r="C777" s="42"/>
      <c r="D777" s="43"/>
      <c r="E777" s="43"/>
      <c r="F777" s="43"/>
      <c r="G777" s="43"/>
      <c r="H777" s="44"/>
      <c r="I777" s="44"/>
      <c r="J777" s="44"/>
      <c r="K777" s="44"/>
    </row>
    <row r="778" spans="1:11" s="10" customFormat="1" ht="20.25" hidden="1" customHeight="1" x14ac:dyDescent="0.35">
      <c r="A778" s="45"/>
      <c r="B778" s="42"/>
      <c r="C778" s="42"/>
      <c r="D778" s="43"/>
      <c r="E778" s="43"/>
      <c r="F778" s="43"/>
      <c r="G778" s="43"/>
      <c r="H778" s="44"/>
      <c r="I778" s="44"/>
      <c r="J778" s="44"/>
      <c r="K778" s="44"/>
    </row>
    <row r="779" spans="1:11" s="10" customFormat="1" ht="20.25" hidden="1" customHeight="1" x14ac:dyDescent="0.35">
      <c r="A779" s="45"/>
      <c r="B779" s="42"/>
      <c r="C779" s="42"/>
      <c r="D779" s="43"/>
      <c r="E779" s="43"/>
      <c r="F779" s="43"/>
      <c r="G779" s="43"/>
      <c r="H779" s="44"/>
      <c r="I779" s="44"/>
      <c r="J779" s="44"/>
      <c r="K779" s="44"/>
    </row>
    <row r="780" spans="1:11" s="10" customFormat="1" ht="20.25" hidden="1" customHeight="1" x14ac:dyDescent="0.35">
      <c r="A780" s="45"/>
      <c r="B780" s="42"/>
      <c r="C780" s="42"/>
      <c r="D780" s="43"/>
      <c r="E780" s="43"/>
      <c r="F780" s="43"/>
      <c r="G780" s="43"/>
      <c r="H780" s="44"/>
      <c r="I780" s="44"/>
      <c r="J780" s="44"/>
      <c r="K780" s="44"/>
    </row>
    <row r="781" spans="1:11" s="10" customFormat="1" ht="20.25" hidden="1" customHeight="1" x14ac:dyDescent="0.35">
      <c r="A781" s="45"/>
      <c r="B781" s="42"/>
      <c r="C781" s="42"/>
      <c r="D781" s="43"/>
      <c r="E781" s="43"/>
      <c r="F781" s="43"/>
      <c r="G781" s="43"/>
      <c r="H781" s="44"/>
      <c r="I781" s="44"/>
      <c r="J781" s="44"/>
      <c r="K781" s="44"/>
    </row>
    <row r="782" spans="1:11" s="10" customFormat="1" ht="20.25" hidden="1" customHeight="1" x14ac:dyDescent="0.35">
      <c r="A782" s="45"/>
      <c r="B782" s="42"/>
      <c r="C782" s="42"/>
      <c r="D782" s="43"/>
      <c r="E782" s="43"/>
      <c r="F782" s="43"/>
      <c r="G782" s="43"/>
      <c r="H782" s="44"/>
      <c r="I782" s="44"/>
      <c r="J782" s="44"/>
      <c r="K782" s="44"/>
    </row>
    <row r="783" spans="1:11" s="10" customFormat="1" ht="20.25" hidden="1" customHeight="1" x14ac:dyDescent="0.35">
      <c r="A783" s="45"/>
      <c r="B783" s="42"/>
      <c r="C783" s="42"/>
      <c r="D783" s="43"/>
      <c r="E783" s="43"/>
      <c r="F783" s="43"/>
      <c r="G783" s="43"/>
      <c r="H783" s="44"/>
      <c r="I783" s="44"/>
      <c r="J783" s="44"/>
      <c r="K783" s="44"/>
    </row>
    <row r="784" spans="1:11" s="10" customFormat="1" ht="20.25" hidden="1" customHeight="1" x14ac:dyDescent="0.35">
      <c r="A784" s="45"/>
      <c r="B784" s="42"/>
      <c r="C784" s="42"/>
      <c r="D784" s="43"/>
      <c r="E784" s="43"/>
      <c r="F784" s="43"/>
      <c r="G784" s="43"/>
      <c r="H784" s="44"/>
      <c r="I784" s="44"/>
      <c r="J784" s="44"/>
      <c r="K784" s="44"/>
    </row>
    <row r="785" spans="1:11" s="10" customFormat="1" ht="20.25" hidden="1" customHeight="1" x14ac:dyDescent="0.35">
      <c r="A785" s="45"/>
      <c r="B785" s="42"/>
      <c r="C785" s="42"/>
      <c r="D785" s="43"/>
      <c r="E785" s="43"/>
      <c r="F785" s="43"/>
      <c r="G785" s="43"/>
      <c r="H785" s="44"/>
      <c r="I785" s="44"/>
      <c r="J785" s="44"/>
      <c r="K785" s="44"/>
    </row>
    <row r="786" spans="1:11" s="10" customFormat="1" ht="20.25" hidden="1" customHeight="1" x14ac:dyDescent="0.35">
      <c r="A786" s="45"/>
      <c r="B786" s="42"/>
      <c r="C786" s="42"/>
      <c r="D786" s="43"/>
      <c r="E786" s="43"/>
      <c r="F786" s="43"/>
      <c r="G786" s="43"/>
      <c r="H786" s="44"/>
      <c r="I786" s="44"/>
      <c r="J786" s="44"/>
      <c r="K786" s="44"/>
    </row>
    <row r="787" spans="1:11" s="10" customFormat="1" ht="20.25" hidden="1" customHeight="1" x14ac:dyDescent="0.35">
      <c r="A787" s="45"/>
      <c r="B787" s="42"/>
      <c r="C787" s="42"/>
      <c r="D787" s="43"/>
      <c r="E787" s="43"/>
      <c r="F787" s="43"/>
      <c r="G787" s="43"/>
      <c r="H787" s="44"/>
      <c r="I787" s="44"/>
      <c r="J787" s="44"/>
      <c r="K787" s="44"/>
    </row>
    <row r="788" spans="1:11" s="10" customFormat="1" ht="20.25" hidden="1" customHeight="1" x14ac:dyDescent="0.35">
      <c r="A788" s="45"/>
      <c r="B788" s="42"/>
      <c r="C788" s="42"/>
      <c r="D788" s="43"/>
      <c r="E788" s="43"/>
      <c r="F788" s="43"/>
      <c r="G788" s="43"/>
      <c r="H788" s="44"/>
      <c r="I788" s="44"/>
      <c r="J788" s="44"/>
      <c r="K788" s="44"/>
    </row>
    <row r="789" spans="1:11" s="10" customFormat="1" ht="20.25" hidden="1" customHeight="1" x14ac:dyDescent="0.35">
      <c r="A789" s="45"/>
      <c r="B789" s="42"/>
      <c r="C789" s="42"/>
      <c r="D789" s="43"/>
      <c r="E789" s="43"/>
      <c r="F789" s="43"/>
      <c r="G789" s="43"/>
      <c r="H789" s="44"/>
      <c r="I789" s="44"/>
      <c r="J789" s="44"/>
      <c r="K789" s="44"/>
    </row>
    <row r="790" spans="1:11" s="10" customFormat="1" ht="20.25" hidden="1" customHeight="1" x14ac:dyDescent="0.35">
      <c r="A790" s="45"/>
      <c r="B790" s="42"/>
      <c r="C790" s="42"/>
      <c r="D790" s="43"/>
      <c r="E790" s="43"/>
      <c r="F790" s="43"/>
      <c r="G790" s="43"/>
      <c r="H790" s="44"/>
      <c r="I790" s="44"/>
      <c r="J790" s="44"/>
      <c r="K790" s="44"/>
    </row>
    <row r="791" spans="1:11" s="10" customFormat="1" ht="20.25" hidden="1" customHeight="1" x14ac:dyDescent="0.35">
      <c r="A791" s="45"/>
      <c r="B791" s="42"/>
      <c r="C791" s="42"/>
      <c r="D791" s="43"/>
      <c r="E791" s="43"/>
      <c r="F791" s="43"/>
      <c r="G791" s="43"/>
      <c r="H791" s="44"/>
      <c r="I791" s="44"/>
      <c r="J791" s="44"/>
      <c r="K791" s="44"/>
    </row>
    <row r="792" spans="1:11" s="10" customFormat="1" ht="20.25" hidden="1" customHeight="1" x14ac:dyDescent="0.35">
      <c r="A792" s="45"/>
      <c r="B792" s="42"/>
      <c r="C792" s="42"/>
      <c r="D792" s="43"/>
      <c r="E792" s="43"/>
      <c r="F792" s="43"/>
      <c r="G792" s="43"/>
      <c r="H792" s="44"/>
      <c r="I792" s="44"/>
      <c r="J792" s="44"/>
      <c r="K792" s="44"/>
    </row>
    <row r="793" spans="1:11" s="10" customFormat="1" ht="20.25" hidden="1" customHeight="1" x14ac:dyDescent="0.35">
      <c r="A793" s="45"/>
      <c r="B793" s="42"/>
      <c r="C793" s="42"/>
      <c r="D793" s="43"/>
      <c r="E793" s="43"/>
      <c r="F793" s="43"/>
      <c r="G793" s="43"/>
      <c r="H793" s="44"/>
      <c r="I793" s="44"/>
      <c r="J793" s="44"/>
      <c r="K793" s="44"/>
    </row>
    <row r="794" spans="1:11" s="10" customFormat="1" ht="20.25" hidden="1" customHeight="1" x14ac:dyDescent="0.35">
      <c r="A794" s="45"/>
      <c r="B794" s="42"/>
      <c r="C794" s="42"/>
      <c r="D794" s="43"/>
      <c r="E794" s="43"/>
      <c r="F794" s="43"/>
      <c r="G794" s="43"/>
      <c r="H794" s="44"/>
      <c r="I794" s="44"/>
      <c r="J794" s="44"/>
      <c r="K794" s="44"/>
    </row>
    <row r="795" spans="1:11" s="10" customFormat="1" ht="20.25" hidden="1" customHeight="1" x14ac:dyDescent="0.35">
      <c r="A795" s="45"/>
      <c r="B795" s="42"/>
      <c r="C795" s="42"/>
      <c r="D795" s="43"/>
      <c r="E795" s="43"/>
      <c r="F795" s="43"/>
      <c r="G795" s="43"/>
      <c r="H795" s="44"/>
      <c r="I795" s="44"/>
      <c r="J795" s="44"/>
      <c r="K795" s="44"/>
    </row>
    <row r="796" spans="1:11" s="10" customFormat="1" ht="20.25" hidden="1" customHeight="1" x14ac:dyDescent="0.35">
      <c r="A796" s="45"/>
      <c r="B796" s="42"/>
      <c r="C796" s="42"/>
      <c r="D796" s="43"/>
      <c r="E796" s="43"/>
      <c r="F796" s="43"/>
      <c r="G796" s="43"/>
      <c r="H796" s="44"/>
      <c r="I796" s="44"/>
      <c r="J796" s="44"/>
      <c r="K796" s="44"/>
    </row>
    <row r="797" spans="1:11" s="10" customFormat="1" ht="20.25" hidden="1" customHeight="1" x14ac:dyDescent="0.35">
      <c r="A797" s="45"/>
      <c r="B797" s="42"/>
      <c r="C797" s="42"/>
      <c r="D797" s="43"/>
      <c r="E797" s="43"/>
      <c r="F797" s="43"/>
      <c r="G797" s="43"/>
      <c r="H797" s="44"/>
      <c r="I797" s="44"/>
      <c r="J797" s="44"/>
      <c r="K797" s="44"/>
    </row>
    <row r="798" spans="1:11" s="10" customFormat="1" ht="20.25" hidden="1" customHeight="1" x14ac:dyDescent="0.35">
      <c r="A798" s="45"/>
      <c r="B798" s="42"/>
      <c r="C798" s="42"/>
      <c r="D798" s="43"/>
      <c r="E798" s="43"/>
      <c r="F798" s="43"/>
      <c r="G798" s="43"/>
      <c r="H798" s="44"/>
      <c r="I798" s="44"/>
      <c r="J798" s="44"/>
      <c r="K798" s="44"/>
    </row>
    <row r="799" spans="1:11" s="10" customFormat="1" ht="20.25" hidden="1" customHeight="1" x14ac:dyDescent="0.35">
      <c r="A799" s="45"/>
      <c r="B799" s="42"/>
      <c r="C799" s="42"/>
      <c r="D799" s="43"/>
      <c r="E799" s="43"/>
      <c r="F799" s="43"/>
      <c r="G799" s="43"/>
      <c r="H799" s="44"/>
      <c r="I799" s="44"/>
      <c r="J799" s="44"/>
      <c r="K799" s="44"/>
    </row>
    <row r="800" spans="1:11" s="10" customFormat="1" ht="20.25" hidden="1" customHeight="1" x14ac:dyDescent="0.35">
      <c r="A800" s="45"/>
      <c r="B800" s="42"/>
      <c r="C800" s="42"/>
      <c r="D800" s="43"/>
      <c r="E800" s="43"/>
      <c r="F800" s="43"/>
      <c r="G800" s="43"/>
      <c r="H800" s="44"/>
      <c r="I800" s="44"/>
      <c r="J800" s="44"/>
      <c r="K800" s="44"/>
    </row>
    <row r="801" spans="1:11" s="10" customFormat="1" ht="20.25" hidden="1" customHeight="1" x14ac:dyDescent="0.35">
      <c r="A801" s="45"/>
      <c r="B801" s="42"/>
      <c r="C801" s="42"/>
      <c r="D801" s="43"/>
      <c r="E801" s="43"/>
      <c r="F801" s="43"/>
      <c r="G801" s="43"/>
      <c r="H801" s="44"/>
      <c r="I801" s="44"/>
      <c r="J801" s="44"/>
      <c r="K801" s="44"/>
    </row>
    <row r="802" spans="1:11" s="10" customFormat="1" ht="20.25" hidden="1" customHeight="1" x14ac:dyDescent="0.35">
      <c r="A802" s="45"/>
      <c r="B802" s="42"/>
      <c r="C802" s="42"/>
      <c r="D802" s="43"/>
      <c r="E802" s="43"/>
      <c r="F802" s="43"/>
      <c r="G802" s="43"/>
      <c r="H802" s="44"/>
      <c r="I802" s="44"/>
      <c r="J802" s="44"/>
      <c r="K802" s="44"/>
    </row>
    <row r="803" spans="1:11" s="10" customFormat="1" ht="20.25" hidden="1" customHeight="1" x14ac:dyDescent="0.35">
      <c r="A803" s="45"/>
      <c r="B803" s="42"/>
      <c r="C803" s="42"/>
      <c r="D803" s="43"/>
      <c r="E803" s="43"/>
      <c r="F803" s="43"/>
      <c r="G803" s="43"/>
      <c r="H803" s="44"/>
      <c r="I803" s="44"/>
      <c r="J803" s="44"/>
      <c r="K803" s="44"/>
    </row>
    <row r="804" spans="1:11" s="10" customFormat="1" ht="20.25" hidden="1" customHeight="1" x14ac:dyDescent="0.35">
      <c r="A804" s="45"/>
      <c r="B804" s="42"/>
      <c r="C804" s="42"/>
      <c r="D804" s="43"/>
      <c r="E804" s="43"/>
      <c r="F804" s="43"/>
      <c r="G804" s="43"/>
      <c r="H804" s="44"/>
      <c r="I804" s="44"/>
      <c r="J804" s="44"/>
      <c r="K804" s="44"/>
    </row>
    <row r="805" spans="1:11" s="10" customFormat="1" ht="20.25" hidden="1" customHeight="1" x14ac:dyDescent="0.35">
      <c r="A805" s="45"/>
      <c r="B805" s="42"/>
      <c r="C805" s="42"/>
      <c r="D805" s="43"/>
      <c r="E805" s="43"/>
      <c r="F805" s="43"/>
      <c r="G805" s="43"/>
      <c r="H805" s="44"/>
      <c r="I805" s="44"/>
      <c r="J805" s="44"/>
      <c r="K805" s="44"/>
    </row>
    <row r="806" spans="1:11" s="10" customFormat="1" ht="20.25" hidden="1" customHeight="1" x14ac:dyDescent="0.35">
      <c r="A806" s="45"/>
      <c r="B806" s="42"/>
      <c r="C806" s="42"/>
      <c r="D806" s="43"/>
      <c r="E806" s="43"/>
      <c r="F806" s="43"/>
      <c r="G806" s="43"/>
      <c r="H806" s="44"/>
      <c r="I806" s="44"/>
      <c r="J806" s="44"/>
      <c r="K806" s="44"/>
    </row>
    <row r="807" spans="1:11" s="10" customFormat="1" ht="20.25" hidden="1" customHeight="1" x14ac:dyDescent="0.35">
      <c r="A807" s="45"/>
      <c r="B807" s="42"/>
      <c r="C807" s="42"/>
      <c r="D807" s="43"/>
      <c r="E807" s="43"/>
      <c r="F807" s="43"/>
      <c r="G807" s="43"/>
      <c r="H807" s="44"/>
      <c r="I807" s="44"/>
      <c r="J807" s="44"/>
      <c r="K807" s="44"/>
    </row>
    <row r="808" spans="1:11" s="10" customFormat="1" ht="20.25" hidden="1" customHeight="1" x14ac:dyDescent="0.35">
      <c r="A808" s="45"/>
      <c r="B808" s="42"/>
      <c r="C808" s="42"/>
      <c r="D808" s="43"/>
      <c r="E808" s="43"/>
      <c r="F808" s="43"/>
      <c r="G808" s="43"/>
      <c r="H808" s="44"/>
      <c r="I808" s="44"/>
      <c r="J808" s="44"/>
      <c r="K808" s="44"/>
    </row>
    <row r="809" spans="1:11" s="10" customFormat="1" ht="20.25" hidden="1" customHeight="1" x14ac:dyDescent="0.35">
      <c r="A809" s="45"/>
      <c r="B809" s="42"/>
      <c r="C809" s="42"/>
      <c r="D809" s="43"/>
      <c r="E809" s="43"/>
      <c r="F809" s="43"/>
      <c r="G809" s="43"/>
      <c r="H809" s="44"/>
      <c r="I809" s="44"/>
      <c r="J809" s="44"/>
      <c r="K809" s="44"/>
    </row>
    <row r="810" spans="1:11" s="10" customFormat="1" ht="20.25" hidden="1" customHeight="1" x14ac:dyDescent="0.35">
      <c r="A810" s="45"/>
      <c r="B810" s="42"/>
      <c r="C810" s="42"/>
      <c r="D810" s="43"/>
      <c r="E810" s="43"/>
      <c r="F810" s="43"/>
      <c r="G810" s="43"/>
      <c r="H810" s="44"/>
      <c r="I810" s="44"/>
      <c r="J810" s="44"/>
      <c r="K810" s="44"/>
    </row>
    <row r="811" spans="1:11" s="10" customFormat="1" ht="20.25" hidden="1" customHeight="1" x14ac:dyDescent="0.35">
      <c r="A811" s="45"/>
      <c r="B811" s="42"/>
      <c r="C811" s="42"/>
      <c r="D811" s="43"/>
      <c r="E811" s="43"/>
      <c r="F811" s="43"/>
      <c r="G811" s="43"/>
      <c r="H811" s="44"/>
      <c r="I811" s="44"/>
      <c r="J811" s="44"/>
      <c r="K811" s="44"/>
    </row>
    <row r="812" spans="1:11" ht="20.25" hidden="1" customHeight="1" x14ac:dyDescent="0.35"/>
    <row r="813" spans="1:11" ht="20.25" hidden="1" customHeight="1" x14ac:dyDescent="0.35"/>
    <row r="814" spans="1:11" ht="20.25" hidden="1" customHeight="1" x14ac:dyDescent="0.35"/>
    <row r="815" spans="1:11" ht="20.25" hidden="1" customHeight="1" x14ac:dyDescent="0.35"/>
    <row r="816" spans="1:11" ht="20.25" hidden="1" customHeight="1" x14ac:dyDescent="0.35"/>
    <row r="817" spans="2:21" ht="20.25" hidden="1" customHeight="1" x14ac:dyDescent="0.35"/>
    <row r="818" spans="2:21" ht="20.25" hidden="1" customHeight="1" x14ac:dyDescent="0.35"/>
    <row r="819" spans="2:21" ht="20.25" hidden="1" customHeight="1" x14ac:dyDescent="0.35"/>
    <row r="820" spans="2:21" s="7" customFormat="1" ht="20.25" hidden="1" customHeight="1" x14ac:dyDescent="0.35">
      <c r="B820" s="22"/>
      <c r="C820" s="22"/>
      <c r="D820" s="23"/>
      <c r="E820" s="23"/>
      <c r="F820" s="23"/>
      <c r="G820" s="23"/>
      <c r="H820" s="24"/>
      <c r="I820" s="24"/>
      <c r="J820" s="24"/>
      <c r="K820" s="24"/>
      <c r="L820" s="9"/>
      <c r="M820" s="10"/>
      <c r="N820" s="10"/>
      <c r="O820" s="10"/>
      <c r="P820" s="10"/>
      <c r="Q820" s="10"/>
      <c r="R820" s="10"/>
      <c r="S820" s="10"/>
      <c r="T820" s="10"/>
      <c r="U820" s="10"/>
    </row>
    <row r="821" spans="2:21" s="7" customFormat="1" ht="20.25" hidden="1" customHeight="1" x14ac:dyDescent="0.35">
      <c r="B821" s="22"/>
      <c r="C821" s="22"/>
      <c r="D821" s="23"/>
      <c r="E821" s="23"/>
      <c r="F821" s="23"/>
      <c r="G821" s="23"/>
      <c r="H821" s="24"/>
      <c r="I821" s="24"/>
      <c r="J821" s="24"/>
      <c r="K821" s="24"/>
      <c r="L821" s="9"/>
      <c r="M821" s="10"/>
      <c r="N821" s="10"/>
      <c r="O821" s="10"/>
      <c r="P821" s="10"/>
      <c r="Q821" s="10"/>
      <c r="R821" s="10"/>
      <c r="S821" s="10"/>
      <c r="T821" s="10"/>
      <c r="U821" s="10"/>
    </row>
    <row r="822" spans="2:21" s="7" customFormat="1" ht="20.25" hidden="1" customHeight="1" x14ac:dyDescent="0.35">
      <c r="B822" s="22"/>
      <c r="C822" s="22"/>
      <c r="D822" s="23"/>
      <c r="E822" s="23"/>
      <c r="F822" s="23"/>
      <c r="G822" s="23"/>
      <c r="H822" s="24"/>
      <c r="I822" s="24"/>
      <c r="J822" s="24"/>
      <c r="K822" s="24"/>
      <c r="L822" s="9"/>
      <c r="M822" s="10"/>
      <c r="N822" s="10"/>
      <c r="O822" s="10"/>
      <c r="P822" s="10"/>
      <c r="Q822" s="10"/>
      <c r="R822" s="10"/>
      <c r="S822" s="10"/>
      <c r="T822" s="10"/>
      <c r="U822" s="10"/>
    </row>
    <row r="823" spans="2:21" s="7" customFormat="1" ht="20.25" hidden="1" customHeight="1" x14ac:dyDescent="0.35">
      <c r="B823" s="22"/>
      <c r="C823" s="22"/>
      <c r="D823" s="23"/>
      <c r="E823" s="23"/>
      <c r="F823" s="23"/>
      <c r="G823" s="23"/>
      <c r="H823" s="24"/>
      <c r="I823" s="24"/>
      <c r="J823" s="24"/>
      <c r="K823" s="24"/>
      <c r="L823" s="9"/>
      <c r="M823" s="10"/>
      <c r="N823" s="10"/>
      <c r="O823" s="10"/>
      <c r="P823" s="10"/>
      <c r="Q823" s="10"/>
      <c r="R823" s="10"/>
      <c r="S823" s="10"/>
      <c r="T823" s="10"/>
      <c r="U823" s="10"/>
    </row>
  </sheetData>
  <autoFilter ref="B2:K106" xr:uid="{9423F033-AB78-4D36-B39E-D7BFAA27A4BB}"/>
  <hyperlinks>
    <hyperlink ref="A759" r:id="rId1" xr:uid="{B6F25766-1EC6-4387-88E3-EE6A6FC0DC05}"/>
  </hyperlinks>
  <printOptions horizontalCentered="1"/>
  <pageMargins left="0.39370078740157483" right="0.39370078740157483" top="0.78740157480314965" bottom="0.78740157480314965" header="0" footer="0"/>
  <pageSetup scale="65" orientation="landscape" r:id="rId2"/>
  <headerFooter alignWithMargins="0"/>
  <rowBreaks count="1" manualBreakCount="1">
    <brk id="772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6DF4-DA9A-4CB9-BFAF-12F0375494B7}">
  <dimension ref="A1:DZ926"/>
  <sheetViews>
    <sheetView showGridLines="0" topLeftCell="A2" zoomScale="75" zoomScaleNormal="75" zoomScaleSheetLayoutView="100" workbookViewId="0">
      <pane xSplit="2" ySplit="1" topLeftCell="C844" activePane="bottomRight" state="frozen"/>
      <selection activeCell="C1" sqref="C1:C1048576"/>
      <selection pane="topRight" activeCell="C1" sqref="C1:C1048576"/>
      <selection pane="bottomLeft" activeCell="C1" sqref="C1:C1048576"/>
      <selection pane="bottomRight" activeCell="G858" sqref="G858"/>
    </sheetView>
  </sheetViews>
  <sheetFormatPr baseColWidth="10" defaultColWidth="11.453125" defaultRowHeight="0" customHeight="1" zeroHeight="1" x14ac:dyDescent="0.35"/>
  <cols>
    <col min="1" max="1" width="1.6328125" style="7" customWidth="1"/>
    <col min="2" max="2" width="18.54296875" style="22" customWidth="1"/>
    <col min="3" max="3" width="20.08984375" style="22" customWidth="1"/>
    <col min="4" max="4" width="8.08984375" style="22" customWidth="1"/>
    <col min="5" max="5" width="19.08984375" style="22" customWidth="1"/>
    <col min="6" max="6" width="18.08984375" style="23" customWidth="1"/>
    <col min="7" max="7" width="18.54296875" style="23" customWidth="1"/>
    <col min="8" max="8" width="37.453125" style="24" customWidth="1"/>
    <col min="9" max="9" width="14.6328125" style="9" customWidth="1"/>
    <col min="10" max="10" width="16.453125" style="10" customWidth="1"/>
    <col min="11" max="18" width="42.6328125" style="10" customWidth="1"/>
    <col min="19" max="22" width="42.6328125" style="9" customWidth="1"/>
    <col min="23" max="30" width="20.08984375" style="9" customWidth="1"/>
    <col min="31" max="35" width="6.08984375" style="9" customWidth="1"/>
    <col min="36" max="37" width="11.453125" style="9" customWidth="1"/>
    <col min="38" max="16384" width="11.453125" style="9"/>
  </cols>
  <sheetData>
    <row r="1" spans="1:18" ht="91.5" customHeight="1" x14ac:dyDescent="0.35">
      <c r="B1" s="1"/>
      <c r="C1" s="8" t="s">
        <v>6200</v>
      </c>
      <c r="D1" s="1"/>
      <c r="E1" s="1"/>
      <c r="F1" s="1"/>
      <c r="G1" s="1"/>
      <c r="H1" s="7"/>
    </row>
    <row r="2" spans="1:18" s="14" customFormat="1" ht="79.5" customHeight="1" x14ac:dyDescent="0.35">
      <c r="A2" s="11"/>
      <c r="B2" s="2" t="s">
        <v>0</v>
      </c>
      <c r="C2" s="2" t="s">
        <v>2548</v>
      </c>
      <c r="D2" s="2" t="s">
        <v>859</v>
      </c>
      <c r="E2" s="2" t="s">
        <v>1689</v>
      </c>
      <c r="F2" s="4" t="s">
        <v>862</v>
      </c>
      <c r="G2" s="4" t="s">
        <v>3407</v>
      </c>
      <c r="H2" s="5" t="s">
        <v>6301</v>
      </c>
      <c r="I2" s="12"/>
      <c r="J2" s="13"/>
      <c r="K2" s="13"/>
      <c r="L2" s="13"/>
      <c r="M2" s="13"/>
      <c r="N2" s="13"/>
      <c r="O2" s="13"/>
      <c r="P2" s="13"/>
      <c r="Q2" s="13"/>
      <c r="R2" s="13"/>
    </row>
    <row r="3" spans="1:18" ht="15.75" customHeight="1" x14ac:dyDescent="0.35">
      <c r="A3" s="15"/>
      <c r="B3" s="3" t="s">
        <v>1</v>
      </c>
      <c r="C3" s="3" t="s">
        <v>2549</v>
      </c>
      <c r="D3" s="3" t="s">
        <v>860</v>
      </c>
      <c r="E3" s="3" t="s">
        <v>1690</v>
      </c>
      <c r="F3" s="3" t="s">
        <v>863</v>
      </c>
      <c r="G3" s="3" t="s">
        <v>3408</v>
      </c>
      <c r="H3" s="6">
        <v>102001.85339999999</v>
      </c>
      <c r="I3" s="18"/>
    </row>
    <row r="4" spans="1:18" ht="15.75" customHeight="1" x14ac:dyDescent="0.35">
      <c r="A4" s="15"/>
      <c r="B4" s="3" t="s">
        <v>2</v>
      </c>
      <c r="C4" s="3" t="s">
        <v>2550</v>
      </c>
      <c r="D4" s="3" t="s">
        <v>860</v>
      </c>
      <c r="E4" s="3" t="s">
        <v>1691</v>
      </c>
      <c r="F4" s="3" t="s">
        <v>864</v>
      </c>
      <c r="G4" s="3" t="s">
        <v>3409</v>
      </c>
      <c r="H4" s="6">
        <v>28471.423999999995</v>
      </c>
      <c r="I4" s="18"/>
    </row>
    <row r="5" spans="1:18" ht="15.75" customHeight="1" x14ac:dyDescent="0.35">
      <c r="A5" s="15"/>
      <c r="B5" s="3" t="s">
        <v>3</v>
      </c>
      <c r="C5" s="3" t="s">
        <v>2551</v>
      </c>
      <c r="D5" s="3" t="s">
        <v>860</v>
      </c>
      <c r="E5" s="3" t="s">
        <v>1692</v>
      </c>
      <c r="F5" s="3" t="s">
        <v>865</v>
      </c>
      <c r="G5" s="3" t="s">
        <v>3410</v>
      </c>
      <c r="H5" s="6">
        <v>35868.351999999999</v>
      </c>
      <c r="I5" s="18"/>
    </row>
    <row r="6" spans="1:18" ht="15.75" customHeight="1" x14ac:dyDescent="0.35">
      <c r="A6" s="15"/>
      <c r="B6" s="3" t="s">
        <v>4</v>
      </c>
      <c r="C6" s="3" t="s">
        <v>2552</v>
      </c>
      <c r="D6" s="3" t="s">
        <v>861</v>
      </c>
      <c r="E6" s="3" t="s">
        <v>1693</v>
      </c>
      <c r="F6" s="3" t="s">
        <v>866</v>
      </c>
      <c r="G6" s="3" t="s">
        <v>3411</v>
      </c>
      <c r="H6" s="6">
        <v>20520.608</v>
      </c>
      <c r="I6" s="18"/>
    </row>
    <row r="7" spans="1:18" ht="15.75" customHeight="1" x14ac:dyDescent="0.35">
      <c r="A7" s="15"/>
      <c r="B7" s="3" t="s">
        <v>5</v>
      </c>
      <c r="C7" s="3" t="s">
        <v>2553</v>
      </c>
      <c r="D7" s="3" t="s">
        <v>861</v>
      </c>
      <c r="E7" s="3" t="s">
        <v>1694</v>
      </c>
      <c r="F7" s="3" t="s">
        <v>867</v>
      </c>
      <c r="G7" s="3" t="s">
        <v>3412</v>
      </c>
      <c r="H7" s="6">
        <v>22930.111999999997</v>
      </c>
      <c r="I7" s="18"/>
    </row>
    <row r="8" spans="1:18" ht="15.75" customHeight="1" x14ac:dyDescent="0.35">
      <c r="A8" s="15"/>
      <c r="B8" s="3" t="s">
        <v>6</v>
      </c>
      <c r="C8" s="3" t="s">
        <v>2554</v>
      </c>
      <c r="D8" s="3" t="s">
        <v>861</v>
      </c>
      <c r="E8" s="3" t="s">
        <v>1695</v>
      </c>
      <c r="F8" s="3" t="s">
        <v>868</v>
      </c>
      <c r="G8" s="3" t="s">
        <v>3413</v>
      </c>
      <c r="H8" s="6">
        <v>67817.536000000007</v>
      </c>
      <c r="I8" s="18"/>
    </row>
    <row r="9" spans="1:18" ht="15.75" customHeight="1" x14ac:dyDescent="0.35">
      <c r="A9" s="15"/>
      <c r="B9" s="3" t="s">
        <v>7</v>
      </c>
      <c r="C9" s="3" t="s">
        <v>2555</v>
      </c>
      <c r="D9" s="3" t="s">
        <v>860</v>
      </c>
      <c r="E9" s="3" t="s">
        <v>1696</v>
      </c>
      <c r="F9" s="3" t="s">
        <v>869</v>
      </c>
      <c r="G9" s="3" t="s">
        <v>6201</v>
      </c>
      <c r="H9" s="6">
        <v>29732.415999999997</v>
      </c>
      <c r="I9" s="18"/>
    </row>
    <row r="10" spans="1:18" ht="15.75" customHeight="1" x14ac:dyDescent="0.35">
      <c r="A10" s="15"/>
      <c r="B10" s="3" t="s">
        <v>8</v>
      </c>
      <c r="C10" s="3" t="s">
        <v>2556</v>
      </c>
      <c r="D10" s="3" t="s">
        <v>860</v>
      </c>
      <c r="E10" s="3" t="s">
        <v>1697</v>
      </c>
      <c r="F10" s="3" t="s">
        <v>870</v>
      </c>
      <c r="G10" s="3" t="s">
        <v>3414</v>
      </c>
      <c r="H10" s="6">
        <v>26341.599999999999</v>
      </c>
      <c r="I10" s="18"/>
    </row>
    <row r="11" spans="1:18" ht="15.75" customHeight="1" x14ac:dyDescent="0.35">
      <c r="A11" s="15"/>
      <c r="B11" s="3" t="s">
        <v>9</v>
      </c>
      <c r="C11" s="3" t="s">
        <v>2557</v>
      </c>
      <c r="D11" s="3" t="s">
        <v>861</v>
      </c>
      <c r="E11" s="3" t="s">
        <v>1698</v>
      </c>
      <c r="F11" s="3" t="s">
        <v>871</v>
      </c>
      <c r="G11" s="3" t="s">
        <v>6202</v>
      </c>
      <c r="H11" s="6">
        <v>14131.135999999999</v>
      </c>
      <c r="I11" s="18"/>
    </row>
    <row r="12" spans="1:18" ht="15.75" customHeight="1" x14ac:dyDescent="0.35">
      <c r="A12" s="15"/>
      <c r="B12" s="3" t="s">
        <v>10</v>
      </c>
      <c r="C12" s="3" t="s">
        <v>2558</v>
      </c>
      <c r="D12" s="3" t="s">
        <v>861</v>
      </c>
      <c r="E12" s="3" t="s">
        <v>1699</v>
      </c>
      <c r="F12" s="3" t="s">
        <v>872</v>
      </c>
      <c r="G12" s="3" t="s">
        <v>3415</v>
      </c>
      <c r="H12" s="6">
        <v>58575.457252693333</v>
      </c>
      <c r="I12" s="18"/>
    </row>
    <row r="13" spans="1:18" ht="15.75" customHeight="1" x14ac:dyDescent="0.35">
      <c r="A13" s="15"/>
      <c r="B13" s="3" t="s">
        <v>11</v>
      </c>
      <c r="C13" s="3" t="s">
        <v>2559</v>
      </c>
      <c r="D13" s="3" t="s">
        <v>861</v>
      </c>
      <c r="E13" s="3" t="s">
        <v>1700</v>
      </c>
      <c r="F13" s="3" t="s">
        <v>873</v>
      </c>
      <c r="G13" s="3" t="s">
        <v>3416</v>
      </c>
      <c r="H13" s="6">
        <v>41618.815999999999</v>
      </c>
      <c r="I13" s="18"/>
    </row>
    <row r="14" spans="1:18" ht="15.75" customHeight="1" x14ac:dyDescent="0.35">
      <c r="A14" s="15"/>
      <c r="B14" s="3" t="s">
        <v>12</v>
      </c>
      <c r="C14" s="3" t="s">
        <v>2560</v>
      </c>
      <c r="D14" s="3" t="s">
        <v>861</v>
      </c>
      <c r="E14" s="3" t="s">
        <v>1701</v>
      </c>
      <c r="F14" s="3" t="s">
        <v>874</v>
      </c>
      <c r="G14" s="3" t="s">
        <v>6203</v>
      </c>
      <c r="H14" s="6">
        <v>20493.248</v>
      </c>
      <c r="I14" s="18"/>
    </row>
    <row r="15" spans="1:18" ht="15.75" customHeight="1" x14ac:dyDescent="0.35">
      <c r="A15" s="15"/>
      <c r="B15" s="3" t="s">
        <v>13</v>
      </c>
      <c r="C15" s="3" t="s">
        <v>2561</v>
      </c>
      <c r="D15" s="3" t="s">
        <v>860</v>
      </c>
      <c r="E15" s="3" t="s">
        <v>1702</v>
      </c>
      <c r="F15" s="3" t="s">
        <v>875</v>
      </c>
      <c r="G15" s="3" t="s">
        <v>3417</v>
      </c>
      <c r="H15" s="6">
        <v>102353.152</v>
      </c>
      <c r="I15" s="18"/>
    </row>
    <row r="16" spans="1:18" ht="15.75" customHeight="1" x14ac:dyDescent="0.35">
      <c r="A16" s="15"/>
      <c r="B16" s="3" t="s">
        <v>14</v>
      </c>
      <c r="C16" s="3" t="s">
        <v>2562</v>
      </c>
      <c r="D16" s="3" t="s">
        <v>861</v>
      </c>
      <c r="E16" s="3" t="s">
        <v>1703</v>
      </c>
      <c r="F16" s="3" t="s">
        <v>876</v>
      </c>
      <c r="G16" s="3" t="s">
        <v>3418</v>
      </c>
      <c r="H16" s="6">
        <v>42363.007999999994</v>
      </c>
      <c r="I16" s="18"/>
    </row>
    <row r="17" spans="1:9" ht="15.75" customHeight="1" x14ac:dyDescent="0.35">
      <c r="A17" s="15"/>
      <c r="B17" s="3" t="s">
        <v>15</v>
      </c>
      <c r="C17" s="3" t="s">
        <v>2563</v>
      </c>
      <c r="D17" s="3" t="s">
        <v>861</v>
      </c>
      <c r="E17" s="3" t="s">
        <v>1704</v>
      </c>
      <c r="F17" s="3" t="s">
        <v>877</v>
      </c>
      <c r="G17" s="3" t="s">
        <v>3418</v>
      </c>
      <c r="H17" s="6">
        <v>30645.632000000001</v>
      </c>
      <c r="I17" s="18"/>
    </row>
    <row r="18" spans="1:9" ht="15.75" customHeight="1" x14ac:dyDescent="0.35">
      <c r="A18" s="15"/>
      <c r="B18" s="3" t="s">
        <v>16</v>
      </c>
      <c r="C18" s="3" t="s">
        <v>2564</v>
      </c>
      <c r="D18" s="3" t="s">
        <v>860</v>
      </c>
      <c r="E18" s="3" t="s">
        <v>1705</v>
      </c>
      <c r="F18" s="3" t="s">
        <v>878</v>
      </c>
      <c r="G18" s="3" t="s">
        <v>5704</v>
      </c>
      <c r="H18" s="6">
        <v>43574.752</v>
      </c>
      <c r="I18" s="18"/>
    </row>
    <row r="19" spans="1:9" ht="15.75" customHeight="1" x14ac:dyDescent="0.35">
      <c r="A19" s="15"/>
      <c r="B19" s="3" t="s">
        <v>17</v>
      </c>
      <c r="C19" s="3" t="s">
        <v>2565</v>
      </c>
      <c r="D19" s="3" t="s">
        <v>861</v>
      </c>
      <c r="E19" s="3" t="s">
        <v>1706</v>
      </c>
      <c r="F19" s="3" t="s">
        <v>879</v>
      </c>
      <c r="G19" s="3" t="s">
        <v>3419</v>
      </c>
      <c r="H19" s="6">
        <v>42729.631999999998</v>
      </c>
      <c r="I19" s="18"/>
    </row>
    <row r="20" spans="1:9" ht="15.75" customHeight="1" x14ac:dyDescent="0.35">
      <c r="A20" s="15"/>
      <c r="B20" s="3" t="s">
        <v>18</v>
      </c>
      <c r="C20" s="3" t="s">
        <v>2566</v>
      </c>
      <c r="D20" s="3" t="s">
        <v>860</v>
      </c>
      <c r="E20" s="3" t="s">
        <v>1707</v>
      </c>
      <c r="F20" s="3" t="s">
        <v>880</v>
      </c>
      <c r="G20" s="3" t="s">
        <v>3420</v>
      </c>
      <c r="H20" s="6">
        <v>29392.543999999998</v>
      </c>
      <c r="I20" s="18"/>
    </row>
    <row r="21" spans="1:9" ht="15.75" customHeight="1" x14ac:dyDescent="0.35">
      <c r="A21" s="15"/>
      <c r="B21" s="3" t="s">
        <v>19</v>
      </c>
      <c r="C21" s="3" t="s">
        <v>2567</v>
      </c>
      <c r="D21" s="3" t="s">
        <v>861</v>
      </c>
      <c r="E21" s="3" t="s">
        <v>1708</v>
      </c>
      <c r="F21" s="3" t="s">
        <v>881</v>
      </c>
      <c r="G21" s="3" t="s">
        <v>3421</v>
      </c>
      <c r="H21" s="6">
        <v>13568.127999999999</v>
      </c>
      <c r="I21" s="18"/>
    </row>
    <row r="22" spans="1:9" ht="15.75" customHeight="1" x14ac:dyDescent="0.35">
      <c r="A22" s="15"/>
      <c r="B22" s="3" t="s">
        <v>20</v>
      </c>
      <c r="C22" s="3" t="s">
        <v>2568</v>
      </c>
      <c r="D22" s="3" t="s">
        <v>861</v>
      </c>
      <c r="E22" s="3" t="s">
        <v>1709</v>
      </c>
      <c r="F22" s="3" t="s">
        <v>882</v>
      </c>
      <c r="G22" s="3" t="s">
        <v>3422</v>
      </c>
      <c r="H22" s="6">
        <v>31671.935999999994</v>
      </c>
      <c r="I22" s="18"/>
    </row>
    <row r="23" spans="1:9" ht="15.75" customHeight="1" x14ac:dyDescent="0.35">
      <c r="A23" s="15"/>
      <c r="B23" s="3" t="s">
        <v>21</v>
      </c>
      <c r="C23" s="3" t="s">
        <v>2569</v>
      </c>
      <c r="D23" s="3" t="s">
        <v>860</v>
      </c>
      <c r="E23" s="3" t="s">
        <v>1710</v>
      </c>
      <c r="F23" s="3" t="s">
        <v>883</v>
      </c>
      <c r="G23" s="3" t="s">
        <v>3423</v>
      </c>
      <c r="H23" s="6">
        <v>28784.543999999998</v>
      </c>
      <c r="I23" s="18"/>
    </row>
    <row r="24" spans="1:9" ht="15.75" customHeight="1" x14ac:dyDescent="0.35">
      <c r="A24" s="15"/>
      <c r="B24" s="3" t="s">
        <v>22</v>
      </c>
      <c r="C24" s="3" t="s">
        <v>2570</v>
      </c>
      <c r="D24" s="3" t="s">
        <v>860</v>
      </c>
      <c r="E24" s="3" t="s">
        <v>1711</v>
      </c>
      <c r="F24" s="3" t="s">
        <v>884</v>
      </c>
      <c r="G24" s="3" t="s">
        <v>3424</v>
      </c>
      <c r="H24" s="6">
        <v>90078.847999999998</v>
      </c>
      <c r="I24" s="18"/>
    </row>
    <row r="25" spans="1:9" ht="15.75" customHeight="1" x14ac:dyDescent="0.35">
      <c r="A25" s="15"/>
      <c r="B25" s="3" t="s">
        <v>23</v>
      </c>
      <c r="C25" s="3" t="s">
        <v>2571</v>
      </c>
      <c r="D25" s="3" t="s">
        <v>861</v>
      </c>
      <c r="E25" s="3" t="s">
        <v>1712</v>
      </c>
      <c r="F25" s="3" t="s">
        <v>885</v>
      </c>
      <c r="G25" s="3" t="s">
        <v>3425</v>
      </c>
      <c r="H25" s="6">
        <v>16665.887999999999</v>
      </c>
      <c r="I25" s="18"/>
    </row>
    <row r="26" spans="1:9" ht="15.75" customHeight="1" x14ac:dyDescent="0.35">
      <c r="A26" s="15"/>
      <c r="B26" s="3" t="s">
        <v>24</v>
      </c>
      <c r="C26" s="3" t="s">
        <v>2572</v>
      </c>
      <c r="D26" s="3" t="s">
        <v>860</v>
      </c>
      <c r="E26" s="3" t="s">
        <v>1713</v>
      </c>
      <c r="F26" s="3" t="s">
        <v>886</v>
      </c>
      <c r="G26" s="3" t="s">
        <v>5428</v>
      </c>
      <c r="H26" s="6">
        <v>91032.191999999995</v>
      </c>
      <c r="I26" s="18"/>
    </row>
    <row r="27" spans="1:9" ht="15.75" customHeight="1" x14ac:dyDescent="0.35">
      <c r="A27" s="15"/>
      <c r="B27" s="3" t="s">
        <v>25</v>
      </c>
      <c r="C27" s="3" t="s">
        <v>2573</v>
      </c>
      <c r="D27" s="3" t="s">
        <v>861</v>
      </c>
      <c r="E27" s="3" t="s">
        <v>1714</v>
      </c>
      <c r="F27" s="3" t="s">
        <v>887</v>
      </c>
      <c r="G27" s="3" t="s">
        <v>3426</v>
      </c>
      <c r="H27" s="6">
        <v>66099.328000000009</v>
      </c>
      <c r="I27" s="18"/>
    </row>
    <row r="28" spans="1:9" ht="15.75" customHeight="1" x14ac:dyDescent="0.35">
      <c r="A28" s="15"/>
      <c r="B28" s="3" t="s">
        <v>26</v>
      </c>
      <c r="C28" s="3" t="s">
        <v>2574</v>
      </c>
      <c r="D28" s="3" t="s">
        <v>861</v>
      </c>
      <c r="E28" s="3" t="s">
        <v>1715</v>
      </c>
      <c r="F28" s="3" t="s">
        <v>888</v>
      </c>
      <c r="G28" s="3" t="s">
        <v>3427</v>
      </c>
      <c r="H28" s="6">
        <v>15697.343999999999</v>
      </c>
      <c r="I28" s="18"/>
    </row>
    <row r="29" spans="1:9" ht="15.75" customHeight="1" x14ac:dyDescent="0.35">
      <c r="A29" s="15"/>
      <c r="B29" s="3" t="s">
        <v>27</v>
      </c>
      <c r="C29" s="3" t="s">
        <v>2575</v>
      </c>
      <c r="D29" s="3" t="s">
        <v>860</v>
      </c>
      <c r="E29" s="3" t="s">
        <v>1716</v>
      </c>
      <c r="F29" s="3" t="s">
        <v>889</v>
      </c>
      <c r="G29" s="3" t="s">
        <v>3427</v>
      </c>
      <c r="H29" s="6">
        <v>11734.4</v>
      </c>
      <c r="I29" s="18"/>
    </row>
    <row r="30" spans="1:9" ht="15.75" customHeight="1" x14ac:dyDescent="0.35">
      <c r="A30" s="15"/>
      <c r="B30" s="3" t="s">
        <v>28</v>
      </c>
      <c r="C30" s="3" t="s">
        <v>2576</v>
      </c>
      <c r="D30" s="3" t="s">
        <v>861</v>
      </c>
      <c r="E30" s="3" t="s">
        <v>1717</v>
      </c>
      <c r="F30" s="3" t="s">
        <v>890</v>
      </c>
      <c r="G30" s="3" t="s">
        <v>3428</v>
      </c>
      <c r="H30" s="6">
        <v>30938.687999999998</v>
      </c>
      <c r="I30" s="18"/>
    </row>
    <row r="31" spans="1:9" ht="15.75" customHeight="1" x14ac:dyDescent="0.35">
      <c r="A31" s="15"/>
      <c r="B31" s="3" t="s">
        <v>29</v>
      </c>
      <c r="C31" s="3" t="s">
        <v>2577</v>
      </c>
      <c r="D31" s="3" t="s">
        <v>861</v>
      </c>
      <c r="E31" s="3" t="s">
        <v>1718</v>
      </c>
      <c r="F31" s="3" t="s">
        <v>891</v>
      </c>
      <c r="G31" s="3" t="s">
        <v>6008</v>
      </c>
      <c r="H31" s="6">
        <v>19091.2</v>
      </c>
      <c r="I31" s="18"/>
    </row>
    <row r="32" spans="1:9" ht="15.75" customHeight="1" x14ac:dyDescent="0.35">
      <c r="A32" s="15"/>
      <c r="B32" s="3" t="s">
        <v>30</v>
      </c>
      <c r="C32" s="3" t="s">
        <v>2578</v>
      </c>
      <c r="D32" s="3" t="s">
        <v>861</v>
      </c>
      <c r="E32" s="3" t="s">
        <v>1719</v>
      </c>
      <c r="F32" s="3" t="s">
        <v>892</v>
      </c>
      <c r="G32" s="3" t="s">
        <v>3429</v>
      </c>
      <c r="H32" s="6">
        <v>105278.23999999999</v>
      </c>
      <c r="I32" s="18"/>
    </row>
    <row r="33" spans="1:9" ht="15.75" customHeight="1" x14ac:dyDescent="0.35">
      <c r="A33" s="15"/>
      <c r="B33" s="3" t="s">
        <v>31</v>
      </c>
      <c r="C33" s="3" t="s">
        <v>2579</v>
      </c>
      <c r="D33" s="3" t="s">
        <v>861</v>
      </c>
      <c r="E33" s="3" t="s">
        <v>1720</v>
      </c>
      <c r="F33" s="3" t="s">
        <v>893</v>
      </c>
      <c r="G33" s="3" t="s">
        <v>3430</v>
      </c>
      <c r="H33" s="6">
        <v>28461.088</v>
      </c>
      <c r="I33" s="18"/>
    </row>
    <row r="34" spans="1:9" ht="15.75" customHeight="1" x14ac:dyDescent="0.35">
      <c r="A34" s="15"/>
      <c r="B34" s="3" t="s">
        <v>32</v>
      </c>
      <c r="C34" s="3" t="s">
        <v>2580</v>
      </c>
      <c r="D34" s="3" t="s">
        <v>861</v>
      </c>
      <c r="E34" s="3" t="s">
        <v>1721</v>
      </c>
      <c r="F34" s="3" t="s">
        <v>894</v>
      </c>
      <c r="G34" s="3" t="s">
        <v>3431</v>
      </c>
      <c r="H34" s="6">
        <v>15919.871999999998</v>
      </c>
      <c r="I34" s="18"/>
    </row>
    <row r="35" spans="1:9" ht="15.75" customHeight="1" x14ac:dyDescent="0.35">
      <c r="A35" s="15"/>
      <c r="B35" s="3" t="s">
        <v>33</v>
      </c>
      <c r="C35" s="3" t="s">
        <v>2581</v>
      </c>
      <c r="D35" s="3" t="s">
        <v>860</v>
      </c>
      <c r="E35" s="3" t="s">
        <v>1722</v>
      </c>
      <c r="F35" s="3" t="s">
        <v>895</v>
      </c>
      <c r="G35" s="3" t="s">
        <v>3432</v>
      </c>
      <c r="H35" s="6">
        <v>46550.458379306656</v>
      </c>
      <c r="I35" s="18"/>
    </row>
    <row r="36" spans="1:9" ht="15.75" customHeight="1" x14ac:dyDescent="0.35">
      <c r="A36" s="15"/>
      <c r="B36" s="3" t="s">
        <v>34</v>
      </c>
      <c r="C36" s="3" t="s">
        <v>2582</v>
      </c>
      <c r="D36" s="3" t="s">
        <v>860</v>
      </c>
      <c r="E36" s="3" t="s">
        <v>1723</v>
      </c>
      <c r="F36" s="3" t="s">
        <v>896</v>
      </c>
      <c r="G36" s="3" t="s">
        <v>3433</v>
      </c>
      <c r="H36" s="6">
        <v>96753.471999999994</v>
      </c>
      <c r="I36" s="18"/>
    </row>
    <row r="37" spans="1:9" ht="15.75" customHeight="1" x14ac:dyDescent="0.35">
      <c r="A37" s="15"/>
      <c r="B37" s="3" t="s">
        <v>35</v>
      </c>
      <c r="C37" s="3" t="s">
        <v>2583</v>
      </c>
      <c r="D37" s="3" t="s">
        <v>861</v>
      </c>
      <c r="E37" s="3" t="s">
        <v>1724</v>
      </c>
      <c r="F37" s="3" t="s">
        <v>897</v>
      </c>
      <c r="G37" s="3" t="s">
        <v>3434</v>
      </c>
      <c r="H37" s="6">
        <v>68173.216</v>
      </c>
      <c r="I37" s="18"/>
    </row>
    <row r="38" spans="1:9" ht="15.75" customHeight="1" x14ac:dyDescent="0.35">
      <c r="A38" s="15"/>
      <c r="B38" s="3" t="s">
        <v>36</v>
      </c>
      <c r="C38" s="3" t="s">
        <v>2584</v>
      </c>
      <c r="D38" s="3" t="s">
        <v>861</v>
      </c>
      <c r="E38" s="3" t="s">
        <v>1725</v>
      </c>
      <c r="F38" s="3" t="s">
        <v>898</v>
      </c>
      <c r="G38" s="3" t="s">
        <v>6204</v>
      </c>
      <c r="H38" s="6">
        <v>93717.728000000003</v>
      </c>
      <c r="I38" s="18"/>
    </row>
    <row r="39" spans="1:9" ht="15.75" customHeight="1" x14ac:dyDescent="0.35">
      <c r="A39" s="15"/>
      <c r="B39" s="3" t="s">
        <v>37</v>
      </c>
      <c r="C39" s="3" t="s">
        <v>2585</v>
      </c>
      <c r="D39" s="3" t="s">
        <v>860</v>
      </c>
      <c r="E39" s="3" t="s">
        <v>1726</v>
      </c>
      <c r="F39" s="3" t="s">
        <v>899</v>
      </c>
      <c r="G39" s="3" t="s">
        <v>3440</v>
      </c>
      <c r="H39" s="6">
        <v>44573.087999999996</v>
      </c>
      <c r="I39" s="18"/>
    </row>
    <row r="40" spans="1:9" ht="15.75" customHeight="1" x14ac:dyDescent="0.35">
      <c r="A40" s="15"/>
      <c r="B40" s="3" t="s">
        <v>38</v>
      </c>
      <c r="C40" s="3" t="s">
        <v>2586</v>
      </c>
      <c r="D40" s="3" t="s">
        <v>861</v>
      </c>
      <c r="E40" s="3" t="s">
        <v>1727</v>
      </c>
      <c r="F40" s="3" t="s">
        <v>900</v>
      </c>
      <c r="G40" s="3" t="s">
        <v>3441</v>
      </c>
      <c r="H40" s="6">
        <v>28585.727999999999</v>
      </c>
      <c r="I40" s="18"/>
    </row>
    <row r="41" spans="1:9" ht="15.75" customHeight="1" x14ac:dyDescent="0.35">
      <c r="A41" s="15"/>
      <c r="B41" s="3" t="s">
        <v>39</v>
      </c>
      <c r="C41" s="3" t="s">
        <v>2587</v>
      </c>
      <c r="D41" s="3" t="s">
        <v>860</v>
      </c>
      <c r="E41" s="3" t="s">
        <v>1728</v>
      </c>
      <c r="F41" s="3" t="s">
        <v>901</v>
      </c>
      <c r="G41" s="3" t="s">
        <v>3442</v>
      </c>
      <c r="H41" s="6">
        <v>24751.071999999996</v>
      </c>
      <c r="I41" s="18"/>
    </row>
    <row r="42" spans="1:9" ht="15.75" customHeight="1" x14ac:dyDescent="0.35">
      <c r="A42" s="15"/>
      <c r="B42" s="3" t="s">
        <v>40</v>
      </c>
      <c r="C42" s="3" t="s">
        <v>2588</v>
      </c>
      <c r="D42" s="3" t="s">
        <v>861</v>
      </c>
      <c r="E42" s="3" t="s">
        <v>1729</v>
      </c>
      <c r="F42" s="3" t="s">
        <v>902</v>
      </c>
      <c r="G42" s="3" t="s">
        <v>5437</v>
      </c>
      <c r="H42" s="6">
        <v>33966.527999999998</v>
      </c>
      <c r="I42" s="18"/>
    </row>
    <row r="43" spans="1:9" ht="15.75" customHeight="1" x14ac:dyDescent="0.35">
      <c r="A43" s="15"/>
      <c r="B43" s="3" t="s">
        <v>41</v>
      </c>
      <c r="C43" s="3" t="s">
        <v>2589</v>
      </c>
      <c r="D43" s="3" t="s">
        <v>860</v>
      </c>
      <c r="E43" s="3" t="s">
        <v>1730</v>
      </c>
      <c r="F43" s="3" t="s">
        <v>903</v>
      </c>
      <c r="G43" s="3" t="s">
        <v>3443</v>
      </c>
      <c r="H43" s="6">
        <v>22869.311999999998</v>
      </c>
      <c r="I43" s="18"/>
    </row>
    <row r="44" spans="1:9" ht="15.75" customHeight="1" x14ac:dyDescent="0.35">
      <c r="A44" s="15"/>
      <c r="B44" s="3" t="s">
        <v>42</v>
      </c>
      <c r="C44" s="3" t="s">
        <v>2590</v>
      </c>
      <c r="D44" s="3" t="s">
        <v>861</v>
      </c>
      <c r="E44" s="3" t="s">
        <v>1731</v>
      </c>
      <c r="F44" s="3" t="s">
        <v>904</v>
      </c>
      <c r="G44" s="3" t="s">
        <v>3444</v>
      </c>
      <c r="H44" s="6">
        <v>23231.68</v>
      </c>
      <c r="I44" s="18"/>
    </row>
    <row r="45" spans="1:9" ht="15.75" customHeight="1" x14ac:dyDescent="0.35">
      <c r="A45" s="15"/>
      <c r="B45" s="3" t="s">
        <v>43</v>
      </c>
      <c r="C45" s="3" t="s">
        <v>2591</v>
      </c>
      <c r="D45" s="3" t="s">
        <v>861</v>
      </c>
      <c r="E45" s="3" t="s">
        <v>1732</v>
      </c>
      <c r="F45" s="3" t="s">
        <v>905</v>
      </c>
      <c r="G45" s="3" t="s">
        <v>3445</v>
      </c>
      <c r="H45" s="6">
        <v>10701.407999999999</v>
      </c>
      <c r="I45" s="18"/>
    </row>
    <row r="46" spans="1:9" ht="15.75" customHeight="1" x14ac:dyDescent="0.35">
      <c r="A46" s="15"/>
      <c r="B46" s="3" t="s">
        <v>44</v>
      </c>
      <c r="C46" s="3" t="s">
        <v>2592</v>
      </c>
      <c r="D46" s="3" t="s">
        <v>860</v>
      </c>
      <c r="E46" s="3" t="s">
        <v>1733</v>
      </c>
      <c r="F46" s="3" t="s">
        <v>906</v>
      </c>
      <c r="G46" s="3" t="s">
        <v>3446</v>
      </c>
      <c r="H46" s="6">
        <v>15107.583999999999</v>
      </c>
      <c r="I46" s="18"/>
    </row>
    <row r="47" spans="1:9" ht="15.75" customHeight="1" x14ac:dyDescent="0.35">
      <c r="A47" s="15"/>
      <c r="B47" s="3" t="s">
        <v>45</v>
      </c>
      <c r="C47" s="3" t="s">
        <v>2593</v>
      </c>
      <c r="D47" s="3" t="s">
        <v>861</v>
      </c>
      <c r="E47" s="3" t="s">
        <v>1734</v>
      </c>
      <c r="F47" s="3" t="s">
        <v>907</v>
      </c>
      <c r="G47" s="3" t="s">
        <v>3447</v>
      </c>
      <c r="H47" s="6">
        <v>33527.552000000003</v>
      </c>
      <c r="I47" s="18"/>
    </row>
    <row r="48" spans="1:9" ht="15.75" customHeight="1" x14ac:dyDescent="0.35">
      <c r="A48" s="15"/>
      <c r="B48" s="3" t="s">
        <v>46</v>
      </c>
      <c r="C48" s="3" t="s">
        <v>2594</v>
      </c>
      <c r="D48" s="3" t="s">
        <v>861</v>
      </c>
      <c r="E48" s="3" t="s">
        <v>1735</v>
      </c>
      <c r="F48" s="3" t="s">
        <v>908</v>
      </c>
      <c r="G48" s="3" t="s">
        <v>3448</v>
      </c>
      <c r="H48" s="6">
        <v>43485.375999999997</v>
      </c>
      <c r="I48" s="18"/>
    </row>
    <row r="49" spans="1:9" ht="15.75" customHeight="1" x14ac:dyDescent="0.35">
      <c r="A49" s="15"/>
      <c r="B49" s="3" t="s">
        <v>47</v>
      </c>
      <c r="C49" s="3" t="s">
        <v>2595</v>
      </c>
      <c r="D49" s="3" t="s">
        <v>861</v>
      </c>
      <c r="E49" s="3" t="s">
        <v>1736</v>
      </c>
      <c r="F49" s="3" t="s">
        <v>909</v>
      </c>
      <c r="G49" s="3" t="s">
        <v>3449</v>
      </c>
      <c r="H49" s="6">
        <v>31790.495999999999</v>
      </c>
      <c r="I49" s="18"/>
    </row>
    <row r="50" spans="1:9" ht="15.75" customHeight="1" x14ac:dyDescent="0.35">
      <c r="A50" s="15"/>
      <c r="B50" s="3" t="s">
        <v>48</v>
      </c>
      <c r="C50" s="3" t="s">
        <v>2596</v>
      </c>
      <c r="D50" s="3" t="s">
        <v>860</v>
      </c>
      <c r="E50" s="3" t="s">
        <v>1737</v>
      </c>
      <c r="F50" s="3" t="s">
        <v>910</v>
      </c>
      <c r="G50" s="3" t="s">
        <v>5706</v>
      </c>
      <c r="H50" s="6">
        <v>19733.248</v>
      </c>
      <c r="I50" s="18"/>
    </row>
    <row r="51" spans="1:9" ht="15.75" customHeight="1" x14ac:dyDescent="0.35">
      <c r="A51" s="15"/>
      <c r="B51" s="3" t="s">
        <v>49</v>
      </c>
      <c r="C51" s="3" t="s">
        <v>2597</v>
      </c>
      <c r="D51" s="3" t="s">
        <v>861</v>
      </c>
      <c r="E51" s="3" t="s">
        <v>1738</v>
      </c>
      <c r="F51" s="3" t="s">
        <v>911</v>
      </c>
      <c r="G51" s="3" t="s">
        <v>3450</v>
      </c>
      <c r="H51" s="6">
        <v>22840.736000000001</v>
      </c>
      <c r="I51" s="18"/>
    </row>
    <row r="52" spans="1:9" ht="15.75" customHeight="1" x14ac:dyDescent="0.35">
      <c r="A52" s="15"/>
      <c r="B52" s="3" t="s">
        <v>50</v>
      </c>
      <c r="C52" s="3" t="s">
        <v>2598</v>
      </c>
      <c r="D52" s="3" t="s">
        <v>861</v>
      </c>
      <c r="E52" s="3" t="s">
        <v>1739</v>
      </c>
      <c r="F52" s="3" t="s">
        <v>912</v>
      </c>
      <c r="G52" s="3" t="s">
        <v>6205</v>
      </c>
      <c r="H52" s="6">
        <v>13247.711999999998</v>
      </c>
      <c r="I52" s="18"/>
    </row>
    <row r="53" spans="1:9" ht="15.75" customHeight="1" x14ac:dyDescent="0.35">
      <c r="A53" s="15"/>
      <c r="B53" s="3" t="s">
        <v>51</v>
      </c>
      <c r="C53" s="3" t="s">
        <v>2599</v>
      </c>
      <c r="D53" s="3" t="s">
        <v>861</v>
      </c>
      <c r="E53" s="3" t="s">
        <v>1740</v>
      </c>
      <c r="F53" s="3" t="s">
        <v>913</v>
      </c>
      <c r="G53" s="3" t="s">
        <v>5427</v>
      </c>
      <c r="H53" s="6">
        <v>46914.495999999999</v>
      </c>
      <c r="I53" s="18"/>
    </row>
    <row r="54" spans="1:9" ht="15.75" customHeight="1" x14ac:dyDescent="0.35">
      <c r="A54" s="15"/>
      <c r="B54" s="3" t="s">
        <v>52</v>
      </c>
      <c r="C54" s="3" t="s">
        <v>2600</v>
      </c>
      <c r="D54" s="3" t="s">
        <v>861</v>
      </c>
      <c r="E54" s="3" t="s">
        <v>1741</v>
      </c>
      <c r="F54" s="3" t="s">
        <v>914</v>
      </c>
      <c r="G54" s="3" t="s">
        <v>3451</v>
      </c>
      <c r="H54" s="6">
        <v>47937.152000000002</v>
      </c>
      <c r="I54" s="18"/>
    </row>
    <row r="55" spans="1:9" ht="15.75" customHeight="1" x14ac:dyDescent="0.35">
      <c r="A55" s="15"/>
      <c r="B55" s="3" t="s">
        <v>53</v>
      </c>
      <c r="C55" s="3" t="s">
        <v>2601</v>
      </c>
      <c r="D55" s="3" t="s">
        <v>861</v>
      </c>
      <c r="E55" s="3" t="s">
        <v>1742</v>
      </c>
      <c r="F55" s="3" t="s">
        <v>915</v>
      </c>
      <c r="G55" s="3" t="s">
        <v>3452</v>
      </c>
      <c r="H55" s="6">
        <v>10701.407999999999</v>
      </c>
      <c r="I55" s="18"/>
    </row>
    <row r="56" spans="1:9" ht="15.75" customHeight="1" x14ac:dyDescent="0.35">
      <c r="A56" s="15"/>
      <c r="B56" s="3" t="s">
        <v>54</v>
      </c>
      <c r="C56" s="3" t="s">
        <v>2602</v>
      </c>
      <c r="D56" s="3" t="s">
        <v>860</v>
      </c>
      <c r="E56" s="3" t="s">
        <v>1743</v>
      </c>
      <c r="F56" s="3" t="s">
        <v>916</v>
      </c>
      <c r="G56" s="3" t="s">
        <v>5541</v>
      </c>
      <c r="H56" s="6">
        <v>16366.751999999999</v>
      </c>
      <c r="I56" s="18"/>
    </row>
    <row r="57" spans="1:9" ht="15.75" customHeight="1" x14ac:dyDescent="0.35">
      <c r="A57" s="15"/>
      <c r="B57" s="3" t="s">
        <v>55</v>
      </c>
      <c r="C57" s="3" t="s">
        <v>2603</v>
      </c>
      <c r="D57" s="3" t="s">
        <v>861</v>
      </c>
      <c r="E57" s="3" t="s">
        <v>1744</v>
      </c>
      <c r="F57" s="3" t="s">
        <v>917</v>
      </c>
      <c r="G57" s="3" t="s">
        <v>3453</v>
      </c>
      <c r="H57" s="6">
        <v>28206.944</v>
      </c>
      <c r="I57" s="18"/>
    </row>
    <row r="58" spans="1:9" ht="15.75" customHeight="1" x14ac:dyDescent="0.35">
      <c r="A58" s="15"/>
      <c r="B58" s="3" t="s">
        <v>56</v>
      </c>
      <c r="C58" s="3" t="s">
        <v>2604</v>
      </c>
      <c r="D58" s="3" t="s">
        <v>861</v>
      </c>
      <c r="E58" s="3" t="s">
        <v>1745</v>
      </c>
      <c r="F58" s="3" t="s">
        <v>918</v>
      </c>
      <c r="G58" s="3" t="s">
        <v>3454</v>
      </c>
      <c r="H58" s="6">
        <v>67643.647999999986</v>
      </c>
      <c r="I58" s="18"/>
    </row>
    <row r="59" spans="1:9" ht="15.75" customHeight="1" x14ac:dyDescent="0.35">
      <c r="A59" s="15"/>
      <c r="B59" s="3" t="s">
        <v>57</v>
      </c>
      <c r="C59" s="3" t="s">
        <v>2605</v>
      </c>
      <c r="D59" s="3" t="s">
        <v>860</v>
      </c>
      <c r="E59" s="3" t="s">
        <v>1746</v>
      </c>
      <c r="F59" s="3" t="s">
        <v>919</v>
      </c>
      <c r="G59" s="3" t="s">
        <v>3455</v>
      </c>
      <c r="H59" s="6">
        <v>22840.736000000001</v>
      </c>
      <c r="I59" s="18"/>
    </row>
    <row r="60" spans="1:9" ht="15.75" customHeight="1" x14ac:dyDescent="0.35">
      <c r="A60" s="15"/>
      <c r="B60" s="3" t="s">
        <v>58</v>
      </c>
      <c r="C60" s="3" t="s">
        <v>2606</v>
      </c>
      <c r="D60" s="3" t="s">
        <v>861</v>
      </c>
      <c r="E60" s="3" t="s">
        <v>1747</v>
      </c>
      <c r="F60" s="3" t="s">
        <v>920</v>
      </c>
      <c r="G60" s="3" t="s">
        <v>3456</v>
      </c>
      <c r="H60" s="6">
        <v>18590.815999999999</v>
      </c>
      <c r="I60" s="18"/>
    </row>
    <row r="61" spans="1:9" ht="15.75" customHeight="1" x14ac:dyDescent="0.35">
      <c r="A61" s="15"/>
      <c r="B61" s="3" t="s">
        <v>59</v>
      </c>
      <c r="C61" s="3" t="s">
        <v>2607</v>
      </c>
      <c r="D61" s="3" t="s">
        <v>861</v>
      </c>
      <c r="E61" s="3" t="s">
        <v>1748</v>
      </c>
      <c r="F61" s="3" t="s">
        <v>921</v>
      </c>
      <c r="G61" s="3" t="s">
        <v>3457</v>
      </c>
      <c r="H61" s="6">
        <v>29053.279999999999</v>
      </c>
      <c r="I61" s="18"/>
    </row>
    <row r="62" spans="1:9" ht="15.75" customHeight="1" x14ac:dyDescent="0.35">
      <c r="A62" s="15"/>
      <c r="B62" s="3" t="s">
        <v>60</v>
      </c>
      <c r="C62" s="3" t="s">
        <v>2608</v>
      </c>
      <c r="D62" s="3" t="s">
        <v>861</v>
      </c>
      <c r="E62" s="3" t="s">
        <v>1749</v>
      </c>
      <c r="F62" s="3" t="s">
        <v>922</v>
      </c>
      <c r="G62" s="3" t="s">
        <v>5561</v>
      </c>
      <c r="H62" s="6">
        <v>17246.528000000002</v>
      </c>
      <c r="I62" s="18"/>
    </row>
    <row r="63" spans="1:9" ht="15.75" customHeight="1" x14ac:dyDescent="0.35">
      <c r="A63" s="15"/>
      <c r="B63" s="3" t="s">
        <v>61</v>
      </c>
      <c r="C63" s="3" t="s">
        <v>2609</v>
      </c>
      <c r="D63" s="3" t="s">
        <v>860</v>
      </c>
      <c r="E63" s="3" t="s">
        <v>1750</v>
      </c>
      <c r="F63" s="3" t="s">
        <v>923</v>
      </c>
      <c r="G63" s="3" t="s">
        <v>3458</v>
      </c>
      <c r="H63" s="6">
        <v>50766.175999999999</v>
      </c>
      <c r="I63" s="18"/>
    </row>
    <row r="64" spans="1:9" ht="15.75" customHeight="1" x14ac:dyDescent="0.35">
      <c r="A64" s="15"/>
      <c r="B64" s="3" t="s">
        <v>62</v>
      </c>
      <c r="C64" s="3" t="s">
        <v>2610</v>
      </c>
      <c r="D64" s="3" t="s">
        <v>860</v>
      </c>
      <c r="E64" s="3" t="s">
        <v>1751</v>
      </c>
      <c r="F64" s="3" t="s">
        <v>924</v>
      </c>
      <c r="G64" s="3" t="s">
        <v>3459</v>
      </c>
      <c r="H64" s="6">
        <v>10701.407999999999</v>
      </c>
      <c r="I64" s="18"/>
    </row>
    <row r="65" spans="1:9" ht="15.75" customHeight="1" x14ac:dyDescent="0.35">
      <c r="A65" s="15"/>
      <c r="B65" s="3" t="s">
        <v>63</v>
      </c>
      <c r="C65" s="3" t="s">
        <v>2611</v>
      </c>
      <c r="D65" s="3" t="s">
        <v>860</v>
      </c>
      <c r="E65" s="3" t="s">
        <v>1752</v>
      </c>
      <c r="F65" s="3" t="s">
        <v>925</v>
      </c>
      <c r="G65" s="3" t="s">
        <v>3465</v>
      </c>
      <c r="H65" s="6">
        <v>26883.936000000002</v>
      </c>
      <c r="I65" s="18"/>
    </row>
    <row r="66" spans="1:9" ht="15.75" customHeight="1" x14ac:dyDescent="0.35">
      <c r="A66" s="15"/>
      <c r="B66" s="3" t="s">
        <v>64</v>
      </c>
      <c r="C66" s="3" t="s">
        <v>2612</v>
      </c>
      <c r="D66" s="3" t="s">
        <v>861</v>
      </c>
      <c r="E66" s="3" t="s">
        <v>1753</v>
      </c>
      <c r="F66" s="3" t="s">
        <v>926</v>
      </c>
      <c r="G66" s="3" t="s">
        <v>6206</v>
      </c>
      <c r="H66" s="6">
        <v>18272.223999999998</v>
      </c>
      <c r="I66" s="18"/>
    </row>
    <row r="67" spans="1:9" ht="15.75" customHeight="1" x14ac:dyDescent="0.35">
      <c r="A67" s="15"/>
      <c r="B67" s="3" t="s">
        <v>65</v>
      </c>
      <c r="C67" s="3" t="s">
        <v>2613</v>
      </c>
      <c r="D67" s="3" t="s">
        <v>860</v>
      </c>
      <c r="E67" s="3" t="s">
        <v>1754</v>
      </c>
      <c r="F67" s="3" t="s">
        <v>927</v>
      </c>
      <c r="G67" s="3" t="s">
        <v>5707</v>
      </c>
      <c r="H67" s="6">
        <v>28174.111999999997</v>
      </c>
      <c r="I67" s="18"/>
    </row>
    <row r="68" spans="1:9" ht="15.75" customHeight="1" x14ac:dyDescent="0.35">
      <c r="A68" s="15"/>
      <c r="B68" s="3" t="s">
        <v>66</v>
      </c>
      <c r="C68" s="3" t="s">
        <v>2614</v>
      </c>
      <c r="D68" s="3" t="s">
        <v>860</v>
      </c>
      <c r="E68" s="3" t="s">
        <v>1755</v>
      </c>
      <c r="F68" s="3" t="s">
        <v>928</v>
      </c>
      <c r="G68" s="3" t="s">
        <v>3466</v>
      </c>
      <c r="H68" s="6">
        <v>19854.847999999998</v>
      </c>
      <c r="I68" s="18"/>
    </row>
    <row r="69" spans="1:9" ht="15.75" customHeight="1" x14ac:dyDescent="0.35">
      <c r="A69" s="15"/>
      <c r="B69" s="3" t="s">
        <v>67</v>
      </c>
      <c r="C69" s="3" t="s">
        <v>2615</v>
      </c>
      <c r="D69" s="3" t="s">
        <v>861</v>
      </c>
      <c r="E69" s="3" t="s">
        <v>1756</v>
      </c>
      <c r="F69" s="3" t="s">
        <v>929</v>
      </c>
      <c r="G69" s="3" t="s">
        <v>3467</v>
      </c>
      <c r="H69" s="6">
        <v>26826.784</v>
      </c>
      <c r="I69" s="18"/>
    </row>
    <row r="70" spans="1:9" ht="15.75" customHeight="1" x14ac:dyDescent="0.35">
      <c r="A70" s="15"/>
      <c r="B70" s="3" t="s">
        <v>68</v>
      </c>
      <c r="C70" s="3" t="s">
        <v>2616</v>
      </c>
      <c r="D70" s="3" t="s">
        <v>860</v>
      </c>
      <c r="E70" s="3" t="s">
        <v>1757</v>
      </c>
      <c r="F70" s="3" t="s">
        <v>930</v>
      </c>
      <c r="G70" s="3" t="s">
        <v>3468</v>
      </c>
      <c r="H70" s="6">
        <v>10495.903999999999</v>
      </c>
      <c r="I70" s="18"/>
    </row>
    <row r="71" spans="1:9" ht="15.75" customHeight="1" x14ac:dyDescent="0.35">
      <c r="A71" s="15"/>
      <c r="B71" s="3" t="s">
        <v>69</v>
      </c>
      <c r="C71" s="3" t="s">
        <v>2617</v>
      </c>
      <c r="D71" s="3" t="s">
        <v>861</v>
      </c>
      <c r="E71" s="3" t="s">
        <v>1758</v>
      </c>
      <c r="F71" s="3" t="s">
        <v>931</v>
      </c>
      <c r="G71" s="3" t="s">
        <v>3469</v>
      </c>
      <c r="H71" s="6">
        <v>35265.216</v>
      </c>
      <c r="I71" s="18"/>
    </row>
    <row r="72" spans="1:9" ht="15.75" customHeight="1" x14ac:dyDescent="0.35">
      <c r="A72" s="15"/>
      <c r="B72" s="3" t="s">
        <v>70</v>
      </c>
      <c r="C72" s="3" t="s">
        <v>2618</v>
      </c>
      <c r="D72" s="3" t="s">
        <v>860</v>
      </c>
      <c r="E72" s="3" t="s">
        <v>1759</v>
      </c>
      <c r="F72" s="3" t="s">
        <v>932</v>
      </c>
      <c r="G72" s="3" t="s">
        <v>5836</v>
      </c>
      <c r="H72" s="6">
        <v>33990.847999999998</v>
      </c>
      <c r="I72" s="18"/>
    </row>
    <row r="73" spans="1:9" ht="15.75" customHeight="1" x14ac:dyDescent="0.35">
      <c r="A73" s="15"/>
      <c r="B73" s="3" t="s">
        <v>71</v>
      </c>
      <c r="C73" s="3" t="s">
        <v>2619</v>
      </c>
      <c r="D73" s="3" t="s">
        <v>861</v>
      </c>
      <c r="E73" s="3" t="s">
        <v>1760</v>
      </c>
      <c r="F73" s="3" t="s">
        <v>933</v>
      </c>
      <c r="G73" s="3" t="s">
        <v>3470</v>
      </c>
      <c r="H73" s="6">
        <v>38330.752</v>
      </c>
      <c r="I73" s="18"/>
    </row>
    <row r="74" spans="1:9" ht="15.75" customHeight="1" x14ac:dyDescent="0.35">
      <c r="A74" s="15"/>
      <c r="B74" s="3" t="s">
        <v>72</v>
      </c>
      <c r="C74" s="3" t="s">
        <v>2620</v>
      </c>
      <c r="D74" s="3" t="s">
        <v>860</v>
      </c>
      <c r="E74" s="3" t="s">
        <v>1761</v>
      </c>
      <c r="F74" s="3" t="s">
        <v>934</v>
      </c>
      <c r="G74" s="3" t="s">
        <v>3471</v>
      </c>
      <c r="H74" s="6">
        <v>29712.351999999999</v>
      </c>
      <c r="I74" s="18"/>
    </row>
    <row r="75" spans="1:9" ht="15.75" customHeight="1" x14ac:dyDescent="0.35">
      <c r="A75" s="15"/>
      <c r="B75" s="3" t="s">
        <v>73</v>
      </c>
      <c r="C75" s="3" t="s">
        <v>2621</v>
      </c>
      <c r="D75" s="3" t="s">
        <v>861</v>
      </c>
      <c r="E75" s="3" t="s">
        <v>1762</v>
      </c>
      <c r="F75" s="3" t="s">
        <v>935</v>
      </c>
      <c r="G75" s="3" t="s">
        <v>3472</v>
      </c>
      <c r="H75" s="6">
        <v>49511.264000000003</v>
      </c>
      <c r="I75" s="18"/>
    </row>
    <row r="76" spans="1:9" ht="15.75" customHeight="1" x14ac:dyDescent="0.35">
      <c r="A76" s="15"/>
      <c r="B76" s="3" t="s">
        <v>74</v>
      </c>
      <c r="C76" s="3" t="s">
        <v>2622</v>
      </c>
      <c r="D76" s="3" t="s">
        <v>860</v>
      </c>
      <c r="E76" s="3" t="s">
        <v>1763</v>
      </c>
      <c r="F76" s="3" t="s">
        <v>936</v>
      </c>
      <c r="G76" s="3" t="s">
        <v>3473</v>
      </c>
      <c r="H76" s="6">
        <v>22881.471999999998</v>
      </c>
      <c r="I76" s="18"/>
    </row>
    <row r="77" spans="1:9" ht="15.75" customHeight="1" x14ac:dyDescent="0.35">
      <c r="A77" s="15"/>
      <c r="B77" s="3" t="s">
        <v>75</v>
      </c>
      <c r="C77" s="3" t="s">
        <v>2623</v>
      </c>
      <c r="D77" s="3" t="s">
        <v>860</v>
      </c>
      <c r="E77" s="3" t="s">
        <v>1764</v>
      </c>
      <c r="F77" s="3" t="s">
        <v>904</v>
      </c>
      <c r="G77" s="3" t="s">
        <v>3474</v>
      </c>
      <c r="H77" s="6">
        <v>23612.896000000001</v>
      </c>
      <c r="I77" s="18"/>
    </row>
    <row r="78" spans="1:9" ht="15.75" customHeight="1" x14ac:dyDescent="0.35">
      <c r="A78" s="15"/>
      <c r="B78" s="3" t="s">
        <v>76</v>
      </c>
      <c r="C78" s="3" t="s">
        <v>2624</v>
      </c>
      <c r="D78" s="3" t="s">
        <v>861</v>
      </c>
      <c r="E78" s="3" t="s">
        <v>1765</v>
      </c>
      <c r="F78" s="3" t="s">
        <v>937</v>
      </c>
      <c r="G78" s="3" t="s">
        <v>5721</v>
      </c>
      <c r="H78" s="6">
        <v>16964.415999999997</v>
      </c>
      <c r="I78" s="18"/>
    </row>
    <row r="79" spans="1:9" ht="15.75" customHeight="1" x14ac:dyDescent="0.35">
      <c r="A79" s="15"/>
      <c r="B79" s="3" t="s">
        <v>77</v>
      </c>
      <c r="C79" s="3" t="s">
        <v>2625</v>
      </c>
      <c r="D79" s="3" t="s">
        <v>860</v>
      </c>
      <c r="E79" s="3" t="s">
        <v>1766</v>
      </c>
      <c r="F79" s="3" t="s">
        <v>938</v>
      </c>
      <c r="G79" s="3" t="s">
        <v>3475</v>
      </c>
      <c r="H79" s="6">
        <v>12992.96</v>
      </c>
      <c r="I79" s="18"/>
    </row>
    <row r="80" spans="1:9" ht="15.75" customHeight="1" x14ac:dyDescent="0.35">
      <c r="A80" s="15"/>
      <c r="B80" s="3" t="s">
        <v>78</v>
      </c>
      <c r="C80" s="3" t="s">
        <v>2626</v>
      </c>
      <c r="D80" s="3" t="s">
        <v>860</v>
      </c>
      <c r="E80" s="3" t="s">
        <v>1767</v>
      </c>
      <c r="F80" s="3" t="s">
        <v>939</v>
      </c>
      <c r="G80" s="3" t="s">
        <v>3476</v>
      </c>
      <c r="H80" s="6">
        <v>43440.383999999998</v>
      </c>
      <c r="I80" s="18"/>
    </row>
    <row r="81" spans="1:9" ht="15.75" customHeight="1" x14ac:dyDescent="0.35">
      <c r="A81" s="15"/>
      <c r="B81" s="3" t="s">
        <v>79</v>
      </c>
      <c r="C81" s="3" t="s">
        <v>2627</v>
      </c>
      <c r="D81" s="3" t="s">
        <v>861</v>
      </c>
      <c r="E81" s="3" t="s">
        <v>1768</v>
      </c>
      <c r="F81" s="3" t="s">
        <v>940</v>
      </c>
      <c r="G81" s="3" t="s">
        <v>3477</v>
      </c>
      <c r="H81" s="6">
        <v>26172.576000000001</v>
      </c>
      <c r="I81" s="18"/>
    </row>
    <row r="82" spans="1:9" ht="15.75" customHeight="1" x14ac:dyDescent="0.35">
      <c r="A82" s="15"/>
      <c r="B82" s="3" t="s">
        <v>80</v>
      </c>
      <c r="C82" s="3" t="s">
        <v>2628</v>
      </c>
      <c r="D82" s="3" t="s">
        <v>861</v>
      </c>
      <c r="E82" s="3" t="s">
        <v>1769</v>
      </c>
      <c r="F82" s="3" t="s">
        <v>941</v>
      </c>
      <c r="G82" s="3" t="s">
        <v>3478</v>
      </c>
      <c r="H82" s="6">
        <v>28273.823999999997</v>
      </c>
      <c r="I82" s="18"/>
    </row>
    <row r="83" spans="1:9" ht="15.75" customHeight="1" x14ac:dyDescent="0.35">
      <c r="A83" s="15"/>
      <c r="B83" s="3" t="s">
        <v>81</v>
      </c>
      <c r="C83" s="3" t="s">
        <v>2629</v>
      </c>
      <c r="D83" s="3" t="s">
        <v>860</v>
      </c>
      <c r="E83" s="3" t="s">
        <v>1770</v>
      </c>
      <c r="F83" s="3" t="s">
        <v>942</v>
      </c>
      <c r="G83" s="3" t="s">
        <v>3479</v>
      </c>
      <c r="H83" s="6">
        <v>14095.263999999999</v>
      </c>
      <c r="I83" s="18"/>
    </row>
    <row r="84" spans="1:9" ht="15.75" customHeight="1" x14ac:dyDescent="0.35">
      <c r="A84" s="15"/>
      <c r="B84" s="3" t="s">
        <v>82</v>
      </c>
      <c r="C84" s="3" t="s">
        <v>2630</v>
      </c>
      <c r="D84" s="3" t="s">
        <v>861</v>
      </c>
      <c r="E84" s="3" t="s">
        <v>1771</v>
      </c>
      <c r="F84" s="3" t="s">
        <v>943</v>
      </c>
      <c r="G84" s="3" t="s">
        <v>3479</v>
      </c>
      <c r="H84" s="6">
        <v>11834.72</v>
      </c>
      <c r="I84" s="18"/>
    </row>
    <row r="85" spans="1:9" ht="15.75" customHeight="1" x14ac:dyDescent="0.35">
      <c r="A85" s="15"/>
      <c r="B85" s="3" t="s">
        <v>83</v>
      </c>
      <c r="C85" s="3" t="s">
        <v>2631</v>
      </c>
      <c r="D85" s="3" t="s">
        <v>861</v>
      </c>
      <c r="E85" s="3" t="s">
        <v>1772</v>
      </c>
      <c r="F85" s="3" t="s">
        <v>944</v>
      </c>
      <c r="G85" s="3" t="s">
        <v>6207</v>
      </c>
      <c r="H85" s="6">
        <v>28808.255999999998</v>
      </c>
      <c r="I85" s="18"/>
    </row>
    <row r="86" spans="1:9" ht="15.75" customHeight="1" x14ac:dyDescent="0.35">
      <c r="A86" s="15"/>
      <c r="B86" s="3" t="s">
        <v>84</v>
      </c>
      <c r="C86" s="3" t="s">
        <v>2632</v>
      </c>
      <c r="D86" s="3" t="s">
        <v>861</v>
      </c>
      <c r="E86" s="3" t="s">
        <v>1773</v>
      </c>
      <c r="F86" s="3" t="s">
        <v>945</v>
      </c>
      <c r="G86" s="3" t="s">
        <v>3480</v>
      </c>
      <c r="H86" s="6">
        <v>38341.695999999996</v>
      </c>
      <c r="I86" s="18"/>
    </row>
    <row r="87" spans="1:9" ht="15.75" customHeight="1" x14ac:dyDescent="0.35">
      <c r="A87" s="15"/>
      <c r="B87" s="3" t="s">
        <v>85</v>
      </c>
      <c r="C87" s="3" t="s">
        <v>2633</v>
      </c>
      <c r="D87" s="3" t="s">
        <v>860</v>
      </c>
      <c r="E87" s="3" t="s">
        <v>1774</v>
      </c>
      <c r="F87" s="3" t="s">
        <v>946</v>
      </c>
      <c r="G87" s="3" t="s">
        <v>3481</v>
      </c>
      <c r="H87" s="6">
        <v>31495.007999999998</v>
      </c>
      <c r="I87" s="18"/>
    </row>
    <row r="88" spans="1:9" ht="15.75" customHeight="1" x14ac:dyDescent="0.35">
      <c r="A88" s="15"/>
      <c r="B88" s="3" t="s">
        <v>86</v>
      </c>
      <c r="C88" s="3" t="s">
        <v>2634</v>
      </c>
      <c r="D88" s="3" t="s">
        <v>861</v>
      </c>
      <c r="E88" s="3" t="s">
        <v>1775</v>
      </c>
      <c r="F88" s="3" t="s">
        <v>947</v>
      </c>
      <c r="G88" s="3" t="s">
        <v>3482</v>
      </c>
      <c r="H88" s="6">
        <v>15988.576000000001</v>
      </c>
      <c r="I88" s="18"/>
    </row>
    <row r="89" spans="1:9" ht="15.75" customHeight="1" x14ac:dyDescent="0.35">
      <c r="A89" s="15"/>
      <c r="B89" s="3" t="s">
        <v>87</v>
      </c>
      <c r="C89" s="3" t="s">
        <v>2635</v>
      </c>
      <c r="D89" s="3" t="s">
        <v>861</v>
      </c>
      <c r="E89" s="3" t="s">
        <v>1776</v>
      </c>
      <c r="F89" s="3" t="s">
        <v>948</v>
      </c>
      <c r="G89" s="3" t="s">
        <v>3483</v>
      </c>
      <c r="H89" s="6">
        <v>10701.407999999999</v>
      </c>
      <c r="I89" s="18"/>
    </row>
    <row r="90" spans="1:9" ht="15.75" customHeight="1" x14ac:dyDescent="0.35">
      <c r="A90" s="15"/>
      <c r="B90" s="3" t="s">
        <v>88</v>
      </c>
      <c r="C90" s="3" t="s">
        <v>2636</v>
      </c>
      <c r="D90" s="3" t="s">
        <v>861</v>
      </c>
      <c r="E90" s="3" t="s">
        <v>1777</v>
      </c>
      <c r="F90" s="3" t="s">
        <v>949</v>
      </c>
      <c r="G90" s="3" t="s">
        <v>3484</v>
      </c>
      <c r="H90" s="6">
        <v>12968.031999999999</v>
      </c>
      <c r="I90" s="18"/>
    </row>
    <row r="91" spans="1:9" ht="15.75" customHeight="1" x14ac:dyDescent="0.35">
      <c r="A91" s="15"/>
      <c r="B91" s="3" t="s">
        <v>89</v>
      </c>
      <c r="C91" s="3" t="s">
        <v>2637</v>
      </c>
      <c r="D91" s="3" t="s">
        <v>860</v>
      </c>
      <c r="E91" s="3" t="s">
        <v>1778</v>
      </c>
      <c r="F91" s="3" t="s">
        <v>950</v>
      </c>
      <c r="G91" s="3" t="s">
        <v>3485</v>
      </c>
      <c r="H91" s="6">
        <v>66098.720000000001</v>
      </c>
      <c r="I91" s="18"/>
    </row>
    <row r="92" spans="1:9" ht="15.75" customHeight="1" x14ac:dyDescent="0.35">
      <c r="A92" s="15"/>
      <c r="B92" s="3" t="s">
        <v>90</v>
      </c>
      <c r="C92" s="3" t="s">
        <v>2638</v>
      </c>
      <c r="D92" s="3" t="s">
        <v>861</v>
      </c>
      <c r="E92" s="3" t="s">
        <v>1779</v>
      </c>
      <c r="F92" s="3" t="s">
        <v>951</v>
      </c>
      <c r="G92" s="3" t="s">
        <v>3486</v>
      </c>
      <c r="H92" s="6">
        <v>92701.152000000002</v>
      </c>
      <c r="I92" s="18"/>
    </row>
    <row r="93" spans="1:9" ht="15.75" customHeight="1" x14ac:dyDescent="0.35">
      <c r="A93" s="15"/>
      <c r="B93" s="3" t="s">
        <v>91</v>
      </c>
      <c r="C93" s="3" t="s">
        <v>2639</v>
      </c>
      <c r="D93" s="3" t="s">
        <v>860</v>
      </c>
      <c r="E93" s="3" t="s">
        <v>1780</v>
      </c>
      <c r="F93" s="3" t="s">
        <v>952</v>
      </c>
      <c r="G93" s="3" t="s">
        <v>3486</v>
      </c>
      <c r="H93" s="6">
        <v>39915.807999999997</v>
      </c>
      <c r="I93" s="18"/>
    </row>
    <row r="94" spans="1:9" ht="15.75" customHeight="1" x14ac:dyDescent="0.35">
      <c r="A94" s="15"/>
      <c r="B94" s="3" t="s">
        <v>92</v>
      </c>
      <c r="C94" s="3" t="s">
        <v>2640</v>
      </c>
      <c r="D94" s="3" t="s">
        <v>860</v>
      </c>
      <c r="E94" s="3" t="s">
        <v>1781</v>
      </c>
      <c r="F94" s="3" t="s">
        <v>953</v>
      </c>
      <c r="G94" s="3" t="s">
        <v>6017</v>
      </c>
      <c r="H94" s="6">
        <v>27196.448</v>
      </c>
      <c r="I94" s="18"/>
    </row>
    <row r="95" spans="1:9" ht="15.75" customHeight="1" x14ac:dyDescent="0.35">
      <c r="A95" s="15"/>
      <c r="B95" s="3" t="s">
        <v>93</v>
      </c>
      <c r="C95" s="3" t="s">
        <v>2641</v>
      </c>
      <c r="D95" s="3" t="s">
        <v>860</v>
      </c>
      <c r="E95" s="3" t="s">
        <v>1782</v>
      </c>
      <c r="F95" s="3" t="s">
        <v>954</v>
      </c>
      <c r="G95" s="3" t="s">
        <v>3487</v>
      </c>
      <c r="H95" s="6">
        <v>18521.503999999997</v>
      </c>
      <c r="I95" s="18"/>
    </row>
    <row r="96" spans="1:9" ht="15.75" customHeight="1" x14ac:dyDescent="0.35">
      <c r="A96" s="15"/>
      <c r="B96" s="3" t="s">
        <v>94</v>
      </c>
      <c r="C96" s="3" t="s">
        <v>2642</v>
      </c>
      <c r="D96" s="3" t="s">
        <v>861</v>
      </c>
      <c r="E96" s="3" t="s">
        <v>1783</v>
      </c>
      <c r="F96" s="3" t="s">
        <v>955</v>
      </c>
      <c r="G96" s="3" t="s">
        <v>3488</v>
      </c>
      <c r="H96" s="6">
        <v>19662.719999999998</v>
      </c>
      <c r="I96" s="18"/>
    </row>
    <row r="97" spans="1:9" ht="15.75" customHeight="1" x14ac:dyDescent="0.35">
      <c r="A97" s="15"/>
      <c r="B97" s="3" t="s">
        <v>95</v>
      </c>
      <c r="C97" s="3" t="s">
        <v>2643</v>
      </c>
      <c r="D97" s="3" t="s">
        <v>861</v>
      </c>
      <c r="E97" s="3" t="s">
        <v>1784</v>
      </c>
      <c r="F97" s="3" t="s">
        <v>956</v>
      </c>
      <c r="G97" s="3" t="s">
        <v>3489</v>
      </c>
      <c r="H97" s="6">
        <v>50721.184000000001</v>
      </c>
      <c r="I97" s="18"/>
    </row>
    <row r="98" spans="1:9" ht="15.75" customHeight="1" x14ac:dyDescent="0.35">
      <c r="A98" s="15"/>
      <c r="B98" s="3" t="s">
        <v>96</v>
      </c>
      <c r="C98" s="3" t="s">
        <v>2644</v>
      </c>
      <c r="D98" s="3" t="s">
        <v>861</v>
      </c>
      <c r="E98" s="3" t="s">
        <v>1785</v>
      </c>
      <c r="F98" s="3" t="s">
        <v>957</v>
      </c>
      <c r="G98" s="3" t="s">
        <v>3490</v>
      </c>
      <c r="H98" s="6">
        <v>34966.080000000002</v>
      </c>
      <c r="I98" s="18"/>
    </row>
    <row r="99" spans="1:9" ht="15.75" customHeight="1" x14ac:dyDescent="0.35">
      <c r="A99" s="15"/>
      <c r="B99" s="3" t="s">
        <v>97</v>
      </c>
      <c r="C99" s="3" t="s">
        <v>2645</v>
      </c>
      <c r="D99" s="3" t="s">
        <v>861</v>
      </c>
      <c r="E99" s="3" t="s">
        <v>1786</v>
      </c>
      <c r="F99" s="3" t="s">
        <v>958</v>
      </c>
      <c r="G99" s="3" t="s">
        <v>6208</v>
      </c>
      <c r="H99" s="6">
        <v>12737.599999999999</v>
      </c>
      <c r="I99" s="18"/>
    </row>
    <row r="100" spans="1:9" ht="15.75" customHeight="1" x14ac:dyDescent="0.35">
      <c r="A100" s="15"/>
      <c r="B100" s="3" t="s">
        <v>98</v>
      </c>
      <c r="C100" s="3" t="s">
        <v>2646</v>
      </c>
      <c r="D100" s="3" t="s">
        <v>861</v>
      </c>
      <c r="E100" s="3" t="s">
        <v>1787</v>
      </c>
      <c r="F100" s="3" t="s">
        <v>959</v>
      </c>
      <c r="G100" s="3" t="s">
        <v>3491</v>
      </c>
      <c r="H100" s="6">
        <v>35267.039999999994</v>
      </c>
      <c r="I100" s="18"/>
    </row>
    <row r="101" spans="1:9" ht="15.75" customHeight="1" x14ac:dyDescent="0.35">
      <c r="A101" s="15"/>
      <c r="B101" s="3" t="s">
        <v>99</v>
      </c>
      <c r="C101" s="3" t="s">
        <v>2647</v>
      </c>
      <c r="D101" s="3" t="s">
        <v>861</v>
      </c>
      <c r="E101" s="3" t="s">
        <v>1788</v>
      </c>
      <c r="F101" s="3" t="s">
        <v>951</v>
      </c>
      <c r="G101" s="3" t="s">
        <v>3491</v>
      </c>
      <c r="H101" s="6">
        <v>37081.311999999998</v>
      </c>
      <c r="I101" s="18"/>
    </row>
    <row r="102" spans="1:9" ht="15.75" customHeight="1" x14ac:dyDescent="0.35">
      <c r="A102" s="15"/>
      <c r="B102" s="3" t="s">
        <v>100</v>
      </c>
      <c r="C102" s="3" t="s">
        <v>2648</v>
      </c>
      <c r="D102" s="3" t="s">
        <v>861</v>
      </c>
      <c r="E102" s="3" t="s">
        <v>1789</v>
      </c>
      <c r="F102" s="3" t="s">
        <v>960</v>
      </c>
      <c r="G102" s="3" t="s">
        <v>3492</v>
      </c>
      <c r="H102" s="6">
        <v>24501.791999999998</v>
      </c>
      <c r="I102" s="18"/>
    </row>
    <row r="103" spans="1:9" ht="15.75" customHeight="1" x14ac:dyDescent="0.35">
      <c r="A103" s="15"/>
      <c r="B103" s="3" t="s">
        <v>101</v>
      </c>
      <c r="C103" s="3" t="s">
        <v>2649</v>
      </c>
      <c r="D103" s="3" t="s">
        <v>860</v>
      </c>
      <c r="E103" s="3" t="s">
        <v>1790</v>
      </c>
      <c r="F103" s="3" t="s">
        <v>961</v>
      </c>
      <c r="G103" s="3" t="s">
        <v>6209</v>
      </c>
      <c r="H103" s="6">
        <v>40847.264000000003</v>
      </c>
      <c r="I103" s="18"/>
    </row>
    <row r="104" spans="1:9" ht="15.75" customHeight="1" x14ac:dyDescent="0.35">
      <c r="A104" s="15"/>
      <c r="B104" s="3" t="s">
        <v>102</v>
      </c>
      <c r="C104" s="3" t="s">
        <v>2650</v>
      </c>
      <c r="D104" s="3" t="s">
        <v>861</v>
      </c>
      <c r="E104" s="3" t="s">
        <v>1791</v>
      </c>
      <c r="F104" s="3" t="s">
        <v>962</v>
      </c>
      <c r="G104" s="3" t="s">
        <v>3493</v>
      </c>
      <c r="H104" s="6">
        <v>46351.487999999998</v>
      </c>
      <c r="I104" s="18"/>
    </row>
    <row r="105" spans="1:9" ht="15.75" customHeight="1" x14ac:dyDescent="0.35">
      <c r="A105" s="15"/>
      <c r="B105" s="3" t="s">
        <v>103</v>
      </c>
      <c r="C105" s="3" t="s">
        <v>2651</v>
      </c>
      <c r="D105" s="3" t="s">
        <v>861</v>
      </c>
      <c r="E105" s="3" t="s">
        <v>1792</v>
      </c>
      <c r="F105" s="3" t="s">
        <v>963</v>
      </c>
      <c r="G105" s="3" t="s">
        <v>3494</v>
      </c>
      <c r="H105" s="6">
        <v>21155.359999999997</v>
      </c>
      <c r="I105" s="18"/>
    </row>
    <row r="106" spans="1:9" ht="15.75" customHeight="1" x14ac:dyDescent="0.35">
      <c r="A106" s="15"/>
      <c r="B106" s="3" t="s">
        <v>104</v>
      </c>
      <c r="C106" s="3" t="s">
        <v>2652</v>
      </c>
      <c r="D106" s="3" t="s">
        <v>861</v>
      </c>
      <c r="E106" s="3" t="s">
        <v>1793</v>
      </c>
      <c r="F106" s="3" t="s">
        <v>964</v>
      </c>
      <c r="G106" s="3" t="s">
        <v>3495</v>
      </c>
      <c r="H106" s="6">
        <v>36113.375999999997</v>
      </c>
      <c r="I106" s="18"/>
    </row>
    <row r="107" spans="1:9" ht="15.75" customHeight="1" x14ac:dyDescent="0.35">
      <c r="A107" s="15"/>
      <c r="B107" s="3" t="s">
        <v>105</v>
      </c>
      <c r="C107" s="3" t="s">
        <v>2653</v>
      </c>
      <c r="D107" s="3" t="s">
        <v>861</v>
      </c>
      <c r="E107" s="3" t="s">
        <v>1794</v>
      </c>
      <c r="F107" s="3" t="s">
        <v>965</v>
      </c>
      <c r="G107" s="3" t="s">
        <v>3496</v>
      </c>
      <c r="H107" s="6">
        <v>10701.407999999999</v>
      </c>
      <c r="I107" s="18"/>
    </row>
    <row r="108" spans="1:9" ht="15.75" customHeight="1" x14ac:dyDescent="0.35">
      <c r="A108" s="15"/>
      <c r="B108" s="3" t="s">
        <v>106</v>
      </c>
      <c r="C108" s="3" t="s">
        <v>2654</v>
      </c>
      <c r="D108" s="3" t="s">
        <v>861</v>
      </c>
      <c r="E108" s="3" t="s">
        <v>1795</v>
      </c>
      <c r="F108" s="3" t="s">
        <v>966</v>
      </c>
      <c r="G108" s="3" t="s">
        <v>3497</v>
      </c>
      <c r="H108" s="6">
        <v>27074.239999999998</v>
      </c>
      <c r="I108" s="18"/>
    </row>
    <row r="109" spans="1:9" ht="15.75" customHeight="1" x14ac:dyDescent="0.35">
      <c r="A109" s="15"/>
      <c r="B109" s="3" t="s">
        <v>107</v>
      </c>
      <c r="C109" s="3" t="s">
        <v>2655</v>
      </c>
      <c r="D109" s="3" t="s">
        <v>861</v>
      </c>
      <c r="E109" s="3" t="s">
        <v>1796</v>
      </c>
      <c r="F109" s="3" t="s">
        <v>967</v>
      </c>
      <c r="G109" s="3" t="s">
        <v>3497</v>
      </c>
      <c r="H109" s="6">
        <v>24724.928</v>
      </c>
      <c r="I109" s="18"/>
    </row>
    <row r="110" spans="1:9" ht="15.75" customHeight="1" x14ac:dyDescent="0.35">
      <c r="A110" s="15"/>
      <c r="B110" s="3" t="s">
        <v>108</v>
      </c>
      <c r="C110" s="3" t="s">
        <v>2656</v>
      </c>
      <c r="D110" s="3" t="s">
        <v>861</v>
      </c>
      <c r="E110" s="3" t="s">
        <v>1797</v>
      </c>
      <c r="F110" s="3" t="s">
        <v>968</v>
      </c>
      <c r="G110" s="3" t="s">
        <v>3498</v>
      </c>
      <c r="H110" s="6">
        <v>24724.928</v>
      </c>
      <c r="I110" s="18"/>
    </row>
    <row r="111" spans="1:9" ht="15.75" customHeight="1" x14ac:dyDescent="0.35">
      <c r="A111" s="15"/>
      <c r="B111" s="3" t="s">
        <v>109</v>
      </c>
      <c r="C111" s="3" t="s">
        <v>2657</v>
      </c>
      <c r="D111" s="3" t="s">
        <v>861</v>
      </c>
      <c r="E111" s="3" t="s">
        <v>1798</v>
      </c>
      <c r="F111" s="3" t="s">
        <v>969</v>
      </c>
      <c r="G111" s="3" t="s">
        <v>3499</v>
      </c>
      <c r="H111" s="6">
        <v>31807.519999999997</v>
      </c>
      <c r="I111" s="18"/>
    </row>
    <row r="112" spans="1:9" ht="15.75" customHeight="1" x14ac:dyDescent="0.35">
      <c r="A112" s="15"/>
      <c r="B112" s="3" t="s">
        <v>110</v>
      </c>
      <c r="C112" s="3" t="s">
        <v>2658</v>
      </c>
      <c r="D112" s="3" t="s">
        <v>861</v>
      </c>
      <c r="E112" s="3" t="s">
        <v>1799</v>
      </c>
      <c r="F112" s="3" t="s">
        <v>970</v>
      </c>
      <c r="G112" s="3" t="s">
        <v>3499</v>
      </c>
      <c r="H112" s="6">
        <v>31207.423999999995</v>
      </c>
      <c r="I112" s="18"/>
    </row>
    <row r="113" spans="1:9" ht="15.75" customHeight="1" x14ac:dyDescent="0.35">
      <c r="A113" s="15"/>
      <c r="B113" s="3" t="s">
        <v>111</v>
      </c>
      <c r="C113" s="3" t="s">
        <v>2659</v>
      </c>
      <c r="D113" s="3" t="s">
        <v>861</v>
      </c>
      <c r="E113" s="3" t="s">
        <v>1800</v>
      </c>
      <c r="F113" s="3" t="s">
        <v>971</v>
      </c>
      <c r="G113" s="3" t="s">
        <v>3500</v>
      </c>
      <c r="H113" s="6">
        <v>31825.152000000002</v>
      </c>
      <c r="I113" s="18"/>
    </row>
    <row r="114" spans="1:9" ht="15.75" customHeight="1" x14ac:dyDescent="0.35">
      <c r="A114" s="15"/>
      <c r="B114" s="3" t="s">
        <v>112</v>
      </c>
      <c r="C114" s="3" t="s">
        <v>2660</v>
      </c>
      <c r="D114" s="3" t="s">
        <v>860</v>
      </c>
      <c r="E114" s="3" t="s">
        <v>1801</v>
      </c>
      <c r="F114" s="3" t="s">
        <v>972</v>
      </c>
      <c r="G114" s="3" t="s">
        <v>3501</v>
      </c>
      <c r="H114" s="6">
        <v>25411.967999999997</v>
      </c>
      <c r="I114" s="18"/>
    </row>
    <row r="115" spans="1:9" ht="15.75" customHeight="1" x14ac:dyDescent="0.35">
      <c r="A115" s="15"/>
      <c r="B115" s="3" t="s">
        <v>113</v>
      </c>
      <c r="C115" s="3" t="s">
        <v>2661</v>
      </c>
      <c r="D115" s="3" t="s">
        <v>861</v>
      </c>
      <c r="E115" s="3" t="s">
        <v>1802</v>
      </c>
      <c r="F115" s="3" t="s">
        <v>973</v>
      </c>
      <c r="G115" s="3" t="s">
        <v>3502</v>
      </c>
      <c r="H115" s="6">
        <v>23834.207999999999</v>
      </c>
      <c r="I115" s="18"/>
    </row>
    <row r="116" spans="1:9" ht="15.75" customHeight="1" x14ac:dyDescent="0.35">
      <c r="A116" s="15"/>
      <c r="B116" s="3" t="s">
        <v>114</v>
      </c>
      <c r="C116" s="3" t="s">
        <v>2662</v>
      </c>
      <c r="D116" s="3" t="s">
        <v>861</v>
      </c>
      <c r="E116" s="3" t="s">
        <v>1803</v>
      </c>
      <c r="F116" s="3" t="s">
        <v>974</v>
      </c>
      <c r="G116" s="3" t="s">
        <v>3502</v>
      </c>
      <c r="H116" s="6">
        <v>15988.576000000001</v>
      </c>
      <c r="I116" s="18"/>
    </row>
    <row r="117" spans="1:9" ht="15.75" customHeight="1" x14ac:dyDescent="0.35">
      <c r="A117" s="15"/>
      <c r="B117" s="3" t="s">
        <v>115</v>
      </c>
      <c r="C117" s="3" t="s">
        <v>2663</v>
      </c>
      <c r="D117" s="3" t="s">
        <v>861</v>
      </c>
      <c r="E117" s="3" t="s">
        <v>1804</v>
      </c>
      <c r="F117" s="3" t="s">
        <v>975</v>
      </c>
      <c r="G117" s="3" t="s">
        <v>3503</v>
      </c>
      <c r="H117" s="6">
        <v>15821.376</v>
      </c>
      <c r="I117" s="18"/>
    </row>
    <row r="118" spans="1:9" ht="15.75" customHeight="1" x14ac:dyDescent="0.35">
      <c r="A118" s="15"/>
      <c r="B118" s="3" t="s">
        <v>116</v>
      </c>
      <c r="C118" s="3" t="s">
        <v>2664</v>
      </c>
      <c r="D118" s="3" t="s">
        <v>861</v>
      </c>
      <c r="E118" s="3" t="s">
        <v>1805</v>
      </c>
      <c r="F118" s="3" t="s">
        <v>976</v>
      </c>
      <c r="G118" s="3" t="s">
        <v>3504</v>
      </c>
      <c r="H118" s="6">
        <v>23324.703999999998</v>
      </c>
      <c r="I118" s="18"/>
    </row>
    <row r="119" spans="1:9" ht="15.75" customHeight="1" x14ac:dyDescent="0.35">
      <c r="A119" s="15"/>
      <c r="B119" s="3" t="s">
        <v>117</v>
      </c>
      <c r="C119" s="3" t="s">
        <v>2665</v>
      </c>
      <c r="D119" s="3" t="s">
        <v>860</v>
      </c>
      <c r="E119" s="3" t="s">
        <v>1806</v>
      </c>
      <c r="F119" s="3" t="s">
        <v>977</v>
      </c>
      <c r="G119" s="3" t="s">
        <v>5708</v>
      </c>
      <c r="H119" s="6">
        <v>27719.328000000001</v>
      </c>
      <c r="I119" s="18"/>
    </row>
    <row r="120" spans="1:9" ht="15.75" customHeight="1" x14ac:dyDescent="0.35">
      <c r="A120" s="15"/>
      <c r="B120" s="3" t="s">
        <v>118</v>
      </c>
      <c r="C120" s="3" t="s">
        <v>2666</v>
      </c>
      <c r="D120" s="3" t="s">
        <v>861</v>
      </c>
      <c r="E120" s="3" t="s">
        <v>1807</v>
      </c>
      <c r="F120" s="3" t="s">
        <v>978</v>
      </c>
      <c r="G120" s="3" t="s">
        <v>5595</v>
      </c>
      <c r="H120" s="6">
        <v>42940.608</v>
      </c>
      <c r="I120" s="18"/>
    </row>
    <row r="121" spans="1:9" ht="15.75" customHeight="1" x14ac:dyDescent="0.35">
      <c r="A121" s="15"/>
      <c r="B121" s="3" t="s">
        <v>119</v>
      </c>
      <c r="C121" s="3" t="s">
        <v>2667</v>
      </c>
      <c r="D121" s="3" t="s">
        <v>860</v>
      </c>
      <c r="E121" s="3" t="s">
        <v>1808</v>
      </c>
      <c r="F121" s="3" t="s">
        <v>979</v>
      </c>
      <c r="G121" s="3" t="s">
        <v>5750</v>
      </c>
      <c r="H121" s="6">
        <v>35321.760000000002</v>
      </c>
      <c r="I121" s="18"/>
    </row>
    <row r="122" spans="1:9" ht="15.75" customHeight="1" x14ac:dyDescent="0.35">
      <c r="A122" s="15"/>
      <c r="B122" s="3" t="s">
        <v>120</v>
      </c>
      <c r="C122" s="3" t="s">
        <v>2668</v>
      </c>
      <c r="D122" s="3" t="s">
        <v>860</v>
      </c>
      <c r="E122" s="3" t="s">
        <v>1809</v>
      </c>
      <c r="F122" s="3" t="s">
        <v>980</v>
      </c>
      <c r="G122" s="3" t="s">
        <v>3505</v>
      </c>
      <c r="H122" s="6">
        <v>21698.304</v>
      </c>
      <c r="I122" s="18"/>
    </row>
    <row r="123" spans="1:9" ht="15.75" customHeight="1" x14ac:dyDescent="0.35">
      <c r="A123" s="15"/>
      <c r="B123" s="3" t="s">
        <v>121</v>
      </c>
      <c r="C123" s="3" t="s">
        <v>2669</v>
      </c>
      <c r="D123" s="3" t="s">
        <v>861</v>
      </c>
      <c r="E123" s="3" t="s">
        <v>1810</v>
      </c>
      <c r="F123" s="3" t="s">
        <v>981</v>
      </c>
      <c r="G123" s="3" t="s">
        <v>3506</v>
      </c>
      <c r="H123" s="6">
        <v>10701.407999999999</v>
      </c>
      <c r="I123" s="18"/>
    </row>
    <row r="124" spans="1:9" ht="15.75" customHeight="1" x14ac:dyDescent="0.35">
      <c r="A124" s="15"/>
      <c r="B124" s="3" t="s">
        <v>122</v>
      </c>
      <c r="C124" s="3" t="s">
        <v>2670</v>
      </c>
      <c r="D124" s="3" t="s">
        <v>861</v>
      </c>
      <c r="E124" s="3" t="s">
        <v>1811</v>
      </c>
      <c r="F124" s="3" t="s">
        <v>982</v>
      </c>
      <c r="G124" s="3" t="s">
        <v>3506</v>
      </c>
      <c r="H124" s="6">
        <v>10495.903999999999</v>
      </c>
      <c r="I124" s="18"/>
    </row>
    <row r="125" spans="1:9" ht="15.75" customHeight="1" x14ac:dyDescent="0.35">
      <c r="A125" s="15"/>
      <c r="B125" s="3" t="s">
        <v>123</v>
      </c>
      <c r="C125" s="3" t="s">
        <v>2671</v>
      </c>
      <c r="D125" s="3" t="s">
        <v>861</v>
      </c>
      <c r="E125" s="3" t="s">
        <v>1812</v>
      </c>
      <c r="F125" s="3" t="s">
        <v>983</v>
      </c>
      <c r="G125" s="3" t="s">
        <v>3507</v>
      </c>
      <c r="H125" s="6">
        <v>16366.751999999999</v>
      </c>
      <c r="I125" s="18"/>
    </row>
    <row r="126" spans="1:9" ht="15.75" customHeight="1" x14ac:dyDescent="0.35">
      <c r="A126" s="15"/>
      <c r="B126" s="3" t="s">
        <v>124</v>
      </c>
      <c r="C126" s="3" t="s">
        <v>2672</v>
      </c>
      <c r="D126" s="3" t="s">
        <v>861</v>
      </c>
      <c r="E126" s="3" t="s">
        <v>1813</v>
      </c>
      <c r="F126" s="3" t="s">
        <v>984</v>
      </c>
      <c r="G126" s="3" t="s">
        <v>3508</v>
      </c>
      <c r="H126" s="6">
        <v>18719.712</v>
      </c>
      <c r="I126" s="18"/>
    </row>
    <row r="127" spans="1:9" ht="15.75" customHeight="1" x14ac:dyDescent="0.35">
      <c r="A127" s="15"/>
      <c r="B127" s="3" t="s">
        <v>125</v>
      </c>
      <c r="C127" s="3" t="s">
        <v>2673</v>
      </c>
      <c r="D127" s="3" t="s">
        <v>861</v>
      </c>
      <c r="E127" s="3" t="s">
        <v>1814</v>
      </c>
      <c r="F127" s="3" t="s">
        <v>985</v>
      </c>
      <c r="G127" s="3" t="s">
        <v>5563</v>
      </c>
      <c r="H127" s="6">
        <v>9990.0479999999989</v>
      </c>
      <c r="I127" s="18"/>
    </row>
    <row r="128" spans="1:9" ht="15.75" customHeight="1" x14ac:dyDescent="0.35">
      <c r="A128" s="15"/>
      <c r="B128" s="3" t="s">
        <v>126</v>
      </c>
      <c r="C128" s="3" t="s">
        <v>2674</v>
      </c>
      <c r="D128" s="3" t="s">
        <v>860</v>
      </c>
      <c r="E128" s="3" t="s">
        <v>1815</v>
      </c>
      <c r="F128" s="3" t="s">
        <v>986</v>
      </c>
      <c r="G128" s="3" t="s">
        <v>5951</v>
      </c>
      <c r="H128" s="6">
        <v>72004.831999999995</v>
      </c>
      <c r="I128" s="18"/>
    </row>
    <row r="129" spans="1:9" ht="15.75" customHeight="1" x14ac:dyDescent="0.35">
      <c r="A129" s="15"/>
      <c r="B129" s="3" t="s">
        <v>127</v>
      </c>
      <c r="C129" s="3" t="s">
        <v>2675</v>
      </c>
      <c r="D129" s="3" t="s">
        <v>860</v>
      </c>
      <c r="E129" s="3" t="s">
        <v>1816</v>
      </c>
      <c r="F129" s="3" t="s">
        <v>987</v>
      </c>
      <c r="G129" s="3" t="s">
        <v>5543</v>
      </c>
      <c r="H129" s="6">
        <v>13905.567999999999</v>
      </c>
      <c r="I129" s="18"/>
    </row>
    <row r="130" spans="1:9" ht="15.75" customHeight="1" x14ac:dyDescent="0.35">
      <c r="A130" s="15"/>
      <c r="B130" s="3" t="s">
        <v>128</v>
      </c>
      <c r="C130" s="3" t="s">
        <v>2676</v>
      </c>
      <c r="D130" s="3" t="s">
        <v>861</v>
      </c>
      <c r="E130" s="3" t="s">
        <v>1817</v>
      </c>
      <c r="F130" s="3" t="s">
        <v>988</v>
      </c>
      <c r="G130" s="3" t="s">
        <v>5543</v>
      </c>
      <c r="H130" s="6">
        <v>33294.080000000002</v>
      </c>
      <c r="I130" s="18"/>
    </row>
    <row r="131" spans="1:9" ht="15.75" customHeight="1" x14ac:dyDescent="0.35">
      <c r="A131" s="15"/>
      <c r="B131" s="3" t="s">
        <v>129</v>
      </c>
      <c r="C131" s="3" t="s">
        <v>2677</v>
      </c>
      <c r="D131" s="3" t="s">
        <v>860</v>
      </c>
      <c r="E131" s="3" t="s">
        <v>1818</v>
      </c>
      <c r="F131" s="3" t="s">
        <v>989</v>
      </c>
      <c r="G131" s="3" t="s">
        <v>3509</v>
      </c>
      <c r="H131" s="6">
        <v>22184.095999999998</v>
      </c>
      <c r="I131" s="18"/>
    </row>
    <row r="132" spans="1:9" ht="15.75" customHeight="1" x14ac:dyDescent="0.35">
      <c r="A132" s="15"/>
      <c r="B132" s="3" t="s">
        <v>130</v>
      </c>
      <c r="C132" s="3" t="s">
        <v>2678</v>
      </c>
      <c r="D132" s="3" t="s">
        <v>861</v>
      </c>
      <c r="E132" s="3" t="s">
        <v>1819</v>
      </c>
      <c r="F132" s="3" t="s">
        <v>990</v>
      </c>
      <c r="G132" s="3" t="s">
        <v>3510</v>
      </c>
      <c r="H132" s="6">
        <v>24723.103999999999</v>
      </c>
      <c r="I132" s="18"/>
    </row>
    <row r="133" spans="1:9" ht="15.75" customHeight="1" x14ac:dyDescent="0.35">
      <c r="A133" s="15"/>
      <c r="B133" s="3" t="s">
        <v>131</v>
      </c>
      <c r="C133" s="3" t="s">
        <v>2679</v>
      </c>
      <c r="D133" s="3" t="s">
        <v>861</v>
      </c>
      <c r="E133" s="3" t="s">
        <v>1820</v>
      </c>
      <c r="F133" s="3" t="s">
        <v>991</v>
      </c>
      <c r="G133" s="3" t="s">
        <v>3511</v>
      </c>
      <c r="H133" s="6">
        <v>44661.247999999992</v>
      </c>
      <c r="I133" s="18"/>
    </row>
    <row r="134" spans="1:9" ht="15.75" customHeight="1" x14ac:dyDescent="0.35">
      <c r="A134" s="15"/>
      <c r="B134" s="3" t="s">
        <v>132</v>
      </c>
      <c r="C134" s="3" t="s">
        <v>2680</v>
      </c>
      <c r="D134" s="3" t="s">
        <v>860</v>
      </c>
      <c r="E134" s="3" t="s">
        <v>1821</v>
      </c>
      <c r="F134" s="3" t="s">
        <v>992</v>
      </c>
      <c r="G134" s="3" t="s">
        <v>5686</v>
      </c>
      <c r="H134" s="6">
        <v>23454.815999999999</v>
      </c>
      <c r="I134" s="18"/>
    </row>
    <row r="135" spans="1:9" ht="15.75" customHeight="1" x14ac:dyDescent="0.35">
      <c r="A135" s="15"/>
      <c r="B135" s="3" t="s">
        <v>133</v>
      </c>
      <c r="C135" s="3" t="s">
        <v>2681</v>
      </c>
      <c r="D135" s="3" t="s">
        <v>860</v>
      </c>
      <c r="E135" s="3" t="s">
        <v>1822</v>
      </c>
      <c r="F135" s="3" t="s">
        <v>993</v>
      </c>
      <c r="G135" s="3" t="s">
        <v>3512</v>
      </c>
      <c r="H135" s="6">
        <v>28447.712</v>
      </c>
      <c r="I135" s="18"/>
    </row>
    <row r="136" spans="1:9" ht="15.75" customHeight="1" x14ac:dyDescent="0.35">
      <c r="A136" s="15"/>
      <c r="B136" s="3" t="s">
        <v>134</v>
      </c>
      <c r="C136" s="3" t="s">
        <v>2682</v>
      </c>
      <c r="D136" s="3" t="s">
        <v>861</v>
      </c>
      <c r="E136" s="3" t="s">
        <v>1823</v>
      </c>
      <c r="F136" s="3" t="s">
        <v>994</v>
      </c>
      <c r="G136" s="3" t="s">
        <v>3513</v>
      </c>
      <c r="H136" s="6">
        <v>34220.063999999998</v>
      </c>
      <c r="I136" s="18"/>
    </row>
    <row r="137" spans="1:9" ht="15.75" customHeight="1" x14ac:dyDescent="0.35">
      <c r="A137" s="15"/>
      <c r="B137" s="3" t="s">
        <v>135</v>
      </c>
      <c r="C137" s="3" t="s">
        <v>2683</v>
      </c>
      <c r="D137" s="3" t="s">
        <v>861</v>
      </c>
      <c r="E137" s="3" t="s">
        <v>1824</v>
      </c>
      <c r="F137" s="3" t="s">
        <v>995</v>
      </c>
      <c r="G137" s="3" t="s">
        <v>3514</v>
      </c>
      <c r="H137" s="6">
        <v>34919.264000000003</v>
      </c>
      <c r="I137" s="18"/>
    </row>
    <row r="138" spans="1:9" ht="15.75" customHeight="1" x14ac:dyDescent="0.35">
      <c r="A138" s="15"/>
      <c r="B138" s="3" t="s">
        <v>136</v>
      </c>
      <c r="C138" s="3" t="s">
        <v>2684</v>
      </c>
      <c r="D138" s="3" t="s">
        <v>860</v>
      </c>
      <c r="E138" s="3" t="s">
        <v>1825</v>
      </c>
      <c r="F138" s="3" t="s">
        <v>996</v>
      </c>
      <c r="G138" s="3" t="s">
        <v>5544</v>
      </c>
      <c r="H138" s="6">
        <v>14351.84</v>
      </c>
      <c r="I138" s="18"/>
    </row>
    <row r="139" spans="1:9" ht="15.75" customHeight="1" x14ac:dyDescent="0.35">
      <c r="A139" s="15"/>
      <c r="B139" s="3" t="s">
        <v>137</v>
      </c>
      <c r="C139" s="3" t="s">
        <v>2685</v>
      </c>
      <c r="D139" s="3" t="s">
        <v>860</v>
      </c>
      <c r="E139" s="3" t="s">
        <v>1826</v>
      </c>
      <c r="F139" s="3" t="s">
        <v>997</v>
      </c>
      <c r="G139" s="3" t="s">
        <v>6210</v>
      </c>
      <c r="H139" s="6">
        <v>15087.52</v>
      </c>
      <c r="I139" s="18"/>
    </row>
    <row r="140" spans="1:9" ht="15.75" customHeight="1" x14ac:dyDescent="0.35">
      <c r="A140" s="15"/>
      <c r="B140" s="3" t="s">
        <v>138</v>
      </c>
      <c r="C140" s="3" t="s">
        <v>2686</v>
      </c>
      <c r="D140" s="3" t="s">
        <v>860</v>
      </c>
      <c r="E140" s="3" t="s">
        <v>1827</v>
      </c>
      <c r="F140" s="3" t="s">
        <v>998</v>
      </c>
      <c r="G140" s="3" t="s">
        <v>3515</v>
      </c>
      <c r="H140" s="6">
        <v>19222.528000000002</v>
      </c>
      <c r="I140" s="18"/>
    </row>
    <row r="141" spans="1:9" ht="15.75" customHeight="1" x14ac:dyDescent="0.35">
      <c r="A141" s="15"/>
      <c r="B141" s="3" t="s">
        <v>139</v>
      </c>
      <c r="C141" s="3" t="s">
        <v>2687</v>
      </c>
      <c r="D141" s="3" t="s">
        <v>860</v>
      </c>
      <c r="E141" s="3" t="s">
        <v>1828</v>
      </c>
      <c r="F141" s="3" t="s">
        <v>999</v>
      </c>
      <c r="G141" s="3" t="s">
        <v>6211</v>
      </c>
      <c r="H141" s="6">
        <v>13289.055999999999</v>
      </c>
      <c r="I141" s="18"/>
    </row>
    <row r="142" spans="1:9" ht="15.75" customHeight="1" x14ac:dyDescent="0.35">
      <c r="A142" s="15"/>
      <c r="B142" s="3" t="s">
        <v>140</v>
      </c>
      <c r="C142" s="3" t="s">
        <v>2688</v>
      </c>
      <c r="D142" s="3" t="s">
        <v>861</v>
      </c>
      <c r="E142" s="3" t="s">
        <v>1829</v>
      </c>
      <c r="F142" s="3" t="s">
        <v>1000</v>
      </c>
      <c r="G142" s="3" t="s">
        <v>3516</v>
      </c>
      <c r="H142" s="6">
        <v>18785.376</v>
      </c>
      <c r="I142" s="18"/>
    </row>
    <row r="143" spans="1:9" ht="15.75" customHeight="1" x14ac:dyDescent="0.35">
      <c r="A143" s="15"/>
      <c r="B143" s="3" t="s">
        <v>141</v>
      </c>
      <c r="C143" s="3" t="s">
        <v>2689</v>
      </c>
      <c r="D143" s="3" t="s">
        <v>860</v>
      </c>
      <c r="E143" s="3" t="s">
        <v>1830</v>
      </c>
      <c r="F143" s="3" t="s">
        <v>1001</v>
      </c>
      <c r="G143" s="3" t="s">
        <v>3516</v>
      </c>
      <c r="H143" s="6">
        <v>17849.663999999997</v>
      </c>
      <c r="I143" s="18"/>
    </row>
    <row r="144" spans="1:9" ht="15.75" customHeight="1" x14ac:dyDescent="0.35">
      <c r="A144" s="15"/>
      <c r="B144" s="3" t="s">
        <v>142</v>
      </c>
      <c r="C144" s="3" t="s">
        <v>2690</v>
      </c>
      <c r="D144" s="3" t="s">
        <v>861</v>
      </c>
      <c r="E144" s="3" t="s">
        <v>1831</v>
      </c>
      <c r="F144" s="3" t="s">
        <v>1002</v>
      </c>
      <c r="G144" s="3" t="s">
        <v>3517</v>
      </c>
      <c r="H144" s="6">
        <v>25410.752</v>
      </c>
      <c r="I144" s="18"/>
    </row>
    <row r="145" spans="1:9" ht="15.75" customHeight="1" x14ac:dyDescent="0.35">
      <c r="A145" s="15"/>
      <c r="B145" s="3" t="s">
        <v>143</v>
      </c>
      <c r="C145" s="3" t="s">
        <v>2691</v>
      </c>
      <c r="D145" s="3" t="s">
        <v>860</v>
      </c>
      <c r="E145" s="3" t="s">
        <v>1832</v>
      </c>
      <c r="F145" s="3" t="s">
        <v>1003</v>
      </c>
      <c r="G145" s="3" t="s">
        <v>3518</v>
      </c>
      <c r="H145" s="6">
        <v>12572.224</v>
      </c>
      <c r="I145" s="18"/>
    </row>
    <row r="146" spans="1:9" ht="15.75" customHeight="1" x14ac:dyDescent="0.35">
      <c r="A146" s="15"/>
      <c r="B146" s="3" t="s">
        <v>144</v>
      </c>
      <c r="C146" s="3" t="s">
        <v>2692</v>
      </c>
      <c r="D146" s="3" t="s">
        <v>860</v>
      </c>
      <c r="E146" s="3" t="s">
        <v>1833</v>
      </c>
      <c r="F146" s="3" t="s">
        <v>1004</v>
      </c>
      <c r="G146" s="3" t="s">
        <v>3519</v>
      </c>
      <c r="H146" s="6">
        <v>18247.903999999999</v>
      </c>
      <c r="I146" s="18"/>
    </row>
    <row r="147" spans="1:9" ht="15.75" customHeight="1" x14ac:dyDescent="0.35">
      <c r="A147" s="15"/>
      <c r="B147" s="3" t="s">
        <v>145</v>
      </c>
      <c r="C147" s="3" t="s">
        <v>2693</v>
      </c>
      <c r="D147" s="3" t="s">
        <v>860</v>
      </c>
      <c r="E147" s="3" t="s">
        <v>1834</v>
      </c>
      <c r="F147" s="3" t="s">
        <v>1005</v>
      </c>
      <c r="G147" s="3" t="s">
        <v>3520</v>
      </c>
      <c r="H147" s="6">
        <v>16609.344000000001</v>
      </c>
      <c r="I147" s="18"/>
    </row>
    <row r="148" spans="1:9" ht="15.75" customHeight="1" x14ac:dyDescent="0.35">
      <c r="A148" s="15"/>
      <c r="B148" s="3" t="s">
        <v>146</v>
      </c>
      <c r="C148" s="3" t="s">
        <v>2694</v>
      </c>
      <c r="D148" s="3" t="s">
        <v>860</v>
      </c>
      <c r="E148" s="3" t="s">
        <v>1835</v>
      </c>
      <c r="F148" s="3" t="s">
        <v>1006</v>
      </c>
      <c r="G148" s="3" t="s">
        <v>6212</v>
      </c>
      <c r="H148" s="6">
        <v>14010.751999999999</v>
      </c>
      <c r="I148" s="18"/>
    </row>
    <row r="149" spans="1:9" ht="15.75" customHeight="1" x14ac:dyDescent="0.35">
      <c r="A149" s="15"/>
      <c r="B149" s="3" t="s">
        <v>147</v>
      </c>
      <c r="C149" s="3" t="s">
        <v>2695</v>
      </c>
      <c r="D149" s="3" t="s">
        <v>861</v>
      </c>
      <c r="E149" s="3" t="s">
        <v>1836</v>
      </c>
      <c r="F149" s="3" t="s">
        <v>1007</v>
      </c>
      <c r="G149" s="3" t="s">
        <v>3521</v>
      </c>
      <c r="H149" s="6">
        <v>23849.407999999999</v>
      </c>
      <c r="I149" s="18"/>
    </row>
    <row r="150" spans="1:9" ht="15.75" customHeight="1" x14ac:dyDescent="0.35">
      <c r="A150" s="15"/>
      <c r="B150" s="3" t="s">
        <v>148</v>
      </c>
      <c r="C150" s="3" t="s">
        <v>2696</v>
      </c>
      <c r="D150" s="3" t="s">
        <v>861</v>
      </c>
      <c r="E150" s="3" t="s">
        <v>1837</v>
      </c>
      <c r="F150" s="3" t="s">
        <v>1008</v>
      </c>
      <c r="G150" s="3" t="s">
        <v>6019</v>
      </c>
      <c r="H150" s="6">
        <v>16270.08</v>
      </c>
      <c r="I150" s="18"/>
    </row>
    <row r="151" spans="1:9" ht="15.75" customHeight="1" x14ac:dyDescent="0.35">
      <c r="A151" s="15"/>
      <c r="B151" s="3" t="s">
        <v>149</v>
      </c>
      <c r="C151" s="3" t="s">
        <v>2697</v>
      </c>
      <c r="D151" s="3" t="s">
        <v>861</v>
      </c>
      <c r="E151" s="3" t="s">
        <v>1838</v>
      </c>
      <c r="F151" s="3" t="s">
        <v>1009</v>
      </c>
      <c r="G151" s="3" t="s">
        <v>3522</v>
      </c>
      <c r="H151" s="6">
        <v>31765.567999999999</v>
      </c>
      <c r="I151" s="18"/>
    </row>
    <row r="152" spans="1:9" ht="15.75" customHeight="1" x14ac:dyDescent="0.35">
      <c r="A152" s="15"/>
      <c r="B152" s="3" t="s">
        <v>150</v>
      </c>
      <c r="C152" s="3" t="s">
        <v>2698</v>
      </c>
      <c r="D152" s="3" t="s">
        <v>860</v>
      </c>
      <c r="E152" s="3" t="s">
        <v>1839</v>
      </c>
      <c r="F152" s="3" t="s">
        <v>1010</v>
      </c>
      <c r="G152" s="3" t="s">
        <v>3523</v>
      </c>
      <c r="H152" s="6">
        <v>35936.447999999997</v>
      </c>
      <c r="I152" s="18"/>
    </row>
    <row r="153" spans="1:9" ht="15.75" customHeight="1" x14ac:dyDescent="0.35">
      <c r="A153" s="15"/>
      <c r="B153" s="3" t="s">
        <v>151</v>
      </c>
      <c r="C153" s="3" t="s">
        <v>2699</v>
      </c>
      <c r="D153" s="3" t="s">
        <v>860</v>
      </c>
      <c r="E153" s="3" t="s">
        <v>1840</v>
      </c>
      <c r="F153" s="3" t="s">
        <v>1011</v>
      </c>
      <c r="G153" s="3" t="s">
        <v>3524</v>
      </c>
      <c r="H153" s="6">
        <v>54832.479999999996</v>
      </c>
      <c r="I153" s="18"/>
    </row>
    <row r="154" spans="1:9" ht="15.75" customHeight="1" x14ac:dyDescent="0.35">
      <c r="A154" s="15"/>
      <c r="B154" s="3" t="s">
        <v>152</v>
      </c>
      <c r="C154" s="3" t="s">
        <v>2700</v>
      </c>
      <c r="D154" s="3" t="s">
        <v>861</v>
      </c>
      <c r="E154" s="3" t="s">
        <v>1841</v>
      </c>
      <c r="F154" s="3" t="s">
        <v>1012</v>
      </c>
      <c r="G154" s="3" t="s">
        <v>3525</v>
      </c>
      <c r="H154" s="6">
        <v>39755.903999999995</v>
      </c>
      <c r="I154" s="18"/>
    </row>
    <row r="155" spans="1:9" ht="15.75" customHeight="1" x14ac:dyDescent="0.35">
      <c r="A155" s="15"/>
      <c r="B155" s="3" t="s">
        <v>153</v>
      </c>
      <c r="C155" s="3" t="s">
        <v>2701</v>
      </c>
      <c r="D155" s="3" t="s">
        <v>860</v>
      </c>
      <c r="E155" s="3" t="s">
        <v>1842</v>
      </c>
      <c r="F155" s="3" t="s">
        <v>1013</v>
      </c>
      <c r="G155" s="3" t="s">
        <v>3526</v>
      </c>
      <c r="H155" s="6">
        <v>25629.632000000001</v>
      </c>
      <c r="I155" s="18"/>
    </row>
    <row r="156" spans="1:9" ht="15.75" customHeight="1" x14ac:dyDescent="0.35">
      <c r="A156" s="15"/>
      <c r="B156" s="3" t="s">
        <v>154</v>
      </c>
      <c r="C156" s="3" t="s">
        <v>2702</v>
      </c>
      <c r="D156" s="3" t="s">
        <v>861</v>
      </c>
      <c r="E156" s="3" t="s">
        <v>1843</v>
      </c>
      <c r="F156" s="3" t="s">
        <v>1014</v>
      </c>
      <c r="G156" s="3" t="s">
        <v>3527</v>
      </c>
      <c r="H156" s="6">
        <v>18356.736000000001</v>
      </c>
      <c r="I156" s="18"/>
    </row>
    <row r="157" spans="1:9" ht="15.75" customHeight="1" x14ac:dyDescent="0.35">
      <c r="A157" s="15"/>
      <c r="B157" s="3" t="s">
        <v>155</v>
      </c>
      <c r="C157" s="3" t="s">
        <v>2703</v>
      </c>
      <c r="D157" s="3" t="s">
        <v>861</v>
      </c>
      <c r="E157" s="3" t="s">
        <v>1844</v>
      </c>
      <c r="F157" s="3" t="s">
        <v>1015</v>
      </c>
      <c r="G157" s="3" t="s">
        <v>5545</v>
      </c>
      <c r="H157" s="6">
        <v>34919.264000000003</v>
      </c>
      <c r="I157" s="18"/>
    </row>
    <row r="158" spans="1:9" ht="15.75" customHeight="1" x14ac:dyDescent="0.35">
      <c r="A158" s="15"/>
      <c r="B158" s="3" t="s">
        <v>156</v>
      </c>
      <c r="C158" s="3" t="s">
        <v>2704</v>
      </c>
      <c r="D158" s="3" t="s">
        <v>861</v>
      </c>
      <c r="E158" s="3" t="s">
        <v>1845</v>
      </c>
      <c r="F158" s="3" t="s">
        <v>1016</v>
      </c>
      <c r="G158" s="3" t="s">
        <v>3528</v>
      </c>
      <c r="H158" s="6">
        <v>40191.839999999997</v>
      </c>
      <c r="I158" s="18"/>
    </row>
    <row r="159" spans="1:9" ht="15.75" customHeight="1" x14ac:dyDescent="0.35">
      <c r="A159" s="15"/>
      <c r="B159" s="3" t="s">
        <v>157</v>
      </c>
      <c r="C159" s="3" t="s">
        <v>2705</v>
      </c>
      <c r="D159" s="3" t="s">
        <v>861</v>
      </c>
      <c r="E159" s="3" t="s">
        <v>1846</v>
      </c>
      <c r="F159" s="3" t="s">
        <v>1017</v>
      </c>
      <c r="G159" s="3" t="s">
        <v>3529</v>
      </c>
      <c r="H159" s="6">
        <v>13949.343999999999</v>
      </c>
      <c r="I159" s="18"/>
    </row>
    <row r="160" spans="1:9" ht="15.75" customHeight="1" x14ac:dyDescent="0.35">
      <c r="A160" s="15"/>
      <c r="B160" s="3" t="s">
        <v>158</v>
      </c>
      <c r="C160" s="3" t="s">
        <v>2706</v>
      </c>
      <c r="D160" s="3" t="s">
        <v>860</v>
      </c>
      <c r="E160" s="3" t="s">
        <v>1847</v>
      </c>
      <c r="F160" s="3" t="s">
        <v>1018</v>
      </c>
      <c r="G160" s="3" t="s">
        <v>3530</v>
      </c>
      <c r="H160" s="6">
        <v>25931.807999999997</v>
      </c>
      <c r="I160" s="18"/>
    </row>
    <row r="161" spans="1:9" ht="15.75" customHeight="1" x14ac:dyDescent="0.35">
      <c r="A161" s="15"/>
      <c r="B161" s="3" t="s">
        <v>159</v>
      </c>
      <c r="C161" s="3" t="s">
        <v>2707</v>
      </c>
      <c r="D161" s="3" t="s">
        <v>861</v>
      </c>
      <c r="E161" s="3" t="s">
        <v>1848</v>
      </c>
      <c r="F161" s="3" t="s">
        <v>1019</v>
      </c>
      <c r="G161" s="3" t="s">
        <v>3531</v>
      </c>
      <c r="H161" s="6">
        <v>20806.367999999999</v>
      </c>
      <c r="I161" s="18"/>
    </row>
    <row r="162" spans="1:9" ht="15.75" customHeight="1" x14ac:dyDescent="0.35">
      <c r="A162" s="15"/>
      <c r="B162" s="3" t="s">
        <v>160</v>
      </c>
      <c r="C162" s="3" t="s">
        <v>2708</v>
      </c>
      <c r="D162" s="3" t="s">
        <v>861</v>
      </c>
      <c r="E162" s="3" t="s">
        <v>1849</v>
      </c>
      <c r="F162" s="3" t="s">
        <v>1020</v>
      </c>
      <c r="G162" s="3" t="s">
        <v>3532</v>
      </c>
      <c r="H162" s="6">
        <v>10686.816000000001</v>
      </c>
      <c r="I162" s="18"/>
    </row>
    <row r="163" spans="1:9" ht="15.75" customHeight="1" x14ac:dyDescent="0.35">
      <c r="A163" s="15"/>
      <c r="B163" s="3" t="s">
        <v>161</v>
      </c>
      <c r="C163" s="3" t="s">
        <v>2709</v>
      </c>
      <c r="D163" s="3" t="s">
        <v>860</v>
      </c>
      <c r="E163" s="3" t="s">
        <v>1850</v>
      </c>
      <c r="F163" s="3" t="s">
        <v>1021</v>
      </c>
      <c r="G163" s="3" t="s">
        <v>3533</v>
      </c>
      <c r="H163" s="6">
        <v>27850.047999999999</v>
      </c>
      <c r="I163" s="18"/>
    </row>
    <row r="164" spans="1:9" ht="15.75" customHeight="1" x14ac:dyDescent="0.35">
      <c r="A164" s="15"/>
      <c r="B164" s="3" t="s">
        <v>162</v>
      </c>
      <c r="C164" s="3" t="s">
        <v>2710</v>
      </c>
      <c r="D164" s="3" t="s">
        <v>861</v>
      </c>
      <c r="E164" s="3" t="s">
        <v>1851</v>
      </c>
      <c r="F164" s="3" t="s">
        <v>1022</v>
      </c>
      <c r="G164" s="3" t="s">
        <v>3534</v>
      </c>
      <c r="H164" s="6">
        <v>26202.367999999999</v>
      </c>
      <c r="I164" s="18"/>
    </row>
    <row r="165" spans="1:9" ht="15.75" customHeight="1" x14ac:dyDescent="0.35">
      <c r="A165" s="15"/>
      <c r="B165" s="3" t="s">
        <v>163</v>
      </c>
      <c r="C165" s="3" t="s">
        <v>2711</v>
      </c>
      <c r="D165" s="3" t="s">
        <v>861</v>
      </c>
      <c r="E165" s="3" t="s">
        <v>1852</v>
      </c>
      <c r="F165" s="3" t="s">
        <v>1023</v>
      </c>
      <c r="G165" s="3" t="s">
        <v>3535</v>
      </c>
      <c r="H165" s="6">
        <v>38831.743999999999</v>
      </c>
      <c r="I165" s="18"/>
    </row>
    <row r="166" spans="1:9" ht="15.75" customHeight="1" x14ac:dyDescent="0.35">
      <c r="A166" s="15"/>
      <c r="B166" s="3" t="s">
        <v>164</v>
      </c>
      <c r="C166" s="3" t="s">
        <v>2712</v>
      </c>
      <c r="D166" s="3" t="s">
        <v>860</v>
      </c>
      <c r="E166" s="3" t="s">
        <v>1853</v>
      </c>
      <c r="F166" s="3" t="s">
        <v>1024</v>
      </c>
      <c r="G166" s="3" t="s">
        <v>3536</v>
      </c>
      <c r="H166" s="6">
        <v>14845.535999999998</v>
      </c>
      <c r="I166" s="18"/>
    </row>
    <row r="167" spans="1:9" ht="15.75" customHeight="1" x14ac:dyDescent="0.35">
      <c r="A167" s="15"/>
      <c r="B167" s="3" t="s">
        <v>165</v>
      </c>
      <c r="C167" s="3" t="s">
        <v>2713</v>
      </c>
      <c r="D167" s="3" t="s">
        <v>860</v>
      </c>
      <c r="E167" s="3" t="s">
        <v>1854</v>
      </c>
      <c r="F167" s="3" t="s">
        <v>1025</v>
      </c>
      <c r="G167" s="3" t="s">
        <v>3536</v>
      </c>
      <c r="H167" s="6">
        <v>16786.88</v>
      </c>
      <c r="I167" s="18"/>
    </row>
    <row r="168" spans="1:9" ht="15.75" customHeight="1" x14ac:dyDescent="0.35">
      <c r="A168" s="15"/>
      <c r="B168" s="3" t="s">
        <v>166</v>
      </c>
      <c r="C168" s="3" t="s">
        <v>2714</v>
      </c>
      <c r="D168" s="3" t="s">
        <v>861</v>
      </c>
      <c r="E168" s="3" t="s">
        <v>1855</v>
      </c>
      <c r="F168" s="3" t="s">
        <v>1026</v>
      </c>
      <c r="G168" s="3" t="s">
        <v>5546</v>
      </c>
      <c r="H168" s="6">
        <v>15563.583999999999</v>
      </c>
      <c r="I168" s="18"/>
    </row>
    <row r="169" spans="1:9" ht="15.75" customHeight="1" x14ac:dyDescent="0.35">
      <c r="A169" s="15"/>
      <c r="B169" s="3" t="s">
        <v>167</v>
      </c>
      <c r="C169" s="3" t="s">
        <v>2715</v>
      </c>
      <c r="D169" s="3" t="s">
        <v>860</v>
      </c>
      <c r="E169" s="3" t="s">
        <v>1856</v>
      </c>
      <c r="F169" s="3" t="s">
        <v>1027</v>
      </c>
      <c r="G169" s="3" t="s">
        <v>3537</v>
      </c>
      <c r="H169" s="6">
        <v>34919.264000000003</v>
      </c>
      <c r="I169" s="18"/>
    </row>
    <row r="170" spans="1:9" ht="15.75" customHeight="1" x14ac:dyDescent="0.35">
      <c r="A170" s="15"/>
      <c r="B170" s="3" t="s">
        <v>168</v>
      </c>
      <c r="C170" s="3" t="s">
        <v>2716</v>
      </c>
      <c r="D170" s="3" t="s">
        <v>860</v>
      </c>
      <c r="E170" s="3" t="s">
        <v>1857</v>
      </c>
      <c r="F170" s="3" t="s">
        <v>1028</v>
      </c>
      <c r="G170" s="3" t="s">
        <v>3538</v>
      </c>
      <c r="H170" s="6">
        <v>15754.495999999999</v>
      </c>
      <c r="I170" s="18"/>
    </row>
    <row r="171" spans="1:9" ht="15.75" customHeight="1" x14ac:dyDescent="0.35">
      <c r="A171" s="15"/>
      <c r="B171" s="3" t="s">
        <v>169</v>
      </c>
      <c r="C171" s="3" t="s">
        <v>2717</v>
      </c>
      <c r="D171" s="3" t="s">
        <v>861</v>
      </c>
      <c r="E171" s="3" t="s">
        <v>1858</v>
      </c>
      <c r="F171" s="3" t="s">
        <v>1029</v>
      </c>
      <c r="G171" s="3" t="s">
        <v>3539</v>
      </c>
      <c r="H171" s="6">
        <v>14765.279999999999</v>
      </c>
      <c r="I171" s="18"/>
    </row>
    <row r="172" spans="1:9" ht="15.75" customHeight="1" x14ac:dyDescent="0.35">
      <c r="A172" s="15"/>
      <c r="B172" s="3" t="s">
        <v>170</v>
      </c>
      <c r="C172" s="3" t="s">
        <v>2718</v>
      </c>
      <c r="D172" s="3" t="s">
        <v>861</v>
      </c>
      <c r="E172" s="3" t="s">
        <v>1859</v>
      </c>
      <c r="F172" s="3" t="s">
        <v>1030</v>
      </c>
      <c r="G172" s="3" t="s">
        <v>3540</v>
      </c>
      <c r="H172" s="6">
        <v>10686.816000000001</v>
      </c>
      <c r="I172" s="18"/>
    </row>
    <row r="173" spans="1:9" ht="15.75" customHeight="1" x14ac:dyDescent="0.35">
      <c r="A173" s="15"/>
      <c r="B173" s="3" t="s">
        <v>171</v>
      </c>
      <c r="C173" s="3" t="s">
        <v>2719</v>
      </c>
      <c r="D173" s="3" t="s">
        <v>861</v>
      </c>
      <c r="E173" s="3" t="s">
        <v>1860</v>
      </c>
      <c r="F173" s="3" t="s">
        <v>1031</v>
      </c>
      <c r="G173" s="3" t="s">
        <v>3541</v>
      </c>
      <c r="H173" s="6">
        <v>30755.68</v>
      </c>
      <c r="I173" s="18"/>
    </row>
    <row r="174" spans="1:9" ht="15.75" customHeight="1" x14ac:dyDescent="0.35">
      <c r="A174" s="15"/>
      <c r="B174" s="3" t="s">
        <v>172</v>
      </c>
      <c r="C174" s="3" t="s">
        <v>2720</v>
      </c>
      <c r="D174" s="3" t="s">
        <v>860</v>
      </c>
      <c r="E174" s="3" t="s">
        <v>1861</v>
      </c>
      <c r="F174" s="3" t="s">
        <v>1032</v>
      </c>
      <c r="G174" s="3" t="s">
        <v>3541</v>
      </c>
      <c r="H174" s="6">
        <v>26454.080000000002</v>
      </c>
      <c r="I174" s="18"/>
    </row>
    <row r="175" spans="1:9" ht="15.75" customHeight="1" x14ac:dyDescent="0.35">
      <c r="A175" s="15"/>
      <c r="B175" s="3" t="s">
        <v>173</v>
      </c>
      <c r="C175" s="3" t="s">
        <v>2721</v>
      </c>
      <c r="D175" s="3" t="s">
        <v>861</v>
      </c>
      <c r="E175" s="3" t="s">
        <v>1862</v>
      </c>
      <c r="F175" s="3" t="s">
        <v>1033</v>
      </c>
      <c r="G175" s="3" t="s">
        <v>3542</v>
      </c>
      <c r="H175" s="6">
        <v>65940.639999999999</v>
      </c>
      <c r="I175" s="18"/>
    </row>
    <row r="176" spans="1:9" ht="15.75" customHeight="1" x14ac:dyDescent="0.35">
      <c r="A176" s="15"/>
      <c r="B176" s="3" t="s">
        <v>174</v>
      </c>
      <c r="C176" s="3" t="s">
        <v>2722</v>
      </c>
      <c r="D176" s="3" t="s">
        <v>860</v>
      </c>
      <c r="E176" s="3" t="s">
        <v>1863</v>
      </c>
      <c r="F176" s="3" t="s">
        <v>1034</v>
      </c>
      <c r="G176" s="3" t="s">
        <v>3542</v>
      </c>
      <c r="H176" s="6">
        <v>20134.528000000002</v>
      </c>
      <c r="I176" s="18"/>
    </row>
    <row r="177" spans="1:9" ht="15.75" customHeight="1" x14ac:dyDescent="0.35">
      <c r="A177" s="15"/>
      <c r="B177" s="3" t="s">
        <v>175</v>
      </c>
      <c r="C177" s="3" t="s">
        <v>2723</v>
      </c>
      <c r="D177" s="3" t="s">
        <v>861</v>
      </c>
      <c r="E177" s="3" t="s">
        <v>1864</v>
      </c>
      <c r="F177" s="3" t="s">
        <v>1035</v>
      </c>
      <c r="G177" s="3" t="s">
        <v>3543</v>
      </c>
      <c r="H177" s="6">
        <v>21293.984</v>
      </c>
      <c r="I177" s="18"/>
    </row>
    <row r="178" spans="1:9" ht="15.75" customHeight="1" x14ac:dyDescent="0.35">
      <c r="A178" s="15"/>
      <c r="B178" s="3" t="s">
        <v>176</v>
      </c>
      <c r="C178" s="3" t="s">
        <v>2724</v>
      </c>
      <c r="D178" s="3" t="s">
        <v>860</v>
      </c>
      <c r="E178" s="3" t="s">
        <v>1865</v>
      </c>
      <c r="F178" s="3" t="s">
        <v>1036</v>
      </c>
      <c r="G178" s="3" t="s">
        <v>3543</v>
      </c>
      <c r="H178" s="6">
        <v>17939.04</v>
      </c>
      <c r="I178" s="18"/>
    </row>
    <row r="179" spans="1:9" ht="15.75" customHeight="1" x14ac:dyDescent="0.35">
      <c r="A179" s="15"/>
      <c r="B179" s="3" t="s">
        <v>177</v>
      </c>
      <c r="C179" s="3" t="s">
        <v>2725</v>
      </c>
      <c r="D179" s="3" t="s">
        <v>860</v>
      </c>
      <c r="E179" s="3" t="s">
        <v>1866</v>
      </c>
      <c r="F179" s="3" t="s">
        <v>1037</v>
      </c>
      <c r="G179" s="3" t="s">
        <v>5547</v>
      </c>
      <c r="H179" s="6">
        <v>25534.175999999999</v>
      </c>
      <c r="I179" s="18"/>
    </row>
    <row r="180" spans="1:9" ht="15.75" customHeight="1" x14ac:dyDescent="0.35">
      <c r="A180" s="15"/>
      <c r="B180" s="3" t="s">
        <v>178</v>
      </c>
      <c r="C180" s="3" t="s">
        <v>2726</v>
      </c>
      <c r="D180" s="3" t="s">
        <v>860</v>
      </c>
      <c r="E180" s="3" t="s">
        <v>1867</v>
      </c>
      <c r="F180" s="3" t="s">
        <v>929</v>
      </c>
      <c r="G180" s="3" t="s">
        <v>3544</v>
      </c>
      <c r="H180" s="6">
        <v>33520.256000000001</v>
      </c>
      <c r="I180" s="18"/>
    </row>
    <row r="181" spans="1:9" ht="15.75" customHeight="1" x14ac:dyDescent="0.35">
      <c r="A181" s="15"/>
      <c r="B181" s="3" t="s">
        <v>179</v>
      </c>
      <c r="C181" s="3" t="s">
        <v>2727</v>
      </c>
      <c r="D181" s="3" t="s">
        <v>860</v>
      </c>
      <c r="E181" s="3" t="s">
        <v>1868</v>
      </c>
      <c r="F181" s="3" t="s">
        <v>1038</v>
      </c>
      <c r="G181" s="3" t="s">
        <v>3545</v>
      </c>
      <c r="H181" s="6">
        <v>16523.007999999998</v>
      </c>
      <c r="I181" s="18"/>
    </row>
    <row r="182" spans="1:9" ht="15.75" customHeight="1" x14ac:dyDescent="0.35">
      <c r="A182" s="15"/>
      <c r="B182" s="3" t="s">
        <v>180</v>
      </c>
      <c r="C182" s="3" t="s">
        <v>2728</v>
      </c>
      <c r="D182" s="3" t="s">
        <v>861</v>
      </c>
      <c r="E182" s="3" t="s">
        <v>1869</v>
      </c>
      <c r="F182" s="3" t="s">
        <v>1039</v>
      </c>
      <c r="G182" s="3" t="s">
        <v>6213</v>
      </c>
      <c r="H182" s="6">
        <v>9582.6880000000001</v>
      </c>
      <c r="I182" s="18"/>
    </row>
    <row r="183" spans="1:9" ht="15.75" customHeight="1" x14ac:dyDescent="0.35">
      <c r="A183" s="15"/>
      <c r="B183" s="3" t="s">
        <v>181</v>
      </c>
      <c r="C183" s="3" t="s">
        <v>2729</v>
      </c>
      <c r="D183" s="3" t="s">
        <v>861</v>
      </c>
      <c r="E183" s="3" t="s">
        <v>1870</v>
      </c>
      <c r="F183" s="3" t="s">
        <v>1040</v>
      </c>
      <c r="G183" s="3" t="s">
        <v>6214</v>
      </c>
      <c r="H183" s="6">
        <v>40660</v>
      </c>
      <c r="I183" s="18"/>
    </row>
    <row r="184" spans="1:9" ht="15.75" customHeight="1" x14ac:dyDescent="0.35">
      <c r="A184" s="15"/>
      <c r="B184" s="3" t="s">
        <v>182</v>
      </c>
      <c r="C184" s="3" t="s">
        <v>2730</v>
      </c>
      <c r="D184" s="3" t="s">
        <v>861</v>
      </c>
      <c r="E184" s="3" t="s">
        <v>1871</v>
      </c>
      <c r="F184" s="3" t="s">
        <v>1041</v>
      </c>
      <c r="G184" s="3" t="s">
        <v>6215</v>
      </c>
      <c r="H184" s="6">
        <v>10583.455999999998</v>
      </c>
      <c r="I184" s="18"/>
    </row>
    <row r="185" spans="1:9" ht="15.75" customHeight="1" x14ac:dyDescent="0.35">
      <c r="A185" s="15"/>
      <c r="B185" s="3" t="s">
        <v>183</v>
      </c>
      <c r="C185" s="3" t="s">
        <v>2731</v>
      </c>
      <c r="D185" s="3" t="s">
        <v>860</v>
      </c>
      <c r="E185" s="3" t="s">
        <v>1872</v>
      </c>
      <c r="F185" s="3" t="s">
        <v>1042</v>
      </c>
      <c r="G185" s="3" t="s">
        <v>3546</v>
      </c>
      <c r="H185" s="6">
        <v>39367.392</v>
      </c>
      <c r="I185" s="18"/>
    </row>
    <row r="186" spans="1:9" ht="15.75" customHeight="1" x14ac:dyDescent="0.35">
      <c r="A186" s="15"/>
      <c r="B186" s="3" t="s">
        <v>184</v>
      </c>
      <c r="C186" s="3" t="s">
        <v>2732</v>
      </c>
      <c r="D186" s="3" t="s">
        <v>861</v>
      </c>
      <c r="E186" s="3" t="s">
        <v>1873</v>
      </c>
      <c r="F186" s="3" t="s">
        <v>1043</v>
      </c>
      <c r="G186" s="3" t="s">
        <v>3547</v>
      </c>
      <c r="H186" s="6">
        <v>10481.92</v>
      </c>
      <c r="I186" s="18"/>
    </row>
    <row r="187" spans="1:9" ht="15.75" customHeight="1" x14ac:dyDescent="0.35">
      <c r="A187" s="15"/>
      <c r="B187" s="3" t="s">
        <v>185</v>
      </c>
      <c r="C187" s="3" t="s">
        <v>2733</v>
      </c>
      <c r="D187" s="3" t="s">
        <v>861</v>
      </c>
      <c r="E187" s="3" t="s">
        <v>1874</v>
      </c>
      <c r="F187" s="3" t="s">
        <v>1044</v>
      </c>
      <c r="G187" s="3" t="s">
        <v>3548</v>
      </c>
      <c r="H187" s="6">
        <v>20217.823999999997</v>
      </c>
      <c r="I187" s="18"/>
    </row>
    <row r="188" spans="1:9" ht="15.75" customHeight="1" x14ac:dyDescent="0.35">
      <c r="A188" s="15"/>
      <c r="B188" s="3" t="s">
        <v>186</v>
      </c>
      <c r="C188" s="3" t="s">
        <v>2734</v>
      </c>
      <c r="D188" s="3" t="s">
        <v>861</v>
      </c>
      <c r="E188" s="3" t="s">
        <v>1875</v>
      </c>
      <c r="F188" s="3" t="s">
        <v>1045</v>
      </c>
      <c r="G188" s="3" t="s">
        <v>6216</v>
      </c>
      <c r="H188" s="6">
        <v>11513.088</v>
      </c>
      <c r="I188" s="18"/>
    </row>
    <row r="189" spans="1:9" ht="15.75" customHeight="1" x14ac:dyDescent="0.35">
      <c r="A189" s="15"/>
      <c r="B189" s="3" t="s">
        <v>187</v>
      </c>
      <c r="C189" s="3" t="s">
        <v>2735</v>
      </c>
      <c r="D189" s="3" t="s">
        <v>861</v>
      </c>
      <c r="E189" s="3" t="s">
        <v>1876</v>
      </c>
      <c r="F189" s="3" t="s">
        <v>1046</v>
      </c>
      <c r="G189" s="3" t="s">
        <v>3549</v>
      </c>
      <c r="H189" s="6">
        <v>34254.719999999994</v>
      </c>
      <c r="I189" s="18"/>
    </row>
    <row r="190" spans="1:9" ht="15.75" customHeight="1" x14ac:dyDescent="0.35">
      <c r="A190" s="15"/>
      <c r="B190" s="3" t="s">
        <v>188</v>
      </c>
      <c r="C190" s="3" t="s">
        <v>2736</v>
      </c>
      <c r="D190" s="3" t="s">
        <v>861</v>
      </c>
      <c r="E190" s="3" t="s">
        <v>1877</v>
      </c>
      <c r="F190" s="3" t="s">
        <v>1047</v>
      </c>
      <c r="G190" s="3" t="s">
        <v>3550</v>
      </c>
      <c r="H190" s="6">
        <v>34070.495999999999</v>
      </c>
      <c r="I190" s="18"/>
    </row>
    <row r="191" spans="1:9" ht="15.75" customHeight="1" x14ac:dyDescent="0.35">
      <c r="A191" s="15"/>
      <c r="B191" s="3" t="s">
        <v>189</v>
      </c>
      <c r="C191" s="3" t="s">
        <v>2737</v>
      </c>
      <c r="D191" s="3" t="s">
        <v>861</v>
      </c>
      <c r="E191" s="3" t="s">
        <v>1878</v>
      </c>
      <c r="F191" s="3" t="s">
        <v>1048</v>
      </c>
      <c r="G191" s="3" t="s">
        <v>5442</v>
      </c>
      <c r="H191" s="6">
        <v>20430.623999999996</v>
      </c>
      <c r="I191" s="18"/>
    </row>
    <row r="192" spans="1:9" ht="15.75" customHeight="1" x14ac:dyDescent="0.35">
      <c r="A192" s="15"/>
      <c r="B192" s="3" t="s">
        <v>190</v>
      </c>
      <c r="C192" s="3" t="s">
        <v>2738</v>
      </c>
      <c r="D192" s="3" t="s">
        <v>861</v>
      </c>
      <c r="E192" s="3" t="s">
        <v>1879</v>
      </c>
      <c r="F192" s="3" t="s">
        <v>1049</v>
      </c>
      <c r="G192" s="3" t="s">
        <v>3551</v>
      </c>
      <c r="H192" s="6">
        <v>32166.847999999994</v>
      </c>
      <c r="I192" s="18"/>
    </row>
    <row r="193" spans="1:9" ht="15.75" customHeight="1" x14ac:dyDescent="0.35">
      <c r="A193" s="15"/>
      <c r="B193" s="3" t="s">
        <v>191</v>
      </c>
      <c r="C193" s="3" t="s">
        <v>2739</v>
      </c>
      <c r="D193" s="3" t="s">
        <v>860</v>
      </c>
      <c r="E193" s="3" t="s">
        <v>1880</v>
      </c>
      <c r="F193" s="3" t="s">
        <v>1050</v>
      </c>
      <c r="G193" s="3" t="s">
        <v>6217</v>
      </c>
      <c r="H193" s="6">
        <v>12949.183999999999</v>
      </c>
      <c r="I193" s="18"/>
    </row>
    <row r="194" spans="1:9" ht="15.75" customHeight="1" x14ac:dyDescent="0.35">
      <c r="A194" s="15"/>
      <c r="B194" s="3" t="s">
        <v>192</v>
      </c>
      <c r="C194" s="3" t="s">
        <v>2740</v>
      </c>
      <c r="D194" s="3" t="s">
        <v>861</v>
      </c>
      <c r="E194" s="3" t="s">
        <v>1881</v>
      </c>
      <c r="F194" s="3" t="s">
        <v>1051</v>
      </c>
      <c r="G194" s="3" t="s">
        <v>3552</v>
      </c>
      <c r="H194" s="6">
        <v>14797.503999999999</v>
      </c>
      <c r="I194" s="18"/>
    </row>
    <row r="195" spans="1:9" ht="15.75" customHeight="1" x14ac:dyDescent="0.35">
      <c r="A195" s="15"/>
      <c r="B195" s="3" t="s">
        <v>193</v>
      </c>
      <c r="C195" s="3" t="s">
        <v>2741</v>
      </c>
      <c r="D195" s="3" t="s">
        <v>860</v>
      </c>
      <c r="E195" s="3" t="s">
        <v>1882</v>
      </c>
      <c r="F195" s="3" t="s">
        <v>1052</v>
      </c>
      <c r="G195" s="3" t="s">
        <v>3553</v>
      </c>
      <c r="H195" s="6">
        <v>19530.784</v>
      </c>
      <c r="I195" s="18"/>
    </row>
    <row r="196" spans="1:9" ht="15.75" customHeight="1" x14ac:dyDescent="0.35">
      <c r="A196" s="15"/>
      <c r="B196" s="3" t="s">
        <v>194</v>
      </c>
      <c r="C196" s="3" t="s">
        <v>2742</v>
      </c>
      <c r="D196" s="3" t="s">
        <v>860</v>
      </c>
      <c r="E196" s="3" t="s">
        <v>1883</v>
      </c>
      <c r="F196" s="3" t="s">
        <v>1053</v>
      </c>
      <c r="G196" s="3" t="s">
        <v>3553</v>
      </c>
      <c r="H196" s="6">
        <v>19409.184000000001</v>
      </c>
      <c r="I196" s="18"/>
    </row>
    <row r="197" spans="1:9" ht="15.75" customHeight="1" x14ac:dyDescent="0.35">
      <c r="A197" s="15"/>
      <c r="B197" s="3" t="s">
        <v>195</v>
      </c>
      <c r="C197" s="3" t="s">
        <v>2743</v>
      </c>
      <c r="D197" s="3" t="s">
        <v>861</v>
      </c>
      <c r="E197" s="3" t="s">
        <v>1884</v>
      </c>
      <c r="F197" s="3" t="s">
        <v>1054</v>
      </c>
      <c r="G197" s="3" t="s">
        <v>3553</v>
      </c>
      <c r="H197" s="6">
        <v>36808.32</v>
      </c>
      <c r="I197" s="18"/>
    </row>
    <row r="198" spans="1:9" ht="15.75" customHeight="1" x14ac:dyDescent="0.35">
      <c r="A198" s="15"/>
      <c r="B198" s="3" t="s">
        <v>196</v>
      </c>
      <c r="C198" s="3" t="s">
        <v>2744</v>
      </c>
      <c r="D198" s="3" t="s">
        <v>861</v>
      </c>
      <c r="E198" s="3" t="s">
        <v>1885</v>
      </c>
      <c r="F198" s="3" t="s">
        <v>1055</v>
      </c>
      <c r="G198" s="3" t="s">
        <v>5497</v>
      </c>
      <c r="H198" s="6">
        <v>27682.847999999998</v>
      </c>
      <c r="I198" s="18"/>
    </row>
    <row r="199" spans="1:9" ht="15.75" customHeight="1" x14ac:dyDescent="0.35">
      <c r="A199" s="15"/>
      <c r="B199" s="3" t="s">
        <v>197</v>
      </c>
      <c r="C199" s="3" t="s">
        <v>2745</v>
      </c>
      <c r="D199" s="3" t="s">
        <v>861</v>
      </c>
      <c r="E199" s="3" t="s">
        <v>1886</v>
      </c>
      <c r="F199" s="3" t="s">
        <v>1056</v>
      </c>
      <c r="G199" s="3" t="s">
        <v>6218</v>
      </c>
      <c r="H199" s="6">
        <v>36791.903999999995</v>
      </c>
      <c r="I199" s="18"/>
    </row>
    <row r="200" spans="1:9" ht="15.75" customHeight="1" x14ac:dyDescent="0.35">
      <c r="A200" s="15"/>
      <c r="B200" s="3" t="s">
        <v>198</v>
      </c>
      <c r="C200" s="3" t="s">
        <v>2746</v>
      </c>
      <c r="D200" s="3" t="s">
        <v>861</v>
      </c>
      <c r="E200" s="3" t="s">
        <v>1887</v>
      </c>
      <c r="F200" s="3" t="s">
        <v>1057</v>
      </c>
      <c r="G200" s="3" t="s">
        <v>3555</v>
      </c>
      <c r="H200" s="6">
        <v>20116.896000000001</v>
      </c>
      <c r="I200" s="18"/>
    </row>
    <row r="201" spans="1:9" ht="15.75" customHeight="1" x14ac:dyDescent="0.35">
      <c r="A201" s="15"/>
      <c r="B201" s="3" t="s">
        <v>199</v>
      </c>
      <c r="C201" s="3" t="s">
        <v>2747</v>
      </c>
      <c r="D201" s="3" t="s">
        <v>861</v>
      </c>
      <c r="E201" s="3" t="s">
        <v>1888</v>
      </c>
      <c r="F201" s="3" t="s">
        <v>1058</v>
      </c>
      <c r="G201" s="3" t="s">
        <v>3556</v>
      </c>
      <c r="H201" s="6">
        <v>47164.383999999998</v>
      </c>
      <c r="I201" s="18"/>
    </row>
    <row r="202" spans="1:9" ht="15.75" customHeight="1" x14ac:dyDescent="0.35">
      <c r="A202" s="15"/>
      <c r="B202" s="3" t="s">
        <v>200</v>
      </c>
      <c r="C202" s="3" t="s">
        <v>2748</v>
      </c>
      <c r="D202" s="3" t="s">
        <v>861</v>
      </c>
      <c r="E202" s="3" t="s">
        <v>1889</v>
      </c>
      <c r="F202" s="3" t="s">
        <v>1059</v>
      </c>
      <c r="G202" s="3" t="s">
        <v>3557</v>
      </c>
      <c r="H202" s="6">
        <v>29066.047999999999</v>
      </c>
      <c r="I202" s="18"/>
    </row>
    <row r="203" spans="1:9" ht="15.75" customHeight="1" x14ac:dyDescent="0.35">
      <c r="A203" s="15"/>
      <c r="B203" s="3" t="s">
        <v>201</v>
      </c>
      <c r="C203" s="3" t="s">
        <v>2749</v>
      </c>
      <c r="D203" s="3" t="s">
        <v>860</v>
      </c>
      <c r="E203" s="3" t="s">
        <v>1890</v>
      </c>
      <c r="F203" s="3" t="s">
        <v>1060</v>
      </c>
      <c r="G203" s="3" t="s">
        <v>3558</v>
      </c>
      <c r="H203" s="6">
        <v>34079.615999999995</v>
      </c>
      <c r="I203" s="18"/>
    </row>
    <row r="204" spans="1:9" ht="15.75" customHeight="1" x14ac:dyDescent="0.35">
      <c r="A204" s="15"/>
      <c r="B204" s="3" t="s">
        <v>202</v>
      </c>
      <c r="C204" s="3" t="s">
        <v>2750</v>
      </c>
      <c r="D204" s="3" t="s">
        <v>861</v>
      </c>
      <c r="E204" s="3" t="s">
        <v>1891</v>
      </c>
      <c r="F204" s="3" t="s">
        <v>1061</v>
      </c>
      <c r="G204" s="3" t="s">
        <v>6219</v>
      </c>
      <c r="H204" s="6">
        <v>10686.816000000001</v>
      </c>
      <c r="I204" s="18"/>
    </row>
    <row r="205" spans="1:9" ht="15.75" customHeight="1" x14ac:dyDescent="0.35">
      <c r="A205" s="15"/>
      <c r="B205" s="3" t="s">
        <v>203</v>
      </c>
      <c r="C205" s="3" t="s">
        <v>2751</v>
      </c>
      <c r="D205" s="3" t="s">
        <v>860</v>
      </c>
      <c r="E205" s="3" t="s">
        <v>1892</v>
      </c>
      <c r="F205" s="3" t="s">
        <v>1062</v>
      </c>
      <c r="G205" s="3" t="s">
        <v>3559</v>
      </c>
      <c r="H205" s="6">
        <v>45620.671999999999</v>
      </c>
      <c r="I205" s="18"/>
    </row>
    <row r="206" spans="1:9" ht="15.75" customHeight="1" x14ac:dyDescent="0.35">
      <c r="A206" s="15"/>
      <c r="B206" s="3" t="s">
        <v>204</v>
      </c>
      <c r="C206" s="3" t="s">
        <v>2752</v>
      </c>
      <c r="D206" s="3" t="s">
        <v>861</v>
      </c>
      <c r="E206" s="3" t="s">
        <v>1893</v>
      </c>
      <c r="F206" s="3" t="s">
        <v>1063</v>
      </c>
      <c r="G206" s="3" t="s">
        <v>3560</v>
      </c>
      <c r="H206" s="6">
        <v>13228.864</v>
      </c>
      <c r="I206" s="18"/>
    </row>
    <row r="207" spans="1:9" ht="15.75" customHeight="1" x14ac:dyDescent="0.35">
      <c r="A207" s="15"/>
      <c r="B207" s="3" t="s">
        <v>205</v>
      </c>
      <c r="C207" s="3" t="s">
        <v>2753</v>
      </c>
      <c r="D207" s="3" t="s">
        <v>861</v>
      </c>
      <c r="E207" s="3" t="s">
        <v>1894</v>
      </c>
      <c r="F207" s="3" t="s">
        <v>1064</v>
      </c>
      <c r="G207" s="3" t="s">
        <v>3561</v>
      </c>
      <c r="H207" s="6">
        <v>16495.648000000001</v>
      </c>
      <c r="I207" s="18"/>
    </row>
    <row r="208" spans="1:9" ht="15.75" customHeight="1" x14ac:dyDescent="0.35">
      <c r="A208" s="15"/>
      <c r="B208" s="3" t="s">
        <v>206</v>
      </c>
      <c r="C208" s="3" t="s">
        <v>2754</v>
      </c>
      <c r="D208" s="3" t="s">
        <v>860</v>
      </c>
      <c r="E208" s="3" t="s">
        <v>1895</v>
      </c>
      <c r="F208" s="3" t="s">
        <v>1065</v>
      </c>
      <c r="G208" s="3" t="s">
        <v>3562</v>
      </c>
      <c r="H208" s="6">
        <v>18818.815999999999</v>
      </c>
      <c r="I208" s="18"/>
    </row>
    <row r="209" spans="1:9" ht="15.75" customHeight="1" x14ac:dyDescent="0.35">
      <c r="A209" s="15"/>
      <c r="B209" s="3" t="s">
        <v>207</v>
      </c>
      <c r="C209" s="3" t="s">
        <v>2755</v>
      </c>
      <c r="D209" s="3" t="s">
        <v>860</v>
      </c>
      <c r="E209" s="3" t="s">
        <v>1896</v>
      </c>
      <c r="F209" s="3" t="s">
        <v>1066</v>
      </c>
      <c r="G209" s="3" t="s">
        <v>3563</v>
      </c>
      <c r="H209" s="6">
        <v>12721.183999999999</v>
      </c>
      <c r="I209" s="18"/>
    </row>
    <row r="210" spans="1:9" ht="15.75" customHeight="1" x14ac:dyDescent="0.35">
      <c r="A210" s="15"/>
      <c r="B210" s="3" t="s">
        <v>208</v>
      </c>
      <c r="C210" s="3" t="s">
        <v>2756</v>
      </c>
      <c r="D210" s="3" t="s">
        <v>860</v>
      </c>
      <c r="E210" s="3" t="s">
        <v>1897</v>
      </c>
      <c r="F210" s="3" t="s">
        <v>1067</v>
      </c>
      <c r="G210" s="3" t="s">
        <v>3564</v>
      </c>
      <c r="H210" s="6">
        <v>15268.704</v>
      </c>
      <c r="I210" s="18"/>
    </row>
    <row r="211" spans="1:9" ht="15.75" customHeight="1" x14ac:dyDescent="0.35">
      <c r="A211" s="15"/>
      <c r="B211" s="3" t="s">
        <v>209</v>
      </c>
      <c r="C211" s="3" t="s">
        <v>2757</v>
      </c>
      <c r="D211" s="3" t="s">
        <v>861</v>
      </c>
      <c r="E211" s="3" t="s">
        <v>1898</v>
      </c>
      <c r="F211" s="3" t="s">
        <v>1068</v>
      </c>
      <c r="G211" s="3" t="s">
        <v>3565</v>
      </c>
      <c r="H211" s="6">
        <v>48070.911999999997</v>
      </c>
      <c r="I211" s="18"/>
    </row>
    <row r="212" spans="1:9" ht="15.75" customHeight="1" x14ac:dyDescent="0.35">
      <c r="A212" s="15"/>
      <c r="B212" s="3" t="s">
        <v>210</v>
      </c>
      <c r="C212" s="3" t="s">
        <v>2758</v>
      </c>
      <c r="D212" s="3" t="s">
        <v>860</v>
      </c>
      <c r="E212" s="3" t="s">
        <v>1899</v>
      </c>
      <c r="F212" s="3" t="s">
        <v>1069</v>
      </c>
      <c r="G212" s="3" t="s">
        <v>5549</v>
      </c>
      <c r="H212" s="6">
        <v>38266.303999999996</v>
      </c>
      <c r="I212" s="18"/>
    </row>
    <row r="213" spans="1:9" ht="15.75" customHeight="1" x14ac:dyDescent="0.35">
      <c r="A213" s="15"/>
      <c r="B213" s="3" t="s">
        <v>211</v>
      </c>
      <c r="C213" s="3" t="s">
        <v>2759</v>
      </c>
      <c r="D213" s="3" t="s">
        <v>861</v>
      </c>
      <c r="E213" s="3" t="s">
        <v>1900</v>
      </c>
      <c r="F213" s="3" t="s">
        <v>1070</v>
      </c>
      <c r="G213" s="3" t="s">
        <v>3566</v>
      </c>
      <c r="H213" s="6">
        <v>18514.815999999999</v>
      </c>
      <c r="I213" s="18"/>
    </row>
    <row r="214" spans="1:9" ht="15.75" customHeight="1" x14ac:dyDescent="0.35">
      <c r="A214" s="15"/>
      <c r="B214" s="3" t="s">
        <v>212</v>
      </c>
      <c r="C214" s="3" t="s">
        <v>2760</v>
      </c>
      <c r="D214" s="3" t="s">
        <v>860</v>
      </c>
      <c r="E214" s="3" t="s">
        <v>1901</v>
      </c>
      <c r="F214" s="3" t="s">
        <v>1071</v>
      </c>
      <c r="G214" s="3" t="s">
        <v>3567</v>
      </c>
      <c r="H214" s="6">
        <v>14244.831999999999</v>
      </c>
      <c r="I214" s="18"/>
    </row>
    <row r="215" spans="1:9" ht="15.75" customHeight="1" x14ac:dyDescent="0.35">
      <c r="A215" s="15"/>
      <c r="B215" s="3" t="s">
        <v>213</v>
      </c>
      <c r="C215" s="3" t="s">
        <v>2761</v>
      </c>
      <c r="D215" s="3" t="s">
        <v>861</v>
      </c>
      <c r="E215" s="3" t="s">
        <v>1902</v>
      </c>
      <c r="F215" s="3" t="s">
        <v>1072</v>
      </c>
      <c r="G215" s="3" t="s">
        <v>3568</v>
      </c>
      <c r="H215" s="6">
        <v>39019.007999999994</v>
      </c>
      <c r="I215" s="18"/>
    </row>
    <row r="216" spans="1:9" ht="15.75" customHeight="1" x14ac:dyDescent="0.35">
      <c r="A216" s="15"/>
      <c r="B216" s="3" t="s">
        <v>214</v>
      </c>
      <c r="C216" s="3" t="s">
        <v>2762</v>
      </c>
      <c r="D216" s="3" t="s">
        <v>861</v>
      </c>
      <c r="E216" s="3" t="s">
        <v>1903</v>
      </c>
      <c r="F216" s="3" t="s">
        <v>1073</v>
      </c>
      <c r="G216" s="3" t="s">
        <v>6220</v>
      </c>
      <c r="H216" s="6">
        <v>12285.856</v>
      </c>
      <c r="I216" s="18"/>
    </row>
    <row r="217" spans="1:9" ht="15.75" customHeight="1" x14ac:dyDescent="0.35">
      <c r="A217" s="15"/>
      <c r="B217" s="3" t="s">
        <v>215</v>
      </c>
      <c r="C217" s="3" t="s">
        <v>2763</v>
      </c>
      <c r="D217" s="3" t="s">
        <v>861</v>
      </c>
      <c r="E217" s="3" t="s">
        <v>1904</v>
      </c>
      <c r="F217" s="3" t="s">
        <v>1051</v>
      </c>
      <c r="G217" s="3" t="s">
        <v>3569</v>
      </c>
      <c r="H217" s="6">
        <v>14196.191999999999</v>
      </c>
      <c r="I217" s="18"/>
    </row>
    <row r="218" spans="1:9" ht="15.75" customHeight="1" x14ac:dyDescent="0.35">
      <c r="A218" s="15"/>
      <c r="B218" s="3" t="s">
        <v>216</v>
      </c>
      <c r="C218" s="3" t="s">
        <v>2764</v>
      </c>
      <c r="D218" s="3" t="s">
        <v>861</v>
      </c>
      <c r="E218" s="3" t="s">
        <v>1905</v>
      </c>
      <c r="F218" s="3" t="s">
        <v>1074</v>
      </c>
      <c r="G218" s="3" t="s">
        <v>3569</v>
      </c>
      <c r="H218" s="6">
        <v>10686.816000000001</v>
      </c>
      <c r="I218" s="18"/>
    </row>
    <row r="219" spans="1:9" ht="15.75" customHeight="1" x14ac:dyDescent="0.35">
      <c r="A219" s="15"/>
      <c r="B219" s="3" t="s">
        <v>217</v>
      </c>
      <c r="C219" s="3" t="s">
        <v>2765</v>
      </c>
      <c r="D219" s="3" t="s">
        <v>860</v>
      </c>
      <c r="E219" s="3" t="s">
        <v>1906</v>
      </c>
      <c r="F219" s="3" t="s">
        <v>1075</v>
      </c>
      <c r="G219" s="3" t="s">
        <v>5846</v>
      </c>
      <c r="H219" s="6">
        <v>13230.08</v>
      </c>
      <c r="I219" s="18"/>
    </row>
    <row r="220" spans="1:9" ht="15.75" customHeight="1" x14ac:dyDescent="0.35">
      <c r="A220" s="15"/>
      <c r="B220" s="3" t="s">
        <v>218</v>
      </c>
      <c r="C220" s="3" t="s">
        <v>2766</v>
      </c>
      <c r="D220" s="3" t="s">
        <v>861</v>
      </c>
      <c r="E220" s="3" t="s">
        <v>1907</v>
      </c>
      <c r="F220" s="3" t="s">
        <v>1076</v>
      </c>
      <c r="G220" s="3" t="s">
        <v>3570</v>
      </c>
      <c r="H220" s="6">
        <v>10686.816000000001</v>
      </c>
      <c r="I220" s="18"/>
    </row>
    <row r="221" spans="1:9" ht="15.75" customHeight="1" x14ac:dyDescent="0.35">
      <c r="A221" s="15"/>
      <c r="B221" s="3" t="s">
        <v>219</v>
      </c>
      <c r="C221" s="3" t="s">
        <v>2767</v>
      </c>
      <c r="D221" s="3" t="s">
        <v>860</v>
      </c>
      <c r="E221" s="3" t="s">
        <v>1908</v>
      </c>
      <c r="F221" s="3" t="s">
        <v>1077</v>
      </c>
      <c r="G221" s="3" t="s">
        <v>3570</v>
      </c>
      <c r="H221" s="6">
        <v>16778.976000000002</v>
      </c>
      <c r="I221" s="18"/>
    </row>
    <row r="222" spans="1:9" ht="15.75" customHeight="1" x14ac:dyDescent="0.35">
      <c r="A222" s="15"/>
      <c r="B222" s="3" t="s">
        <v>220</v>
      </c>
      <c r="C222" s="3" t="s">
        <v>2768</v>
      </c>
      <c r="D222" s="3" t="s">
        <v>861</v>
      </c>
      <c r="E222" s="3" t="s">
        <v>1909</v>
      </c>
      <c r="F222" s="3" t="s">
        <v>1078</v>
      </c>
      <c r="G222" s="3" t="s">
        <v>3571</v>
      </c>
      <c r="H222" s="6">
        <v>32241.023999999998</v>
      </c>
      <c r="I222" s="18"/>
    </row>
    <row r="223" spans="1:9" ht="15.75" customHeight="1" x14ac:dyDescent="0.35">
      <c r="A223" s="15"/>
      <c r="B223" s="3" t="s">
        <v>221</v>
      </c>
      <c r="C223" s="3" t="s">
        <v>2769</v>
      </c>
      <c r="D223" s="3" t="s">
        <v>860</v>
      </c>
      <c r="E223" s="3" t="s">
        <v>1910</v>
      </c>
      <c r="F223" s="3" t="s">
        <v>1079</v>
      </c>
      <c r="G223" s="3" t="s">
        <v>6221</v>
      </c>
      <c r="H223" s="6">
        <v>17858.784</v>
      </c>
      <c r="I223" s="18"/>
    </row>
    <row r="224" spans="1:9" ht="15.75" customHeight="1" x14ac:dyDescent="0.35">
      <c r="A224" s="15"/>
      <c r="B224" s="3" t="s">
        <v>222</v>
      </c>
      <c r="C224" s="3" t="s">
        <v>2770</v>
      </c>
      <c r="D224" s="3" t="s">
        <v>861</v>
      </c>
      <c r="E224" s="3" t="s">
        <v>1911</v>
      </c>
      <c r="F224" s="3" t="s">
        <v>1080</v>
      </c>
      <c r="G224" s="3" t="s">
        <v>3572</v>
      </c>
      <c r="H224" s="6">
        <v>11458.975999999999</v>
      </c>
      <c r="I224" s="18"/>
    </row>
    <row r="225" spans="1:9" ht="15.75" customHeight="1" x14ac:dyDescent="0.35">
      <c r="A225" s="15"/>
      <c r="B225" s="3" t="s">
        <v>223</v>
      </c>
      <c r="C225" s="3" t="s">
        <v>2771</v>
      </c>
      <c r="D225" s="3" t="s">
        <v>861</v>
      </c>
      <c r="E225" s="3" t="s">
        <v>1912</v>
      </c>
      <c r="F225" s="3" t="s">
        <v>1081</v>
      </c>
      <c r="G225" s="3" t="s">
        <v>5693</v>
      </c>
      <c r="H225" s="6">
        <v>20721.248</v>
      </c>
      <c r="I225" s="18"/>
    </row>
    <row r="226" spans="1:9" ht="15.75" customHeight="1" x14ac:dyDescent="0.35">
      <c r="A226" s="15"/>
      <c r="B226" s="3" t="s">
        <v>224</v>
      </c>
      <c r="C226" s="3" t="s">
        <v>2772</v>
      </c>
      <c r="D226" s="3" t="s">
        <v>861</v>
      </c>
      <c r="E226" s="3" t="s">
        <v>1913</v>
      </c>
      <c r="F226" s="3" t="s">
        <v>1082</v>
      </c>
      <c r="G226" s="3" t="s">
        <v>3573</v>
      </c>
      <c r="H226" s="6">
        <v>12784.415999999999</v>
      </c>
      <c r="I226" s="18"/>
    </row>
    <row r="227" spans="1:9" ht="15.75" customHeight="1" x14ac:dyDescent="0.35">
      <c r="A227" s="15"/>
      <c r="B227" s="3" t="s">
        <v>225</v>
      </c>
      <c r="C227" s="3" t="s">
        <v>2773</v>
      </c>
      <c r="D227" s="3" t="s">
        <v>861</v>
      </c>
      <c r="E227" s="3" t="s">
        <v>1914</v>
      </c>
      <c r="F227" s="3" t="s">
        <v>1083</v>
      </c>
      <c r="G227" s="3" t="s">
        <v>6222</v>
      </c>
      <c r="H227" s="6">
        <v>32223.392</v>
      </c>
      <c r="I227" s="18"/>
    </row>
    <row r="228" spans="1:9" ht="15.75" customHeight="1" x14ac:dyDescent="0.35">
      <c r="A228" s="15"/>
      <c r="B228" s="3" t="s">
        <v>226</v>
      </c>
      <c r="C228" s="3" t="s">
        <v>2774</v>
      </c>
      <c r="D228" s="3" t="s">
        <v>860</v>
      </c>
      <c r="E228" s="3" t="s">
        <v>1915</v>
      </c>
      <c r="F228" s="3" t="s">
        <v>1084</v>
      </c>
      <c r="G228" s="3" t="s">
        <v>3574</v>
      </c>
      <c r="H228" s="6">
        <v>10501.376</v>
      </c>
      <c r="I228" s="18"/>
    </row>
    <row r="229" spans="1:9" ht="15.75" customHeight="1" x14ac:dyDescent="0.35">
      <c r="A229" s="15"/>
      <c r="B229" s="3" t="s">
        <v>227</v>
      </c>
      <c r="C229" s="3" t="s">
        <v>2775</v>
      </c>
      <c r="D229" s="3" t="s">
        <v>861</v>
      </c>
      <c r="E229" s="3" t="s">
        <v>1916</v>
      </c>
      <c r="F229" s="3" t="s">
        <v>1085</v>
      </c>
      <c r="G229" s="3" t="s">
        <v>3575</v>
      </c>
      <c r="H229" s="6">
        <v>30871.199999999997</v>
      </c>
      <c r="I229" s="18"/>
    </row>
    <row r="230" spans="1:9" ht="15.75" customHeight="1" x14ac:dyDescent="0.35">
      <c r="A230" s="15"/>
      <c r="B230" s="3" t="s">
        <v>228</v>
      </c>
      <c r="C230" s="3" t="s">
        <v>2776</v>
      </c>
      <c r="D230" s="3" t="s">
        <v>860</v>
      </c>
      <c r="E230" s="3" t="s">
        <v>1917</v>
      </c>
      <c r="F230" s="3" t="s">
        <v>1086</v>
      </c>
      <c r="G230" s="3" t="s">
        <v>3576</v>
      </c>
      <c r="H230" s="6">
        <v>19628.671999999999</v>
      </c>
      <c r="I230" s="18"/>
    </row>
    <row r="231" spans="1:9" ht="15.75" customHeight="1" x14ac:dyDescent="0.35">
      <c r="A231" s="15"/>
      <c r="B231" s="3" t="s">
        <v>229</v>
      </c>
      <c r="C231" s="3" t="s">
        <v>2777</v>
      </c>
      <c r="D231" s="3" t="s">
        <v>861</v>
      </c>
      <c r="E231" s="3" t="s">
        <v>1918</v>
      </c>
      <c r="F231" s="3" t="s">
        <v>1087</v>
      </c>
      <c r="G231" s="3" t="s">
        <v>3577</v>
      </c>
      <c r="H231" s="6">
        <v>34919.264000000003</v>
      </c>
      <c r="I231" s="18"/>
    </row>
    <row r="232" spans="1:9" ht="15.75" customHeight="1" x14ac:dyDescent="0.35">
      <c r="A232" s="15"/>
      <c r="B232" s="3" t="s">
        <v>230</v>
      </c>
      <c r="C232" s="3" t="s">
        <v>2778</v>
      </c>
      <c r="D232" s="3" t="s">
        <v>861</v>
      </c>
      <c r="E232" s="3" t="s">
        <v>1919</v>
      </c>
      <c r="F232" s="3" t="s">
        <v>1088</v>
      </c>
      <c r="G232" s="3" t="s">
        <v>3577</v>
      </c>
      <c r="H232" s="6">
        <v>43427.615999999995</v>
      </c>
      <c r="I232" s="18"/>
    </row>
    <row r="233" spans="1:9" ht="15.75" customHeight="1" x14ac:dyDescent="0.35">
      <c r="A233" s="15"/>
      <c r="B233" s="3" t="s">
        <v>231</v>
      </c>
      <c r="C233" s="3" t="s">
        <v>2779</v>
      </c>
      <c r="D233" s="3" t="s">
        <v>861</v>
      </c>
      <c r="E233" s="3" t="s">
        <v>1920</v>
      </c>
      <c r="F233" s="3" t="s">
        <v>1089</v>
      </c>
      <c r="G233" s="3" t="s">
        <v>5646</v>
      </c>
      <c r="H233" s="6">
        <v>12189.791999999999</v>
      </c>
      <c r="I233" s="18"/>
    </row>
    <row r="234" spans="1:9" ht="15.75" customHeight="1" x14ac:dyDescent="0.35">
      <c r="A234" s="15"/>
      <c r="B234" s="3" t="s">
        <v>232</v>
      </c>
      <c r="C234" s="3" t="s">
        <v>2780</v>
      </c>
      <c r="D234" s="3" t="s">
        <v>860</v>
      </c>
      <c r="E234" s="3" t="s">
        <v>1921</v>
      </c>
      <c r="F234" s="3" t="s">
        <v>1090</v>
      </c>
      <c r="G234" s="3" t="s">
        <v>5472</v>
      </c>
      <c r="H234" s="6">
        <v>22146.399999999998</v>
      </c>
      <c r="I234" s="18"/>
    </row>
    <row r="235" spans="1:9" ht="15.75" customHeight="1" x14ac:dyDescent="0.35">
      <c r="A235" s="15"/>
      <c r="B235" s="3" t="s">
        <v>233</v>
      </c>
      <c r="C235" s="3" t="s">
        <v>2781</v>
      </c>
      <c r="D235" s="3" t="s">
        <v>861</v>
      </c>
      <c r="E235" s="3" t="s">
        <v>1922</v>
      </c>
      <c r="F235" s="3" t="s">
        <v>1091</v>
      </c>
      <c r="G235" s="3" t="s">
        <v>3578</v>
      </c>
      <c r="H235" s="6">
        <v>27017.088</v>
      </c>
      <c r="I235" s="18"/>
    </row>
    <row r="236" spans="1:9" ht="15.75" customHeight="1" x14ac:dyDescent="0.35">
      <c r="A236" s="15"/>
      <c r="B236" s="3" t="s">
        <v>234</v>
      </c>
      <c r="C236" s="3" t="s">
        <v>2782</v>
      </c>
      <c r="D236" s="3" t="s">
        <v>860</v>
      </c>
      <c r="E236" s="3" t="s">
        <v>1923</v>
      </c>
      <c r="F236" s="3" t="s">
        <v>1092</v>
      </c>
      <c r="G236" s="3" t="s">
        <v>3579</v>
      </c>
      <c r="H236" s="6">
        <v>15087.52</v>
      </c>
      <c r="I236" s="18"/>
    </row>
    <row r="237" spans="1:9" ht="15.75" customHeight="1" x14ac:dyDescent="0.35">
      <c r="A237" s="15"/>
      <c r="B237" s="3" t="s">
        <v>235</v>
      </c>
      <c r="C237" s="3" t="s">
        <v>2783</v>
      </c>
      <c r="D237" s="3" t="s">
        <v>861</v>
      </c>
      <c r="E237" s="3" t="s">
        <v>1924</v>
      </c>
      <c r="F237" s="3" t="s">
        <v>1093</v>
      </c>
      <c r="G237" s="3" t="s">
        <v>5816</v>
      </c>
      <c r="H237" s="6">
        <v>20820.96</v>
      </c>
      <c r="I237" s="18"/>
    </row>
    <row r="238" spans="1:9" ht="15.75" customHeight="1" x14ac:dyDescent="0.35">
      <c r="A238" s="15"/>
      <c r="B238" s="3" t="s">
        <v>236</v>
      </c>
      <c r="C238" s="3" t="s">
        <v>2784</v>
      </c>
      <c r="D238" s="3" t="s">
        <v>861</v>
      </c>
      <c r="E238" s="3" t="s">
        <v>1925</v>
      </c>
      <c r="F238" s="3" t="s">
        <v>1094</v>
      </c>
      <c r="G238" s="3" t="s">
        <v>3580</v>
      </c>
      <c r="H238" s="6">
        <v>29583.455999999998</v>
      </c>
      <c r="I238" s="18"/>
    </row>
    <row r="239" spans="1:9" ht="15.75" customHeight="1" x14ac:dyDescent="0.35">
      <c r="A239" s="15"/>
      <c r="B239" s="3" t="s">
        <v>237</v>
      </c>
      <c r="C239" s="3" t="s">
        <v>2785</v>
      </c>
      <c r="D239" s="3" t="s">
        <v>861</v>
      </c>
      <c r="E239" s="3" t="s">
        <v>1926</v>
      </c>
      <c r="F239" s="3" t="s">
        <v>1095</v>
      </c>
      <c r="G239" s="3" t="s">
        <v>3591</v>
      </c>
      <c r="H239" s="6">
        <v>29296.48</v>
      </c>
      <c r="I239" s="18"/>
    </row>
    <row r="240" spans="1:9" ht="15.75" customHeight="1" x14ac:dyDescent="0.35">
      <c r="A240" s="15"/>
      <c r="B240" s="3" t="s">
        <v>238</v>
      </c>
      <c r="C240" s="3" t="s">
        <v>2786</v>
      </c>
      <c r="D240" s="3" t="s">
        <v>861</v>
      </c>
      <c r="E240" s="3" t="s">
        <v>1927</v>
      </c>
      <c r="F240" s="3" t="s">
        <v>1096</v>
      </c>
      <c r="G240" s="3" t="s">
        <v>3592</v>
      </c>
      <c r="H240" s="6">
        <v>25222.880000000001</v>
      </c>
      <c r="I240" s="18"/>
    </row>
    <row r="241" spans="1:9" ht="15.75" customHeight="1" x14ac:dyDescent="0.35">
      <c r="A241" s="15"/>
      <c r="B241" s="3" t="s">
        <v>239</v>
      </c>
      <c r="C241" s="3" t="s">
        <v>2787</v>
      </c>
      <c r="D241" s="3" t="s">
        <v>860</v>
      </c>
      <c r="E241" s="3" t="s">
        <v>1928</v>
      </c>
      <c r="F241" s="3" t="s">
        <v>1097</v>
      </c>
      <c r="G241" s="3" t="s">
        <v>6223</v>
      </c>
      <c r="H241" s="6">
        <v>13076.255999999999</v>
      </c>
      <c r="I241" s="18"/>
    </row>
    <row r="242" spans="1:9" ht="15.75" customHeight="1" x14ac:dyDescent="0.35">
      <c r="A242" s="15"/>
      <c r="B242" s="3" t="s">
        <v>240</v>
      </c>
      <c r="C242" s="3" t="s">
        <v>2788</v>
      </c>
      <c r="D242" s="3" t="s">
        <v>861</v>
      </c>
      <c r="E242" s="3" t="s">
        <v>1929</v>
      </c>
      <c r="F242" s="3" t="s">
        <v>1098</v>
      </c>
      <c r="G242" s="3" t="s">
        <v>6224</v>
      </c>
      <c r="H242" s="6">
        <v>10802.944</v>
      </c>
      <c r="I242" s="18"/>
    </row>
    <row r="243" spans="1:9" ht="15.75" customHeight="1" x14ac:dyDescent="0.35">
      <c r="A243" s="15"/>
      <c r="B243" s="3" t="s">
        <v>241</v>
      </c>
      <c r="C243" s="3" t="s">
        <v>2789</v>
      </c>
      <c r="D243" s="3" t="s">
        <v>861</v>
      </c>
      <c r="E243" s="3" t="s">
        <v>1930</v>
      </c>
      <c r="F243" s="3" t="s">
        <v>1099</v>
      </c>
      <c r="G243" s="3" t="s">
        <v>3593</v>
      </c>
      <c r="H243" s="6">
        <v>22874.175999999999</v>
      </c>
      <c r="I243" s="18"/>
    </row>
    <row r="244" spans="1:9" ht="15.75" customHeight="1" x14ac:dyDescent="0.35">
      <c r="A244" s="15"/>
      <c r="B244" s="3" t="s">
        <v>242</v>
      </c>
      <c r="C244" s="3" t="s">
        <v>2790</v>
      </c>
      <c r="D244" s="3" t="s">
        <v>861</v>
      </c>
      <c r="E244" s="3" t="s">
        <v>1931</v>
      </c>
      <c r="F244" s="3" t="s">
        <v>1100</v>
      </c>
      <c r="G244" s="3" t="s">
        <v>3594</v>
      </c>
      <c r="H244" s="6">
        <v>21880.095999999998</v>
      </c>
      <c r="I244" s="18"/>
    </row>
    <row r="245" spans="1:9" ht="15.75" customHeight="1" x14ac:dyDescent="0.35">
      <c r="A245" s="15"/>
      <c r="B245" s="3" t="s">
        <v>243</v>
      </c>
      <c r="C245" s="3" t="s">
        <v>2791</v>
      </c>
      <c r="D245" s="3" t="s">
        <v>861</v>
      </c>
      <c r="E245" s="3" t="s">
        <v>1932</v>
      </c>
      <c r="F245" s="3" t="s">
        <v>1101</v>
      </c>
      <c r="G245" s="3" t="s">
        <v>3595</v>
      </c>
      <c r="H245" s="6">
        <v>37425.439999999995</v>
      </c>
      <c r="I245" s="18"/>
    </row>
    <row r="246" spans="1:9" ht="15.75" customHeight="1" x14ac:dyDescent="0.35">
      <c r="A246" s="15"/>
      <c r="B246" s="3" t="s">
        <v>244</v>
      </c>
      <c r="C246" s="3" t="s">
        <v>2792</v>
      </c>
      <c r="D246" s="3" t="s">
        <v>861</v>
      </c>
      <c r="E246" s="3" t="s">
        <v>1933</v>
      </c>
      <c r="F246" s="3" t="s">
        <v>1102</v>
      </c>
      <c r="G246" s="3" t="s">
        <v>6020</v>
      </c>
      <c r="H246" s="6">
        <v>22755.007999999998</v>
      </c>
      <c r="I246" s="18"/>
    </row>
    <row r="247" spans="1:9" ht="15.75" customHeight="1" x14ac:dyDescent="0.35">
      <c r="A247" s="15"/>
      <c r="B247" s="3" t="s">
        <v>245</v>
      </c>
      <c r="C247" s="3" t="s">
        <v>2793</v>
      </c>
      <c r="D247" s="3" t="s">
        <v>860</v>
      </c>
      <c r="E247" s="3" t="s">
        <v>1934</v>
      </c>
      <c r="F247" s="3" t="s">
        <v>1103</v>
      </c>
      <c r="G247" s="3" t="s">
        <v>6225</v>
      </c>
      <c r="H247" s="6">
        <v>14023.52</v>
      </c>
      <c r="I247" s="18"/>
    </row>
    <row r="248" spans="1:9" ht="15.75" customHeight="1" x14ac:dyDescent="0.35">
      <c r="A248" s="15"/>
      <c r="B248" s="3" t="s">
        <v>246</v>
      </c>
      <c r="C248" s="3" t="s">
        <v>2794</v>
      </c>
      <c r="D248" s="3" t="s">
        <v>861</v>
      </c>
      <c r="E248" s="3" t="s">
        <v>1935</v>
      </c>
      <c r="F248" s="3" t="s">
        <v>1104</v>
      </c>
      <c r="G248" s="3" t="s">
        <v>3596</v>
      </c>
      <c r="H248" s="6">
        <v>14826.688</v>
      </c>
      <c r="I248" s="18"/>
    </row>
    <row r="249" spans="1:9" ht="15.75" customHeight="1" x14ac:dyDescent="0.35">
      <c r="A249" s="15"/>
      <c r="B249" s="3" t="s">
        <v>247</v>
      </c>
      <c r="C249" s="3" t="s">
        <v>2795</v>
      </c>
      <c r="D249" s="3" t="s">
        <v>861</v>
      </c>
      <c r="E249" s="3" t="s">
        <v>1936</v>
      </c>
      <c r="F249" s="3" t="s">
        <v>1105</v>
      </c>
      <c r="G249" s="3" t="s">
        <v>3597</v>
      </c>
      <c r="H249" s="6">
        <v>11539.84</v>
      </c>
      <c r="I249" s="18"/>
    </row>
    <row r="250" spans="1:9" ht="15.75" customHeight="1" x14ac:dyDescent="0.35">
      <c r="A250" s="15"/>
      <c r="B250" s="3" t="s">
        <v>248</v>
      </c>
      <c r="C250" s="3" t="s">
        <v>2796</v>
      </c>
      <c r="D250" s="3" t="s">
        <v>861</v>
      </c>
      <c r="E250" s="3" t="s">
        <v>1937</v>
      </c>
      <c r="F250" s="3" t="s">
        <v>1106</v>
      </c>
      <c r="G250" s="3" t="s">
        <v>3598</v>
      </c>
      <c r="H250" s="6">
        <v>35258.527999999998</v>
      </c>
      <c r="I250" s="18"/>
    </row>
    <row r="251" spans="1:9" ht="15.75" customHeight="1" x14ac:dyDescent="0.35">
      <c r="A251" s="15"/>
      <c r="B251" s="3" t="s">
        <v>249</v>
      </c>
      <c r="C251" s="3" t="s">
        <v>2797</v>
      </c>
      <c r="D251" s="3" t="s">
        <v>860</v>
      </c>
      <c r="E251" s="3" t="s">
        <v>1938</v>
      </c>
      <c r="F251" s="3" t="s">
        <v>1107</v>
      </c>
      <c r="G251" s="3" t="s">
        <v>3599</v>
      </c>
      <c r="H251" s="6">
        <v>18694.784</v>
      </c>
      <c r="I251" s="18"/>
    </row>
    <row r="252" spans="1:9" ht="15.75" customHeight="1" x14ac:dyDescent="0.35">
      <c r="A252" s="15"/>
      <c r="B252" s="3" t="s">
        <v>250</v>
      </c>
      <c r="C252" s="3" t="s">
        <v>2798</v>
      </c>
      <c r="D252" s="3" t="s">
        <v>861</v>
      </c>
      <c r="E252" s="3" t="s">
        <v>1939</v>
      </c>
      <c r="F252" s="3" t="s">
        <v>1108</v>
      </c>
      <c r="G252" s="3" t="s">
        <v>3600</v>
      </c>
      <c r="H252" s="6">
        <v>16344.863999999998</v>
      </c>
      <c r="I252" s="18"/>
    </row>
    <row r="253" spans="1:9" ht="15.75" customHeight="1" x14ac:dyDescent="0.35">
      <c r="A253" s="15"/>
      <c r="B253" s="3" t="s">
        <v>251</v>
      </c>
      <c r="C253" s="3" t="s">
        <v>2799</v>
      </c>
      <c r="D253" s="3" t="s">
        <v>861</v>
      </c>
      <c r="E253" s="3" t="s">
        <v>1940</v>
      </c>
      <c r="F253" s="3" t="s">
        <v>1109</v>
      </c>
      <c r="G253" s="3" t="s">
        <v>6226</v>
      </c>
      <c r="H253" s="6">
        <v>12837.311999999998</v>
      </c>
      <c r="I253" s="18"/>
    </row>
    <row r="254" spans="1:9" ht="15.75" customHeight="1" x14ac:dyDescent="0.35">
      <c r="A254" s="15"/>
      <c r="B254" s="3" t="s">
        <v>252</v>
      </c>
      <c r="C254" s="3" t="s">
        <v>2800</v>
      </c>
      <c r="D254" s="3" t="s">
        <v>860</v>
      </c>
      <c r="E254" s="3" t="s">
        <v>1941</v>
      </c>
      <c r="F254" s="3" t="s">
        <v>1110</v>
      </c>
      <c r="G254" s="3" t="s">
        <v>3601</v>
      </c>
      <c r="H254" s="6">
        <v>20806.976000000002</v>
      </c>
      <c r="I254" s="18"/>
    </row>
    <row r="255" spans="1:9" ht="15.75" customHeight="1" x14ac:dyDescent="0.35">
      <c r="A255" s="15"/>
      <c r="B255" s="3" t="s">
        <v>253</v>
      </c>
      <c r="C255" s="3" t="s">
        <v>2801</v>
      </c>
      <c r="D255" s="3" t="s">
        <v>860</v>
      </c>
      <c r="E255" s="3" t="s">
        <v>1942</v>
      </c>
      <c r="F255" s="3" t="s">
        <v>1111</v>
      </c>
      <c r="G255" s="3" t="s">
        <v>3602</v>
      </c>
      <c r="H255" s="6">
        <v>13230.08</v>
      </c>
      <c r="I255" s="18"/>
    </row>
    <row r="256" spans="1:9" ht="15.75" customHeight="1" x14ac:dyDescent="0.35">
      <c r="A256" s="15"/>
      <c r="B256" s="3" t="s">
        <v>254</v>
      </c>
      <c r="C256" s="3" t="s">
        <v>2802</v>
      </c>
      <c r="D256" s="3" t="s">
        <v>861</v>
      </c>
      <c r="E256" s="3" t="s">
        <v>1943</v>
      </c>
      <c r="F256" s="3" t="s">
        <v>1112</v>
      </c>
      <c r="G256" s="3" t="s">
        <v>3602</v>
      </c>
      <c r="H256" s="6">
        <v>35590.495999999999</v>
      </c>
      <c r="I256" s="18"/>
    </row>
    <row r="257" spans="1:9" ht="15.75" customHeight="1" x14ac:dyDescent="0.35">
      <c r="A257" s="15"/>
      <c r="B257" s="3" t="s">
        <v>255</v>
      </c>
      <c r="C257" s="3" t="s">
        <v>2803</v>
      </c>
      <c r="D257" s="3" t="s">
        <v>861</v>
      </c>
      <c r="E257" s="3" t="s">
        <v>1944</v>
      </c>
      <c r="F257" s="3" t="s">
        <v>1113</v>
      </c>
      <c r="G257" s="3" t="s">
        <v>3603</v>
      </c>
      <c r="H257" s="6">
        <v>10686.816000000001</v>
      </c>
      <c r="I257" s="18"/>
    </row>
    <row r="258" spans="1:9" ht="15.75" customHeight="1" x14ac:dyDescent="0.35">
      <c r="A258" s="15"/>
      <c r="B258" s="3" t="s">
        <v>256</v>
      </c>
      <c r="C258" s="3" t="s">
        <v>2804</v>
      </c>
      <c r="D258" s="3" t="s">
        <v>860</v>
      </c>
      <c r="E258" s="3" t="s">
        <v>1945</v>
      </c>
      <c r="F258" s="3" t="s">
        <v>1114</v>
      </c>
      <c r="G258" s="3" t="s">
        <v>3604</v>
      </c>
      <c r="H258" s="6">
        <v>34919.264000000003</v>
      </c>
      <c r="I258" s="18"/>
    </row>
    <row r="259" spans="1:9" ht="15.75" customHeight="1" x14ac:dyDescent="0.35">
      <c r="A259" s="15"/>
      <c r="B259" s="3" t="s">
        <v>257</v>
      </c>
      <c r="C259" s="3" t="s">
        <v>2805</v>
      </c>
      <c r="D259" s="3" t="s">
        <v>860</v>
      </c>
      <c r="E259" s="3" t="s">
        <v>1946</v>
      </c>
      <c r="F259" s="3" t="s">
        <v>1115</v>
      </c>
      <c r="G259" s="3" t="s">
        <v>3605</v>
      </c>
      <c r="H259" s="6">
        <v>14014.4</v>
      </c>
      <c r="I259" s="18"/>
    </row>
    <row r="260" spans="1:9" ht="15.75" customHeight="1" x14ac:dyDescent="0.35">
      <c r="A260" s="15"/>
      <c r="B260" s="3" t="s">
        <v>258</v>
      </c>
      <c r="C260" s="3" t="s">
        <v>2806</v>
      </c>
      <c r="D260" s="3" t="s">
        <v>860</v>
      </c>
      <c r="E260" s="3" t="s">
        <v>1947</v>
      </c>
      <c r="F260" s="3" t="s">
        <v>1116</v>
      </c>
      <c r="G260" s="3" t="s">
        <v>3605</v>
      </c>
      <c r="H260" s="6">
        <v>19530.784</v>
      </c>
      <c r="I260" s="18"/>
    </row>
    <row r="261" spans="1:9" ht="15.75" customHeight="1" x14ac:dyDescent="0.35">
      <c r="A261" s="15"/>
      <c r="B261" s="3" t="s">
        <v>259</v>
      </c>
      <c r="C261" s="3" t="s">
        <v>2807</v>
      </c>
      <c r="D261" s="3" t="s">
        <v>861</v>
      </c>
      <c r="E261" s="3" t="s">
        <v>1948</v>
      </c>
      <c r="F261" s="3" t="s">
        <v>1117</v>
      </c>
      <c r="G261" s="3" t="s">
        <v>3606</v>
      </c>
      <c r="H261" s="6">
        <v>31755.231999999996</v>
      </c>
      <c r="I261" s="18"/>
    </row>
    <row r="262" spans="1:9" ht="15.75" customHeight="1" x14ac:dyDescent="0.35">
      <c r="A262" s="15"/>
      <c r="B262" s="3" t="s">
        <v>260</v>
      </c>
      <c r="C262" s="3" t="s">
        <v>2808</v>
      </c>
      <c r="D262" s="3" t="s">
        <v>861</v>
      </c>
      <c r="E262" s="3" t="s">
        <v>1949</v>
      </c>
      <c r="F262" s="3" t="s">
        <v>1118</v>
      </c>
      <c r="G262" s="3" t="s">
        <v>3607</v>
      </c>
      <c r="H262" s="6">
        <v>13230.08</v>
      </c>
      <c r="I262" s="18"/>
    </row>
    <row r="263" spans="1:9" ht="15.75" customHeight="1" x14ac:dyDescent="0.35">
      <c r="A263" s="15"/>
      <c r="B263" s="3" t="s">
        <v>261</v>
      </c>
      <c r="C263" s="3" t="s">
        <v>2809</v>
      </c>
      <c r="D263" s="3" t="s">
        <v>861</v>
      </c>
      <c r="E263" s="3" t="s">
        <v>1950</v>
      </c>
      <c r="F263" s="3" t="s">
        <v>1119</v>
      </c>
      <c r="G263" s="3" t="s">
        <v>3608</v>
      </c>
      <c r="H263" s="6">
        <v>21267.84</v>
      </c>
      <c r="I263" s="18"/>
    </row>
    <row r="264" spans="1:9" ht="15.75" customHeight="1" x14ac:dyDescent="0.35">
      <c r="A264" s="15"/>
      <c r="B264" s="3" t="s">
        <v>262</v>
      </c>
      <c r="C264" s="3" t="s">
        <v>2810</v>
      </c>
      <c r="D264" s="3" t="s">
        <v>861</v>
      </c>
      <c r="E264" s="3" t="s">
        <v>1951</v>
      </c>
      <c r="F264" s="3" t="s">
        <v>1120</v>
      </c>
      <c r="G264" s="3" t="s">
        <v>3609</v>
      </c>
      <c r="H264" s="6">
        <v>32407.615999999998</v>
      </c>
      <c r="I264" s="18"/>
    </row>
    <row r="265" spans="1:9" ht="15.75" customHeight="1" x14ac:dyDescent="0.35">
      <c r="A265" s="15"/>
      <c r="B265" s="3" t="s">
        <v>263</v>
      </c>
      <c r="C265" s="3" t="s">
        <v>2811</v>
      </c>
      <c r="D265" s="3" t="s">
        <v>861</v>
      </c>
      <c r="E265" s="3" t="s">
        <v>1952</v>
      </c>
      <c r="F265" s="3" t="s">
        <v>1121</v>
      </c>
      <c r="G265" s="3" t="s">
        <v>5430</v>
      </c>
      <c r="H265" s="6">
        <v>37212.031999999999</v>
      </c>
      <c r="I265" s="18"/>
    </row>
    <row r="266" spans="1:9" ht="15.75" customHeight="1" x14ac:dyDescent="0.35">
      <c r="A266" s="15"/>
      <c r="B266" s="3" t="s">
        <v>264</v>
      </c>
      <c r="C266" s="3" t="s">
        <v>2812</v>
      </c>
      <c r="D266" s="3" t="s">
        <v>861</v>
      </c>
      <c r="E266" s="3" t="s">
        <v>1953</v>
      </c>
      <c r="F266" s="3" t="s">
        <v>1122</v>
      </c>
      <c r="G266" s="3" t="s">
        <v>3610</v>
      </c>
      <c r="H266" s="6">
        <v>10790.784</v>
      </c>
      <c r="I266" s="18"/>
    </row>
    <row r="267" spans="1:9" ht="15.75" customHeight="1" x14ac:dyDescent="0.35">
      <c r="A267" s="15"/>
      <c r="B267" s="3" t="s">
        <v>265</v>
      </c>
      <c r="C267" s="3" t="s">
        <v>2813</v>
      </c>
      <c r="D267" s="3" t="s">
        <v>861</v>
      </c>
      <c r="E267" s="3" t="s">
        <v>1954</v>
      </c>
      <c r="F267" s="3" t="s">
        <v>1123</v>
      </c>
      <c r="G267" s="3" t="s">
        <v>3611</v>
      </c>
      <c r="H267" s="6">
        <v>15468.735999999999</v>
      </c>
      <c r="I267" s="18"/>
    </row>
    <row r="268" spans="1:9" ht="15.75" customHeight="1" x14ac:dyDescent="0.35">
      <c r="A268" s="15"/>
      <c r="B268" s="3" t="s">
        <v>266</v>
      </c>
      <c r="C268" s="3" t="s">
        <v>2814</v>
      </c>
      <c r="D268" s="3" t="s">
        <v>861</v>
      </c>
      <c r="E268" s="3" t="s">
        <v>1955</v>
      </c>
      <c r="F268" s="3" t="s">
        <v>1124</v>
      </c>
      <c r="G268" s="3" t="s">
        <v>3612</v>
      </c>
      <c r="H268" s="6">
        <v>16121.728000000001</v>
      </c>
      <c r="I268" s="18"/>
    </row>
    <row r="269" spans="1:9" ht="15.75" customHeight="1" x14ac:dyDescent="0.35">
      <c r="A269" s="15"/>
      <c r="B269" s="3" t="s">
        <v>267</v>
      </c>
      <c r="C269" s="3" t="s">
        <v>2815</v>
      </c>
      <c r="D269" s="3" t="s">
        <v>861</v>
      </c>
      <c r="E269" s="3" t="s">
        <v>1956</v>
      </c>
      <c r="F269" s="3" t="s">
        <v>1125</v>
      </c>
      <c r="G269" s="3" t="s">
        <v>3613</v>
      </c>
      <c r="H269" s="6">
        <v>30949.023999999998</v>
      </c>
      <c r="I269" s="18"/>
    </row>
    <row r="270" spans="1:9" ht="15.75" customHeight="1" x14ac:dyDescent="0.35">
      <c r="A270" s="15"/>
      <c r="B270" s="3" t="s">
        <v>268</v>
      </c>
      <c r="C270" s="3" t="s">
        <v>2816</v>
      </c>
      <c r="D270" s="3" t="s">
        <v>861</v>
      </c>
      <c r="E270" s="3" t="s">
        <v>1957</v>
      </c>
      <c r="F270" s="3" t="s">
        <v>1126</v>
      </c>
      <c r="G270" s="3" t="s">
        <v>3613</v>
      </c>
      <c r="H270" s="6">
        <v>64870.559999999998</v>
      </c>
      <c r="I270" s="18"/>
    </row>
    <row r="271" spans="1:9" ht="15.75" customHeight="1" x14ac:dyDescent="0.35">
      <c r="A271" s="15"/>
      <c r="B271" s="3" t="s">
        <v>269</v>
      </c>
      <c r="C271" s="3" t="s">
        <v>2817</v>
      </c>
      <c r="D271" s="3" t="s">
        <v>860</v>
      </c>
      <c r="E271" s="3" t="s">
        <v>1958</v>
      </c>
      <c r="F271" s="3" t="s">
        <v>1127</v>
      </c>
      <c r="G271" s="3" t="s">
        <v>3614</v>
      </c>
      <c r="H271" s="6">
        <v>52380.415999999997</v>
      </c>
      <c r="I271" s="18"/>
    </row>
    <row r="272" spans="1:9" ht="15.75" customHeight="1" x14ac:dyDescent="0.35">
      <c r="A272" s="15"/>
      <c r="B272" s="3" t="s">
        <v>270</v>
      </c>
      <c r="C272" s="3" t="s">
        <v>2818</v>
      </c>
      <c r="D272" s="3" t="s">
        <v>860</v>
      </c>
      <c r="E272" s="3" t="s">
        <v>1959</v>
      </c>
      <c r="F272" s="3" t="s">
        <v>1128</v>
      </c>
      <c r="G272" s="3" t="s">
        <v>5550</v>
      </c>
      <c r="H272" s="6">
        <v>13230.08</v>
      </c>
      <c r="I272" s="18"/>
    </row>
    <row r="273" spans="1:9" ht="15.75" customHeight="1" x14ac:dyDescent="0.35">
      <c r="A273" s="15"/>
      <c r="B273" s="3" t="s">
        <v>271</v>
      </c>
      <c r="C273" s="3" t="s">
        <v>2819</v>
      </c>
      <c r="D273" s="3" t="s">
        <v>860</v>
      </c>
      <c r="E273" s="3" t="s">
        <v>1960</v>
      </c>
      <c r="F273" s="3" t="s">
        <v>1129</v>
      </c>
      <c r="G273" s="3" t="s">
        <v>3615</v>
      </c>
      <c r="H273" s="6">
        <v>38240.768000000004</v>
      </c>
      <c r="I273" s="18"/>
    </row>
    <row r="274" spans="1:9" ht="15.75" customHeight="1" x14ac:dyDescent="0.35">
      <c r="A274" s="15"/>
      <c r="B274" s="3" t="s">
        <v>272</v>
      </c>
      <c r="C274" s="3" t="s">
        <v>2820</v>
      </c>
      <c r="D274" s="3" t="s">
        <v>860</v>
      </c>
      <c r="E274" s="3" t="s">
        <v>1961</v>
      </c>
      <c r="F274" s="3" t="s">
        <v>1130</v>
      </c>
      <c r="G274" s="3" t="s">
        <v>3615</v>
      </c>
      <c r="H274" s="6">
        <v>16925.503999999997</v>
      </c>
      <c r="I274" s="18"/>
    </row>
    <row r="275" spans="1:9" ht="15.75" customHeight="1" x14ac:dyDescent="0.35">
      <c r="A275" s="15"/>
      <c r="B275" s="3" t="s">
        <v>273</v>
      </c>
      <c r="C275" s="3" t="s">
        <v>2821</v>
      </c>
      <c r="D275" s="3" t="s">
        <v>860</v>
      </c>
      <c r="E275" s="3" t="s">
        <v>1962</v>
      </c>
      <c r="F275" s="3" t="s">
        <v>1131</v>
      </c>
      <c r="G275" s="3" t="s">
        <v>3616</v>
      </c>
      <c r="H275" s="6">
        <v>42291.872000000003</v>
      </c>
      <c r="I275" s="18"/>
    </row>
    <row r="276" spans="1:9" ht="15.75" customHeight="1" x14ac:dyDescent="0.35">
      <c r="A276" s="15"/>
      <c r="B276" s="3" t="s">
        <v>274</v>
      </c>
      <c r="C276" s="3" t="s">
        <v>2822</v>
      </c>
      <c r="D276" s="3" t="s">
        <v>861</v>
      </c>
      <c r="E276" s="3" t="s">
        <v>1963</v>
      </c>
      <c r="F276" s="3" t="s">
        <v>1132</v>
      </c>
      <c r="G276" s="3" t="s">
        <v>3616</v>
      </c>
      <c r="H276" s="6">
        <v>14682.592000000001</v>
      </c>
      <c r="I276" s="18"/>
    </row>
    <row r="277" spans="1:9" ht="15.75" customHeight="1" x14ac:dyDescent="0.35">
      <c r="A277" s="15"/>
      <c r="B277" s="3" t="s">
        <v>275</v>
      </c>
      <c r="C277" s="3" t="s">
        <v>2823</v>
      </c>
      <c r="D277" s="3" t="s">
        <v>860</v>
      </c>
      <c r="E277" s="3" t="s">
        <v>1964</v>
      </c>
      <c r="F277" s="3" t="s">
        <v>1133</v>
      </c>
      <c r="G277" s="3" t="s">
        <v>3616</v>
      </c>
      <c r="H277" s="6">
        <v>35679.872000000003</v>
      </c>
      <c r="I277" s="18"/>
    </row>
    <row r="278" spans="1:9" ht="15.75" customHeight="1" x14ac:dyDescent="0.35">
      <c r="A278" s="15"/>
      <c r="B278" s="3" t="s">
        <v>276</v>
      </c>
      <c r="C278" s="3" t="s">
        <v>2824</v>
      </c>
      <c r="D278" s="3" t="s">
        <v>861</v>
      </c>
      <c r="E278" s="3" t="s">
        <v>1965</v>
      </c>
      <c r="F278" s="3" t="s">
        <v>1134</v>
      </c>
      <c r="G278" s="3" t="s">
        <v>3617</v>
      </c>
      <c r="H278" s="6">
        <v>34524.671999999999</v>
      </c>
      <c r="I278" s="18"/>
    </row>
    <row r="279" spans="1:9" ht="15.75" customHeight="1" x14ac:dyDescent="0.35">
      <c r="A279" s="15"/>
      <c r="B279" s="3" t="s">
        <v>277</v>
      </c>
      <c r="C279" s="3" t="s">
        <v>2825</v>
      </c>
      <c r="D279" s="3" t="s">
        <v>861</v>
      </c>
      <c r="E279" s="3" t="s">
        <v>1966</v>
      </c>
      <c r="F279" s="3" t="s">
        <v>1135</v>
      </c>
      <c r="G279" s="3" t="s">
        <v>3618</v>
      </c>
      <c r="H279" s="6">
        <v>27814.784</v>
      </c>
      <c r="I279" s="18"/>
    </row>
    <row r="280" spans="1:9" ht="15.75" customHeight="1" x14ac:dyDescent="0.35">
      <c r="A280" s="15"/>
      <c r="B280" s="3" t="s">
        <v>278</v>
      </c>
      <c r="C280" s="3" t="s">
        <v>2826</v>
      </c>
      <c r="D280" s="3" t="s">
        <v>861</v>
      </c>
      <c r="E280" s="3" t="s">
        <v>1967</v>
      </c>
      <c r="F280" s="3" t="s">
        <v>1136</v>
      </c>
      <c r="G280" s="3" t="s">
        <v>3619</v>
      </c>
      <c r="H280" s="6">
        <v>14826.688</v>
      </c>
      <c r="I280" s="18"/>
    </row>
    <row r="281" spans="1:9" ht="15.75" customHeight="1" x14ac:dyDescent="0.35">
      <c r="A281" s="15"/>
      <c r="B281" s="3" t="s">
        <v>279</v>
      </c>
      <c r="C281" s="3" t="s">
        <v>2827</v>
      </c>
      <c r="D281" s="3" t="s">
        <v>860</v>
      </c>
      <c r="E281" s="3" t="s">
        <v>1968</v>
      </c>
      <c r="F281" s="3" t="s">
        <v>1137</v>
      </c>
      <c r="G281" s="3" t="s">
        <v>6227</v>
      </c>
      <c r="H281" s="6">
        <v>13076.255999999999</v>
      </c>
      <c r="I281" s="18"/>
    </row>
    <row r="282" spans="1:9" ht="15.75" customHeight="1" x14ac:dyDescent="0.35">
      <c r="A282" s="15"/>
      <c r="B282" s="3" t="s">
        <v>280</v>
      </c>
      <c r="C282" s="3" t="s">
        <v>2828</v>
      </c>
      <c r="D282" s="3" t="s">
        <v>861</v>
      </c>
      <c r="E282" s="3" t="s">
        <v>1969</v>
      </c>
      <c r="F282" s="3" t="s">
        <v>1138</v>
      </c>
      <c r="G282" s="3" t="s">
        <v>3620</v>
      </c>
      <c r="H282" s="6">
        <v>21081.184000000001</v>
      </c>
      <c r="I282" s="18"/>
    </row>
    <row r="283" spans="1:9" ht="15.75" customHeight="1" x14ac:dyDescent="0.35">
      <c r="A283" s="15"/>
      <c r="B283" s="3" t="s">
        <v>281</v>
      </c>
      <c r="C283" s="3" t="s">
        <v>2829</v>
      </c>
      <c r="D283" s="3" t="s">
        <v>860</v>
      </c>
      <c r="E283" s="3" t="s">
        <v>1970</v>
      </c>
      <c r="F283" s="3" t="s">
        <v>1139</v>
      </c>
      <c r="G283" s="3" t="s">
        <v>3621</v>
      </c>
      <c r="H283" s="6">
        <v>16635.488000000001</v>
      </c>
      <c r="I283" s="18"/>
    </row>
    <row r="284" spans="1:9" ht="15.75" customHeight="1" x14ac:dyDescent="0.35">
      <c r="A284" s="15"/>
      <c r="B284" s="3" t="s">
        <v>282</v>
      </c>
      <c r="C284" s="3" t="s">
        <v>2830</v>
      </c>
      <c r="D284" s="3" t="s">
        <v>861</v>
      </c>
      <c r="E284" s="3" t="s">
        <v>1971</v>
      </c>
      <c r="F284" s="3" t="s">
        <v>1140</v>
      </c>
      <c r="G284" s="3" t="s">
        <v>6228</v>
      </c>
      <c r="H284" s="6">
        <v>19155.04</v>
      </c>
      <c r="I284" s="18"/>
    </row>
    <row r="285" spans="1:9" ht="15.75" customHeight="1" x14ac:dyDescent="0.35">
      <c r="A285" s="15"/>
      <c r="B285" s="3" t="s">
        <v>283</v>
      </c>
      <c r="C285" s="3" t="s">
        <v>2831</v>
      </c>
      <c r="D285" s="3" t="s">
        <v>861</v>
      </c>
      <c r="E285" s="3" t="s">
        <v>1972</v>
      </c>
      <c r="F285" s="3" t="s">
        <v>1141</v>
      </c>
      <c r="G285" s="3" t="s">
        <v>3622</v>
      </c>
      <c r="H285" s="6">
        <v>10807.199999999999</v>
      </c>
      <c r="I285" s="18"/>
    </row>
    <row r="286" spans="1:9" ht="15.75" customHeight="1" x14ac:dyDescent="0.35">
      <c r="A286" s="15"/>
      <c r="B286" s="3" t="s">
        <v>284</v>
      </c>
      <c r="C286" s="3" t="s">
        <v>2832</v>
      </c>
      <c r="D286" s="3" t="s">
        <v>860</v>
      </c>
      <c r="E286" s="3" t="s">
        <v>1973</v>
      </c>
      <c r="F286" s="3" t="s">
        <v>1142</v>
      </c>
      <c r="G286" s="3" t="s">
        <v>5551</v>
      </c>
      <c r="H286" s="6">
        <v>13050.111999999999</v>
      </c>
      <c r="I286" s="18"/>
    </row>
    <row r="287" spans="1:9" ht="15.75" customHeight="1" x14ac:dyDescent="0.35">
      <c r="A287" s="15"/>
      <c r="B287" s="3" t="s">
        <v>285</v>
      </c>
      <c r="C287" s="3" t="s">
        <v>2833</v>
      </c>
      <c r="D287" s="3" t="s">
        <v>860</v>
      </c>
      <c r="E287" s="3" t="s">
        <v>1974</v>
      </c>
      <c r="F287" s="3" t="s">
        <v>1143</v>
      </c>
      <c r="G287" s="3" t="s">
        <v>3623</v>
      </c>
      <c r="H287" s="6">
        <v>13076.255999999999</v>
      </c>
      <c r="I287" s="18"/>
    </row>
    <row r="288" spans="1:9" ht="15.75" customHeight="1" x14ac:dyDescent="0.35">
      <c r="A288" s="15"/>
      <c r="B288" s="3" t="s">
        <v>286</v>
      </c>
      <c r="C288" s="3" t="s">
        <v>2834</v>
      </c>
      <c r="D288" s="3" t="s">
        <v>860</v>
      </c>
      <c r="E288" s="3" t="s">
        <v>1975</v>
      </c>
      <c r="F288" s="3" t="s">
        <v>1144</v>
      </c>
      <c r="G288" s="3" t="s">
        <v>3623</v>
      </c>
      <c r="H288" s="6">
        <v>21031.328000000001</v>
      </c>
      <c r="I288" s="18"/>
    </row>
    <row r="289" spans="1:9" ht="15.75" customHeight="1" x14ac:dyDescent="0.35">
      <c r="A289" s="15"/>
      <c r="B289" s="3" t="s">
        <v>287</v>
      </c>
      <c r="C289" s="3" t="s">
        <v>2835</v>
      </c>
      <c r="D289" s="3" t="s">
        <v>861</v>
      </c>
      <c r="E289" s="3" t="s">
        <v>1976</v>
      </c>
      <c r="F289" s="3" t="s">
        <v>1145</v>
      </c>
      <c r="G289" s="3" t="s">
        <v>5552</v>
      </c>
      <c r="H289" s="6">
        <v>12350.911999999998</v>
      </c>
      <c r="I289" s="18"/>
    </row>
    <row r="290" spans="1:9" ht="15.75" customHeight="1" x14ac:dyDescent="0.35">
      <c r="A290" s="15"/>
      <c r="B290" s="3" t="s">
        <v>288</v>
      </c>
      <c r="C290" s="3" t="s">
        <v>2836</v>
      </c>
      <c r="D290" s="3" t="s">
        <v>860</v>
      </c>
      <c r="E290" s="3" t="s">
        <v>1977</v>
      </c>
      <c r="F290" s="3" t="s">
        <v>1146</v>
      </c>
      <c r="G290" s="3" t="s">
        <v>3625</v>
      </c>
      <c r="H290" s="6">
        <v>18432.736000000001</v>
      </c>
      <c r="I290" s="18"/>
    </row>
    <row r="291" spans="1:9" ht="15.75" customHeight="1" x14ac:dyDescent="0.35">
      <c r="A291" s="15"/>
      <c r="B291" s="3" t="s">
        <v>289</v>
      </c>
      <c r="C291" s="3" t="s">
        <v>2837</v>
      </c>
      <c r="D291" s="3" t="s">
        <v>860</v>
      </c>
      <c r="E291" s="3" t="s">
        <v>1978</v>
      </c>
      <c r="F291" s="3" t="s">
        <v>1147</v>
      </c>
      <c r="G291" s="3" t="s">
        <v>3626</v>
      </c>
      <c r="H291" s="6">
        <v>16454.911999999997</v>
      </c>
      <c r="I291" s="18"/>
    </row>
    <row r="292" spans="1:9" ht="15.75" customHeight="1" x14ac:dyDescent="0.35">
      <c r="A292" s="15"/>
      <c r="B292" s="3" t="s">
        <v>290</v>
      </c>
      <c r="C292" s="3" t="s">
        <v>2838</v>
      </c>
      <c r="D292" s="3" t="s">
        <v>860</v>
      </c>
      <c r="E292" s="3" t="s">
        <v>1979</v>
      </c>
      <c r="F292" s="3" t="s">
        <v>1148</v>
      </c>
      <c r="G292" s="3" t="s">
        <v>3626</v>
      </c>
      <c r="H292" s="6">
        <v>13076.255999999999</v>
      </c>
      <c r="I292" s="18"/>
    </row>
    <row r="293" spans="1:9" ht="15.75" customHeight="1" x14ac:dyDescent="0.35">
      <c r="A293" s="15"/>
      <c r="B293" s="3" t="s">
        <v>291</v>
      </c>
      <c r="C293" s="3" t="s">
        <v>2839</v>
      </c>
      <c r="D293" s="3" t="s">
        <v>861</v>
      </c>
      <c r="E293" s="3" t="s">
        <v>1980</v>
      </c>
      <c r="F293" s="3" t="s">
        <v>1149</v>
      </c>
      <c r="G293" s="3" t="s">
        <v>6229</v>
      </c>
      <c r="H293" s="6">
        <v>26319.712</v>
      </c>
      <c r="I293" s="18"/>
    </row>
    <row r="294" spans="1:9" ht="15.75" customHeight="1" x14ac:dyDescent="0.35">
      <c r="A294" s="15"/>
      <c r="B294" s="3" t="s">
        <v>292</v>
      </c>
      <c r="C294" s="3" t="s">
        <v>2840</v>
      </c>
      <c r="D294" s="3" t="s">
        <v>861</v>
      </c>
      <c r="E294" s="3" t="s">
        <v>1981</v>
      </c>
      <c r="F294" s="3" t="s">
        <v>1150</v>
      </c>
      <c r="G294" s="3" t="s">
        <v>5796</v>
      </c>
      <c r="H294" s="6">
        <v>22067.967999999997</v>
      </c>
      <c r="I294" s="18"/>
    </row>
    <row r="295" spans="1:9" ht="15.75" customHeight="1" x14ac:dyDescent="0.35">
      <c r="A295" s="15"/>
      <c r="B295" s="3" t="s">
        <v>293</v>
      </c>
      <c r="C295" s="3" t="s">
        <v>2841</v>
      </c>
      <c r="D295" s="3" t="s">
        <v>860</v>
      </c>
      <c r="E295" s="3" t="s">
        <v>1982</v>
      </c>
      <c r="F295" s="3" t="s">
        <v>1151</v>
      </c>
      <c r="G295" s="3" t="s">
        <v>5940</v>
      </c>
      <c r="H295" s="6">
        <v>22430.944</v>
      </c>
      <c r="I295" s="18"/>
    </row>
    <row r="296" spans="1:9" ht="15.75" customHeight="1" x14ac:dyDescent="0.35">
      <c r="A296" s="15"/>
      <c r="B296" s="3" t="s">
        <v>294</v>
      </c>
      <c r="C296" s="3" t="s">
        <v>2842</v>
      </c>
      <c r="D296" s="3" t="s">
        <v>860</v>
      </c>
      <c r="E296" s="3" t="s">
        <v>1983</v>
      </c>
      <c r="F296" s="3" t="s">
        <v>1152</v>
      </c>
      <c r="G296" s="3" t="s">
        <v>3627</v>
      </c>
      <c r="H296" s="6">
        <v>106471.136</v>
      </c>
      <c r="I296" s="18"/>
    </row>
    <row r="297" spans="1:9" ht="15.75" customHeight="1" x14ac:dyDescent="0.35">
      <c r="A297" s="15"/>
      <c r="B297" s="3" t="s">
        <v>295</v>
      </c>
      <c r="C297" s="3" t="s">
        <v>2843</v>
      </c>
      <c r="D297" s="3" t="s">
        <v>861</v>
      </c>
      <c r="E297" s="3" t="s">
        <v>1984</v>
      </c>
      <c r="F297" s="3" t="s">
        <v>1153</v>
      </c>
      <c r="G297" s="3" t="s">
        <v>5431</v>
      </c>
      <c r="H297" s="6">
        <v>22810.335999999999</v>
      </c>
      <c r="I297" s="18"/>
    </row>
    <row r="298" spans="1:9" ht="15.75" customHeight="1" x14ac:dyDescent="0.35">
      <c r="A298" s="15"/>
      <c r="B298" s="3" t="s">
        <v>296</v>
      </c>
      <c r="C298" s="3" t="s">
        <v>2844</v>
      </c>
      <c r="D298" s="3" t="s">
        <v>860</v>
      </c>
      <c r="E298" s="3" t="s">
        <v>1985</v>
      </c>
      <c r="F298" s="3" t="s">
        <v>1154</v>
      </c>
      <c r="G298" s="3" t="s">
        <v>5564</v>
      </c>
      <c r="H298" s="6">
        <v>19460.863999999998</v>
      </c>
      <c r="I298" s="18"/>
    </row>
    <row r="299" spans="1:9" ht="15.75" customHeight="1" x14ac:dyDescent="0.35">
      <c r="A299" s="15"/>
      <c r="B299" s="3" t="s">
        <v>297</v>
      </c>
      <c r="C299" s="3" t="s">
        <v>2845</v>
      </c>
      <c r="D299" s="3" t="s">
        <v>860</v>
      </c>
      <c r="E299" s="3" t="s">
        <v>1986</v>
      </c>
      <c r="F299" s="3" t="s">
        <v>1155</v>
      </c>
      <c r="G299" s="3" t="s">
        <v>3628</v>
      </c>
      <c r="H299" s="6">
        <v>30457.151999999998</v>
      </c>
      <c r="I299" s="18"/>
    </row>
    <row r="300" spans="1:9" ht="15.75" customHeight="1" x14ac:dyDescent="0.35">
      <c r="A300" s="15"/>
      <c r="B300" s="3" t="s">
        <v>298</v>
      </c>
      <c r="C300" s="3" t="s">
        <v>2846</v>
      </c>
      <c r="D300" s="3" t="s">
        <v>860</v>
      </c>
      <c r="E300" s="3" t="s">
        <v>1987</v>
      </c>
      <c r="F300" s="3" t="s">
        <v>1156</v>
      </c>
      <c r="G300" s="3" t="s">
        <v>6230</v>
      </c>
      <c r="H300" s="6">
        <v>13076.255999999999</v>
      </c>
      <c r="I300" s="18"/>
    </row>
    <row r="301" spans="1:9" ht="15.75" customHeight="1" x14ac:dyDescent="0.35">
      <c r="A301" s="15"/>
      <c r="B301" s="3" t="s">
        <v>299</v>
      </c>
      <c r="C301" s="3" t="s">
        <v>2847</v>
      </c>
      <c r="D301" s="3" t="s">
        <v>861</v>
      </c>
      <c r="E301" s="3" t="s">
        <v>1988</v>
      </c>
      <c r="F301" s="3" t="s">
        <v>1157</v>
      </c>
      <c r="G301" s="3" t="s">
        <v>3629</v>
      </c>
      <c r="H301" s="6">
        <v>10686.816000000001</v>
      </c>
      <c r="I301" s="18"/>
    </row>
    <row r="302" spans="1:9" ht="15.75" customHeight="1" x14ac:dyDescent="0.35">
      <c r="A302" s="15"/>
      <c r="B302" s="3" t="s">
        <v>300</v>
      </c>
      <c r="C302" s="3" t="s">
        <v>2848</v>
      </c>
      <c r="D302" s="3" t="s">
        <v>861</v>
      </c>
      <c r="E302" s="3" t="s">
        <v>1989</v>
      </c>
      <c r="F302" s="3" t="s">
        <v>1158</v>
      </c>
      <c r="G302" s="3" t="s">
        <v>3630</v>
      </c>
      <c r="H302" s="6">
        <v>10379.776</v>
      </c>
      <c r="I302" s="18"/>
    </row>
    <row r="303" spans="1:9" ht="15.75" customHeight="1" x14ac:dyDescent="0.35">
      <c r="A303" s="15"/>
      <c r="B303" s="3" t="s">
        <v>301</v>
      </c>
      <c r="C303" s="3" t="s">
        <v>2849</v>
      </c>
      <c r="D303" s="3" t="s">
        <v>861</v>
      </c>
      <c r="E303" s="3" t="s">
        <v>1990</v>
      </c>
      <c r="F303" s="3" t="s">
        <v>1159</v>
      </c>
      <c r="G303" s="3" t="s">
        <v>3631</v>
      </c>
      <c r="H303" s="6">
        <v>19273.599999999999</v>
      </c>
      <c r="I303" s="18"/>
    </row>
    <row r="304" spans="1:9" ht="15.75" customHeight="1" x14ac:dyDescent="0.35">
      <c r="A304" s="15"/>
      <c r="B304" s="3" t="s">
        <v>302</v>
      </c>
      <c r="C304" s="3" t="s">
        <v>2850</v>
      </c>
      <c r="D304" s="3" t="s">
        <v>860</v>
      </c>
      <c r="E304" s="3" t="s">
        <v>1991</v>
      </c>
      <c r="F304" s="3" t="s">
        <v>1160</v>
      </c>
      <c r="G304" s="3" t="s">
        <v>6231</v>
      </c>
      <c r="H304" s="6">
        <v>18337.28</v>
      </c>
      <c r="I304" s="18"/>
    </row>
    <row r="305" spans="1:9" ht="15.75" customHeight="1" x14ac:dyDescent="0.35">
      <c r="A305" s="15"/>
      <c r="B305" s="3" t="s">
        <v>303</v>
      </c>
      <c r="C305" s="3" t="s">
        <v>2851</v>
      </c>
      <c r="D305" s="3" t="s">
        <v>861</v>
      </c>
      <c r="E305" s="3" t="s">
        <v>1992</v>
      </c>
      <c r="F305" s="3" t="s">
        <v>1161</v>
      </c>
      <c r="G305" s="3" t="s">
        <v>6231</v>
      </c>
      <c r="H305" s="6">
        <v>10686.816000000001</v>
      </c>
      <c r="I305" s="18"/>
    </row>
    <row r="306" spans="1:9" ht="15.75" customHeight="1" x14ac:dyDescent="0.35">
      <c r="A306" s="15"/>
      <c r="B306" s="3" t="s">
        <v>304</v>
      </c>
      <c r="C306" s="3" t="s">
        <v>2852</v>
      </c>
      <c r="D306" s="3" t="s">
        <v>861</v>
      </c>
      <c r="E306" s="3" t="s">
        <v>1993</v>
      </c>
      <c r="F306" s="3" t="s">
        <v>1162</v>
      </c>
      <c r="G306" s="3" t="s">
        <v>3632</v>
      </c>
      <c r="H306" s="6">
        <v>10379.776</v>
      </c>
      <c r="I306" s="18"/>
    </row>
    <row r="307" spans="1:9" ht="15.75" customHeight="1" x14ac:dyDescent="0.35">
      <c r="A307" s="15"/>
      <c r="B307" s="3" t="s">
        <v>305</v>
      </c>
      <c r="C307" s="3" t="s">
        <v>2853</v>
      </c>
      <c r="D307" s="3" t="s">
        <v>860</v>
      </c>
      <c r="E307" s="3" t="s">
        <v>1994</v>
      </c>
      <c r="F307" s="3" t="s">
        <v>1163</v>
      </c>
      <c r="G307" s="3" t="s">
        <v>3633</v>
      </c>
      <c r="H307" s="6">
        <v>49828.031999999992</v>
      </c>
      <c r="I307" s="18"/>
    </row>
    <row r="308" spans="1:9" ht="15.75" customHeight="1" x14ac:dyDescent="0.35">
      <c r="A308" s="15"/>
      <c r="B308" s="3" t="s">
        <v>306</v>
      </c>
      <c r="C308" s="3" t="s">
        <v>2854</v>
      </c>
      <c r="D308" s="3" t="s">
        <v>861</v>
      </c>
      <c r="E308" s="3" t="s">
        <v>1995</v>
      </c>
      <c r="F308" s="3" t="s">
        <v>1164</v>
      </c>
      <c r="G308" s="3" t="s">
        <v>3634</v>
      </c>
      <c r="H308" s="6">
        <v>16030.528</v>
      </c>
      <c r="I308" s="18"/>
    </row>
    <row r="309" spans="1:9" ht="15.75" customHeight="1" x14ac:dyDescent="0.35">
      <c r="A309" s="15"/>
      <c r="B309" s="3" t="s">
        <v>307</v>
      </c>
      <c r="C309" s="3" t="s">
        <v>2855</v>
      </c>
      <c r="D309" s="3" t="s">
        <v>861</v>
      </c>
      <c r="E309" s="3" t="s">
        <v>1996</v>
      </c>
      <c r="F309" s="3" t="s">
        <v>1165</v>
      </c>
      <c r="G309" s="3" t="s">
        <v>3635</v>
      </c>
      <c r="H309" s="6">
        <v>32098.143999999997</v>
      </c>
      <c r="I309" s="18"/>
    </row>
    <row r="310" spans="1:9" ht="15.75" customHeight="1" x14ac:dyDescent="0.35">
      <c r="A310" s="15"/>
      <c r="B310" s="3" t="s">
        <v>308</v>
      </c>
      <c r="C310" s="3" t="s">
        <v>2856</v>
      </c>
      <c r="D310" s="3" t="s">
        <v>861</v>
      </c>
      <c r="E310" s="3" t="s">
        <v>1997</v>
      </c>
      <c r="F310" s="3" t="s">
        <v>1166</v>
      </c>
      <c r="G310" s="3" t="s">
        <v>3635</v>
      </c>
      <c r="H310" s="6">
        <v>10892.32</v>
      </c>
      <c r="I310" s="18"/>
    </row>
    <row r="311" spans="1:9" ht="15.75" customHeight="1" x14ac:dyDescent="0.35">
      <c r="A311" s="15"/>
      <c r="B311" s="3" t="s">
        <v>309</v>
      </c>
      <c r="C311" s="3" t="s">
        <v>2857</v>
      </c>
      <c r="D311" s="3" t="s">
        <v>860</v>
      </c>
      <c r="E311" s="3" t="s">
        <v>1998</v>
      </c>
      <c r="F311" s="3" t="s">
        <v>1167</v>
      </c>
      <c r="G311" s="3" t="s">
        <v>5709</v>
      </c>
      <c r="H311" s="6">
        <v>23950.944</v>
      </c>
      <c r="I311" s="18"/>
    </row>
    <row r="312" spans="1:9" ht="15.75" customHeight="1" x14ac:dyDescent="0.35">
      <c r="A312" s="15"/>
      <c r="B312" s="3" t="s">
        <v>310</v>
      </c>
      <c r="C312" s="3" t="s">
        <v>2858</v>
      </c>
      <c r="D312" s="3" t="s">
        <v>861</v>
      </c>
      <c r="E312" s="3" t="s">
        <v>1999</v>
      </c>
      <c r="F312" s="3" t="s">
        <v>1168</v>
      </c>
      <c r="G312" s="3" t="s">
        <v>6232</v>
      </c>
      <c r="H312" s="6">
        <v>11128.224</v>
      </c>
      <c r="I312" s="18"/>
    </row>
    <row r="313" spans="1:9" ht="15.75" customHeight="1" x14ac:dyDescent="0.35">
      <c r="A313" s="15"/>
      <c r="B313" s="3" t="s">
        <v>311</v>
      </c>
      <c r="C313" s="3" t="s">
        <v>2859</v>
      </c>
      <c r="D313" s="3" t="s">
        <v>861</v>
      </c>
      <c r="E313" s="3" t="s">
        <v>2000</v>
      </c>
      <c r="F313" s="3" t="s">
        <v>1169</v>
      </c>
      <c r="G313" s="3" t="s">
        <v>5710</v>
      </c>
      <c r="H313" s="6">
        <v>25165.727999999999</v>
      </c>
      <c r="I313" s="18"/>
    </row>
    <row r="314" spans="1:9" ht="15.75" customHeight="1" x14ac:dyDescent="0.35">
      <c r="A314" s="15"/>
      <c r="B314" s="3" t="s">
        <v>312</v>
      </c>
      <c r="C314" s="3" t="s">
        <v>2860</v>
      </c>
      <c r="D314" s="3" t="s">
        <v>860</v>
      </c>
      <c r="E314" s="3" t="s">
        <v>2001</v>
      </c>
      <c r="F314" s="3" t="s">
        <v>1170</v>
      </c>
      <c r="G314" s="3" t="s">
        <v>6233</v>
      </c>
      <c r="H314" s="6">
        <v>13057.103999999999</v>
      </c>
      <c r="I314" s="18"/>
    </row>
    <row r="315" spans="1:9" ht="15.75" customHeight="1" x14ac:dyDescent="0.35">
      <c r="A315" s="15"/>
      <c r="B315" s="3" t="s">
        <v>313</v>
      </c>
      <c r="C315" s="3" t="s">
        <v>2861</v>
      </c>
      <c r="D315" s="3" t="s">
        <v>861</v>
      </c>
      <c r="E315" s="3" t="s">
        <v>2002</v>
      </c>
      <c r="F315" s="3" t="s">
        <v>1171</v>
      </c>
      <c r="G315" s="3" t="s">
        <v>6021</v>
      </c>
      <c r="H315" s="6">
        <v>10264.864</v>
      </c>
      <c r="I315" s="18"/>
    </row>
    <row r="316" spans="1:9" ht="15.75" customHeight="1" x14ac:dyDescent="0.35">
      <c r="A316" s="15"/>
      <c r="B316" s="3" t="s">
        <v>314</v>
      </c>
      <c r="C316" s="3" t="s">
        <v>2862</v>
      </c>
      <c r="D316" s="3" t="s">
        <v>860</v>
      </c>
      <c r="E316" s="3" t="s">
        <v>2003</v>
      </c>
      <c r="F316" s="3" t="s">
        <v>1172</v>
      </c>
      <c r="G316" s="3" t="s">
        <v>3636</v>
      </c>
      <c r="H316" s="6">
        <v>34919.264000000003</v>
      </c>
      <c r="I316" s="18"/>
    </row>
    <row r="317" spans="1:9" ht="15.75" customHeight="1" x14ac:dyDescent="0.35">
      <c r="A317" s="15"/>
      <c r="B317" s="3" t="s">
        <v>315</v>
      </c>
      <c r="C317" s="3" t="s">
        <v>2863</v>
      </c>
      <c r="D317" s="3" t="s">
        <v>861</v>
      </c>
      <c r="E317" s="3" t="s">
        <v>2004</v>
      </c>
      <c r="F317" s="3" t="s">
        <v>1173</v>
      </c>
      <c r="G317" s="3" t="s">
        <v>3636</v>
      </c>
      <c r="H317" s="6">
        <v>31031.103999999999</v>
      </c>
      <c r="I317" s="18"/>
    </row>
    <row r="318" spans="1:9" ht="15.75" customHeight="1" x14ac:dyDescent="0.35">
      <c r="A318" s="15"/>
      <c r="B318" s="3" t="s">
        <v>316</v>
      </c>
      <c r="C318" s="3" t="s">
        <v>2864</v>
      </c>
      <c r="D318" s="3" t="s">
        <v>861</v>
      </c>
      <c r="E318" s="3" t="s">
        <v>2005</v>
      </c>
      <c r="F318" s="3" t="s">
        <v>1174</v>
      </c>
      <c r="G318" s="3" t="s">
        <v>3637</v>
      </c>
      <c r="H318" s="6">
        <v>43427.615999999995</v>
      </c>
      <c r="I318" s="18"/>
    </row>
    <row r="319" spans="1:9" ht="15.75" customHeight="1" x14ac:dyDescent="0.35">
      <c r="A319" s="15"/>
      <c r="B319" s="3" t="s">
        <v>317</v>
      </c>
      <c r="C319" s="3" t="s">
        <v>2865</v>
      </c>
      <c r="D319" s="3" t="s">
        <v>860</v>
      </c>
      <c r="E319" s="3" t="s">
        <v>2006</v>
      </c>
      <c r="F319" s="3" t="s">
        <v>1175</v>
      </c>
      <c r="G319" s="3" t="s">
        <v>3638</v>
      </c>
      <c r="H319" s="6">
        <v>22810.335999999999</v>
      </c>
      <c r="I319" s="18"/>
    </row>
    <row r="320" spans="1:9" ht="15.75" customHeight="1" x14ac:dyDescent="0.35">
      <c r="A320" s="15"/>
      <c r="B320" s="3" t="s">
        <v>318</v>
      </c>
      <c r="C320" s="3" t="s">
        <v>2866</v>
      </c>
      <c r="D320" s="3" t="s">
        <v>861</v>
      </c>
      <c r="E320" s="3" t="s">
        <v>2007</v>
      </c>
      <c r="F320" s="3" t="s">
        <v>1176</v>
      </c>
      <c r="G320" s="3" t="s">
        <v>3639</v>
      </c>
      <c r="H320" s="6">
        <v>36938.431999999993</v>
      </c>
      <c r="I320" s="18"/>
    </row>
    <row r="321" spans="1:9" ht="15.75" customHeight="1" x14ac:dyDescent="0.35">
      <c r="A321" s="15"/>
      <c r="B321" s="3" t="s">
        <v>319</v>
      </c>
      <c r="C321" s="3" t="s">
        <v>2867</v>
      </c>
      <c r="D321" s="3" t="s">
        <v>861</v>
      </c>
      <c r="E321" s="3" t="s">
        <v>2008</v>
      </c>
      <c r="F321" s="3" t="s">
        <v>1177</v>
      </c>
      <c r="G321" s="3" t="s">
        <v>6234</v>
      </c>
      <c r="H321" s="6">
        <v>31327.199999999997</v>
      </c>
      <c r="I321" s="18"/>
    </row>
    <row r="322" spans="1:9" ht="15.75" customHeight="1" x14ac:dyDescent="0.35">
      <c r="A322" s="15"/>
      <c r="B322" s="3" t="s">
        <v>320</v>
      </c>
      <c r="C322" s="3" t="s">
        <v>2868</v>
      </c>
      <c r="D322" s="3" t="s">
        <v>860</v>
      </c>
      <c r="E322" s="3" t="s">
        <v>2009</v>
      </c>
      <c r="F322" s="3" t="s">
        <v>1178</v>
      </c>
      <c r="G322" s="3" t="s">
        <v>3640</v>
      </c>
      <c r="H322" s="6">
        <v>13306.08</v>
      </c>
      <c r="I322" s="18"/>
    </row>
    <row r="323" spans="1:9" ht="15.75" customHeight="1" x14ac:dyDescent="0.35">
      <c r="A323" s="15"/>
      <c r="B323" s="3" t="s">
        <v>321</v>
      </c>
      <c r="C323" s="3" t="s">
        <v>2869</v>
      </c>
      <c r="D323" s="3" t="s">
        <v>861</v>
      </c>
      <c r="E323" s="3" t="s">
        <v>2010</v>
      </c>
      <c r="F323" s="3" t="s">
        <v>1179</v>
      </c>
      <c r="G323" s="3" t="s">
        <v>3641</v>
      </c>
      <c r="H323" s="6">
        <v>10176.704</v>
      </c>
      <c r="I323" s="18"/>
    </row>
    <row r="324" spans="1:9" ht="15.75" customHeight="1" x14ac:dyDescent="0.35">
      <c r="A324" s="15"/>
      <c r="B324" s="3" t="s">
        <v>322</v>
      </c>
      <c r="C324" s="3" t="s">
        <v>2870</v>
      </c>
      <c r="D324" s="3" t="s">
        <v>861</v>
      </c>
      <c r="E324" s="3" t="s">
        <v>2011</v>
      </c>
      <c r="F324" s="3" t="s">
        <v>1180</v>
      </c>
      <c r="G324" s="3" t="s">
        <v>3642</v>
      </c>
      <c r="H324" s="6">
        <v>18515.423999999999</v>
      </c>
      <c r="I324" s="18"/>
    </row>
    <row r="325" spans="1:9" ht="15.75" customHeight="1" x14ac:dyDescent="0.35">
      <c r="A325" s="15"/>
      <c r="B325" s="3" t="s">
        <v>323</v>
      </c>
      <c r="C325" s="3" t="s">
        <v>2871</v>
      </c>
      <c r="D325" s="3" t="s">
        <v>861</v>
      </c>
      <c r="E325" s="3" t="s">
        <v>2012</v>
      </c>
      <c r="F325" s="3" t="s">
        <v>1181</v>
      </c>
      <c r="G325" s="3" t="s">
        <v>3643</v>
      </c>
      <c r="H325" s="6">
        <v>14826.688</v>
      </c>
      <c r="I325" s="18"/>
    </row>
    <row r="326" spans="1:9" ht="15.75" customHeight="1" x14ac:dyDescent="0.35">
      <c r="A326" s="15"/>
      <c r="B326" s="3" t="s">
        <v>324</v>
      </c>
      <c r="C326" s="3" t="s">
        <v>2872</v>
      </c>
      <c r="D326" s="3" t="s">
        <v>860</v>
      </c>
      <c r="E326" s="3" t="s">
        <v>2013</v>
      </c>
      <c r="F326" s="3" t="s">
        <v>1182</v>
      </c>
      <c r="G326" s="3" t="s">
        <v>5597</v>
      </c>
      <c r="H326" s="6">
        <v>13230.08</v>
      </c>
      <c r="I326" s="18"/>
    </row>
    <row r="327" spans="1:9" ht="15.75" customHeight="1" x14ac:dyDescent="0.35">
      <c r="A327" s="15"/>
      <c r="B327" s="3" t="s">
        <v>325</v>
      </c>
      <c r="C327" s="3" t="s">
        <v>2873</v>
      </c>
      <c r="D327" s="3" t="s">
        <v>861</v>
      </c>
      <c r="E327" s="3" t="s">
        <v>2014</v>
      </c>
      <c r="F327" s="3" t="s">
        <v>1183</v>
      </c>
      <c r="G327" s="3" t="s">
        <v>3644</v>
      </c>
      <c r="H327" s="6">
        <v>35590.495999999999</v>
      </c>
      <c r="I327" s="18"/>
    </row>
    <row r="328" spans="1:9" ht="15.75" customHeight="1" x14ac:dyDescent="0.35">
      <c r="A328" s="15"/>
      <c r="B328" s="3" t="s">
        <v>326</v>
      </c>
      <c r="C328" s="3" t="s">
        <v>2874</v>
      </c>
      <c r="D328" s="3" t="s">
        <v>860</v>
      </c>
      <c r="E328" s="3" t="s">
        <v>2015</v>
      </c>
      <c r="F328" s="3" t="s">
        <v>1184</v>
      </c>
      <c r="G328" s="3" t="s">
        <v>3645</v>
      </c>
      <c r="H328" s="6">
        <v>13230.08</v>
      </c>
      <c r="I328" s="18"/>
    </row>
    <row r="329" spans="1:9" ht="15.75" customHeight="1" x14ac:dyDescent="0.35">
      <c r="A329" s="15"/>
      <c r="B329" s="3" t="s">
        <v>327</v>
      </c>
      <c r="C329" s="3" t="s">
        <v>2875</v>
      </c>
      <c r="D329" s="3" t="s">
        <v>861</v>
      </c>
      <c r="E329" s="3" t="s">
        <v>2016</v>
      </c>
      <c r="F329" s="3" t="s">
        <v>1185</v>
      </c>
      <c r="G329" s="3" t="s">
        <v>3645</v>
      </c>
      <c r="H329" s="6">
        <v>10686.207999999999</v>
      </c>
      <c r="I329" s="18"/>
    </row>
    <row r="330" spans="1:9" ht="15.75" customHeight="1" x14ac:dyDescent="0.35">
      <c r="A330" s="15"/>
      <c r="B330" s="3" t="s">
        <v>328</v>
      </c>
      <c r="C330" s="3" t="s">
        <v>2876</v>
      </c>
      <c r="D330" s="3" t="s">
        <v>861</v>
      </c>
      <c r="E330" s="3" t="s">
        <v>2017</v>
      </c>
      <c r="F330" s="3" t="s">
        <v>1186</v>
      </c>
      <c r="G330" s="3" t="s">
        <v>3646</v>
      </c>
      <c r="H330" s="6">
        <v>27372.159999999996</v>
      </c>
      <c r="I330" s="18"/>
    </row>
    <row r="331" spans="1:9" ht="15.75" customHeight="1" x14ac:dyDescent="0.35">
      <c r="A331" s="15"/>
      <c r="B331" s="3" t="s">
        <v>329</v>
      </c>
      <c r="C331" s="3" t="s">
        <v>2877</v>
      </c>
      <c r="D331" s="3" t="s">
        <v>860</v>
      </c>
      <c r="E331" s="3" t="s">
        <v>2018</v>
      </c>
      <c r="F331" s="3" t="s">
        <v>1187</v>
      </c>
      <c r="G331" s="3" t="s">
        <v>3646</v>
      </c>
      <c r="H331" s="6">
        <v>18857.727999999999</v>
      </c>
      <c r="I331" s="18"/>
    </row>
    <row r="332" spans="1:9" ht="15.75" customHeight="1" x14ac:dyDescent="0.35">
      <c r="A332" s="15"/>
      <c r="B332" s="3" t="s">
        <v>330</v>
      </c>
      <c r="C332" s="3" t="s">
        <v>2878</v>
      </c>
      <c r="D332" s="3" t="s">
        <v>860</v>
      </c>
      <c r="E332" s="3" t="s">
        <v>2019</v>
      </c>
      <c r="F332" s="3" t="s">
        <v>1188</v>
      </c>
      <c r="G332" s="3" t="s">
        <v>3647</v>
      </c>
      <c r="H332" s="6">
        <v>54299.872000000003</v>
      </c>
      <c r="I332" s="18"/>
    </row>
    <row r="333" spans="1:9" ht="15.75" customHeight="1" x14ac:dyDescent="0.35">
      <c r="A333" s="15"/>
      <c r="B333" s="3" t="s">
        <v>331</v>
      </c>
      <c r="C333" s="3" t="s">
        <v>2879</v>
      </c>
      <c r="D333" s="3" t="s">
        <v>861</v>
      </c>
      <c r="E333" s="3" t="s">
        <v>2020</v>
      </c>
      <c r="F333" s="3" t="s">
        <v>1189</v>
      </c>
      <c r="G333" s="3" t="s">
        <v>3648</v>
      </c>
      <c r="H333" s="6">
        <v>25352.991999999998</v>
      </c>
      <c r="I333" s="18"/>
    </row>
    <row r="334" spans="1:9" ht="15.75" customHeight="1" x14ac:dyDescent="0.35">
      <c r="A334" s="15"/>
      <c r="B334" s="3" t="s">
        <v>332</v>
      </c>
      <c r="C334" s="3" t="s">
        <v>2880</v>
      </c>
      <c r="D334" s="3" t="s">
        <v>860</v>
      </c>
      <c r="E334" s="3" t="s">
        <v>2021</v>
      </c>
      <c r="F334" s="3" t="s">
        <v>1190</v>
      </c>
      <c r="G334" s="3" t="s">
        <v>3649</v>
      </c>
      <c r="H334" s="6">
        <v>66287.80799999999</v>
      </c>
      <c r="I334" s="18"/>
    </row>
    <row r="335" spans="1:9" ht="15.75" customHeight="1" x14ac:dyDescent="0.35">
      <c r="A335" s="15"/>
      <c r="B335" s="3" t="s">
        <v>333</v>
      </c>
      <c r="C335" s="3" t="s">
        <v>2881</v>
      </c>
      <c r="D335" s="3" t="s">
        <v>861</v>
      </c>
      <c r="E335" s="3" t="s">
        <v>2022</v>
      </c>
      <c r="F335" s="3" t="s">
        <v>1191</v>
      </c>
      <c r="G335" s="3" t="s">
        <v>3649</v>
      </c>
      <c r="H335" s="6">
        <v>15087.52</v>
      </c>
      <c r="I335" s="18"/>
    </row>
    <row r="336" spans="1:9" ht="15.75" customHeight="1" x14ac:dyDescent="0.35">
      <c r="A336" s="15"/>
      <c r="B336" s="3" t="s">
        <v>334</v>
      </c>
      <c r="C336" s="3" t="s">
        <v>2882</v>
      </c>
      <c r="D336" s="3" t="s">
        <v>861</v>
      </c>
      <c r="E336" s="3" t="s">
        <v>2023</v>
      </c>
      <c r="F336" s="3" t="s">
        <v>1192</v>
      </c>
      <c r="G336" s="3" t="s">
        <v>3650</v>
      </c>
      <c r="H336" s="6">
        <v>39981.472000000002</v>
      </c>
      <c r="I336" s="18"/>
    </row>
    <row r="337" spans="1:9" ht="15.75" customHeight="1" x14ac:dyDescent="0.35">
      <c r="A337" s="15"/>
      <c r="B337" s="3" t="s">
        <v>335</v>
      </c>
      <c r="C337" s="3" t="s">
        <v>2883</v>
      </c>
      <c r="D337" s="3" t="s">
        <v>860</v>
      </c>
      <c r="E337" s="3" t="s">
        <v>2024</v>
      </c>
      <c r="F337" s="3" t="s">
        <v>1193</v>
      </c>
      <c r="G337" s="3" t="s">
        <v>6022</v>
      </c>
      <c r="H337" s="6">
        <v>13921.679999999998</v>
      </c>
      <c r="I337" s="18"/>
    </row>
    <row r="338" spans="1:9" ht="15.75" customHeight="1" x14ac:dyDescent="0.35">
      <c r="A338" s="15"/>
      <c r="B338" s="3" t="s">
        <v>336</v>
      </c>
      <c r="C338" s="3" t="s">
        <v>2884</v>
      </c>
      <c r="D338" s="3" t="s">
        <v>861</v>
      </c>
      <c r="E338" s="3" t="s">
        <v>2025</v>
      </c>
      <c r="F338" s="3" t="s">
        <v>1194</v>
      </c>
      <c r="G338" s="3" t="s">
        <v>3651</v>
      </c>
      <c r="H338" s="6">
        <v>10481.92</v>
      </c>
      <c r="I338" s="18"/>
    </row>
    <row r="339" spans="1:9" ht="15.75" customHeight="1" x14ac:dyDescent="0.35">
      <c r="A339" s="15"/>
      <c r="B339" s="3" t="s">
        <v>337</v>
      </c>
      <c r="C339" s="3" t="s">
        <v>2885</v>
      </c>
      <c r="D339" s="3" t="s">
        <v>861</v>
      </c>
      <c r="E339" s="3" t="s">
        <v>2026</v>
      </c>
      <c r="F339" s="3" t="s">
        <v>1195</v>
      </c>
      <c r="G339" s="3" t="s">
        <v>3652</v>
      </c>
      <c r="H339" s="6">
        <v>22750.752</v>
      </c>
      <c r="I339" s="18"/>
    </row>
    <row r="340" spans="1:9" ht="15.75" customHeight="1" x14ac:dyDescent="0.35">
      <c r="A340" s="15"/>
      <c r="B340" s="3" t="s">
        <v>338</v>
      </c>
      <c r="C340" s="3" t="s">
        <v>2886</v>
      </c>
      <c r="D340" s="3" t="s">
        <v>861</v>
      </c>
      <c r="E340" s="3" t="s">
        <v>2027</v>
      </c>
      <c r="F340" s="3" t="s">
        <v>1196</v>
      </c>
      <c r="G340" s="3" t="s">
        <v>3653</v>
      </c>
      <c r="H340" s="6">
        <v>13431.935999999998</v>
      </c>
      <c r="I340" s="18"/>
    </row>
    <row r="341" spans="1:9" ht="15.75" customHeight="1" x14ac:dyDescent="0.35">
      <c r="A341" s="15"/>
      <c r="B341" s="3" t="s">
        <v>339</v>
      </c>
      <c r="C341" s="3" t="s">
        <v>2887</v>
      </c>
      <c r="D341" s="3" t="s">
        <v>861</v>
      </c>
      <c r="E341" s="3" t="s">
        <v>2028</v>
      </c>
      <c r="F341" s="3" t="s">
        <v>1197</v>
      </c>
      <c r="G341" s="3" t="s">
        <v>3654</v>
      </c>
      <c r="H341" s="6">
        <v>10790.784</v>
      </c>
      <c r="I341" s="18"/>
    </row>
    <row r="342" spans="1:9" ht="15.75" customHeight="1" x14ac:dyDescent="0.35">
      <c r="A342" s="15"/>
      <c r="B342" s="3" t="s">
        <v>340</v>
      </c>
      <c r="C342" s="3" t="s">
        <v>2888</v>
      </c>
      <c r="D342" s="3" t="s">
        <v>860</v>
      </c>
      <c r="E342" s="3" t="s">
        <v>2029</v>
      </c>
      <c r="F342" s="3" t="s">
        <v>1198</v>
      </c>
      <c r="G342" s="3" t="s">
        <v>3654</v>
      </c>
      <c r="H342" s="6">
        <v>13101.791999999999</v>
      </c>
      <c r="I342" s="18"/>
    </row>
    <row r="343" spans="1:9" ht="15.75" customHeight="1" x14ac:dyDescent="0.35">
      <c r="A343" s="15"/>
      <c r="B343" s="3" t="s">
        <v>341</v>
      </c>
      <c r="C343" s="3" t="s">
        <v>2889</v>
      </c>
      <c r="D343" s="3" t="s">
        <v>860</v>
      </c>
      <c r="E343" s="3" t="s">
        <v>2030</v>
      </c>
      <c r="F343" s="3" t="s">
        <v>1199</v>
      </c>
      <c r="G343" s="3" t="s">
        <v>3655</v>
      </c>
      <c r="H343" s="6">
        <v>50084.303999999996</v>
      </c>
      <c r="I343" s="18"/>
    </row>
    <row r="344" spans="1:9" ht="15.75" customHeight="1" x14ac:dyDescent="0.35">
      <c r="A344" s="15"/>
      <c r="B344" s="3" t="s">
        <v>342</v>
      </c>
      <c r="C344" s="3" t="s">
        <v>2890</v>
      </c>
      <c r="D344" s="3" t="s">
        <v>861</v>
      </c>
      <c r="E344" s="3" t="s">
        <v>2031</v>
      </c>
      <c r="F344" s="3" t="s">
        <v>1200</v>
      </c>
      <c r="G344" s="3" t="s">
        <v>3656</v>
      </c>
      <c r="H344" s="6">
        <v>31933.984</v>
      </c>
      <c r="I344" s="18"/>
    </row>
    <row r="345" spans="1:9" ht="15.75" customHeight="1" x14ac:dyDescent="0.35">
      <c r="A345" s="15"/>
      <c r="B345" s="3" t="s">
        <v>343</v>
      </c>
      <c r="C345" s="3" t="s">
        <v>2891</v>
      </c>
      <c r="D345" s="3" t="s">
        <v>861</v>
      </c>
      <c r="E345" s="3" t="s">
        <v>2032</v>
      </c>
      <c r="F345" s="3" t="s">
        <v>1201</v>
      </c>
      <c r="G345" s="3" t="s">
        <v>3656</v>
      </c>
      <c r="H345" s="6">
        <v>19200.64</v>
      </c>
      <c r="I345" s="18"/>
    </row>
    <row r="346" spans="1:9" ht="15.75" customHeight="1" x14ac:dyDescent="0.35">
      <c r="A346" s="15"/>
      <c r="B346" s="3" t="s">
        <v>344</v>
      </c>
      <c r="C346" s="3" t="s">
        <v>2892</v>
      </c>
      <c r="D346" s="3" t="s">
        <v>860</v>
      </c>
      <c r="E346" s="3" t="s">
        <v>2033</v>
      </c>
      <c r="F346" s="3" t="s">
        <v>1202</v>
      </c>
      <c r="G346" s="3" t="s">
        <v>6235</v>
      </c>
      <c r="H346" s="6">
        <v>13076.255999999999</v>
      </c>
      <c r="I346" s="18"/>
    </row>
    <row r="347" spans="1:9" ht="15.75" customHeight="1" x14ac:dyDescent="0.35">
      <c r="A347" s="15"/>
      <c r="B347" s="3" t="s">
        <v>345</v>
      </c>
      <c r="C347" s="3" t="s">
        <v>2893</v>
      </c>
      <c r="D347" s="3" t="s">
        <v>861</v>
      </c>
      <c r="E347" s="3" t="s">
        <v>2034</v>
      </c>
      <c r="F347" s="3" t="s">
        <v>1203</v>
      </c>
      <c r="G347" s="3" t="s">
        <v>3657</v>
      </c>
      <c r="H347" s="6">
        <v>10375.52</v>
      </c>
      <c r="I347" s="18"/>
    </row>
    <row r="348" spans="1:9" ht="15.75" customHeight="1" x14ac:dyDescent="0.35">
      <c r="A348" s="15"/>
      <c r="B348" s="3" t="s">
        <v>346</v>
      </c>
      <c r="C348" s="3" t="s">
        <v>2894</v>
      </c>
      <c r="D348" s="3" t="s">
        <v>861</v>
      </c>
      <c r="E348" s="3" t="s">
        <v>2035</v>
      </c>
      <c r="F348" s="3" t="s">
        <v>1189</v>
      </c>
      <c r="G348" s="3" t="s">
        <v>3657</v>
      </c>
      <c r="H348" s="6">
        <v>24514.559999999998</v>
      </c>
      <c r="I348" s="18"/>
    </row>
    <row r="349" spans="1:9" ht="15.75" customHeight="1" x14ac:dyDescent="0.35">
      <c r="A349" s="15"/>
      <c r="B349" s="3" t="s">
        <v>347</v>
      </c>
      <c r="C349" s="3" t="s">
        <v>2895</v>
      </c>
      <c r="D349" s="3" t="s">
        <v>861</v>
      </c>
      <c r="E349" s="3" t="s">
        <v>2036</v>
      </c>
      <c r="F349" s="3" t="s">
        <v>1204</v>
      </c>
      <c r="G349" s="3" t="s">
        <v>3658</v>
      </c>
      <c r="H349" s="6">
        <v>16503.552</v>
      </c>
      <c r="I349" s="18"/>
    </row>
    <row r="350" spans="1:9" ht="15.75" customHeight="1" x14ac:dyDescent="0.35">
      <c r="A350" s="15"/>
      <c r="B350" s="3" t="s">
        <v>348</v>
      </c>
      <c r="C350" s="3" t="s">
        <v>2896</v>
      </c>
      <c r="D350" s="3" t="s">
        <v>861</v>
      </c>
      <c r="E350" s="3" t="s">
        <v>2037</v>
      </c>
      <c r="F350" s="3" t="s">
        <v>1205</v>
      </c>
      <c r="G350" s="3" t="s">
        <v>6236</v>
      </c>
      <c r="H350" s="6">
        <v>36647.807999999997</v>
      </c>
      <c r="I350" s="18"/>
    </row>
    <row r="351" spans="1:9" ht="15.75" customHeight="1" x14ac:dyDescent="0.35">
      <c r="A351" s="15"/>
      <c r="B351" s="3" t="s">
        <v>349</v>
      </c>
      <c r="C351" s="3" t="s">
        <v>2897</v>
      </c>
      <c r="D351" s="3" t="s">
        <v>860</v>
      </c>
      <c r="E351" s="3" t="s">
        <v>2038</v>
      </c>
      <c r="F351" s="3" t="s">
        <v>1206</v>
      </c>
      <c r="G351" s="3" t="s">
        <v>3659</v>
      </c>
      <c r="H351" s="6">
        <v>14648.544</v>
      </c>
      <c r="I351" s="18"/>
    </row>
    <row r="352" spans="1:9" ht="15.75" customHeight="1" x14ac:dyDescent="0.35">
      <c r="A352" s="15"/>
      <c r="B352" s="3" t="s">
        <v>350</v>
      </c>
      <c r="C352" s="3" t="s">
        <v>2898</v>
      </c>
      <c r="D352" s="3" t="s">
        <v>861</v>
      </c>
      <c r="E352" s="3" t="s">
        <v>2039</v>
      </c>
      <c r="F352" s="3" t="s">
        <v>1207</v>
      </c>
      <c r="G352" s="3" t="s">
        <v>3659</v>
      </c>
      <c r="H352" s="6">
        <v>17459.936000000002</v>
      </c>
      <c r="I352" s="18"/>
    </row>
    <row r="353" spans="1:9" ht="15.75" customHeight="1" x14ac:dyDescent="0.35">
      <c r="A353" s="15"/>
      <c r="B353" s="3" t="s">
        <v>351</v>
      </c>
      <c r="C353" s="3" t="s">
        <v>2899</v>
      </c>
      <c r="D353" s="3" t="s">
        <v>860</v>
      </c>
      <c r="E353" s="3" t="s">
        <v>2040</v>
      </c>
      <c r="F353" s="3" t="s">
        <v>1208</v>
      </c>
      <c r="G353" s="3" t="s">
        <v>6237</v>
      </c>
      <c r="H353" s="6">
        <v>53908.927999999993</v>
      </c>
      <c r="I353" s="18"/>
    </row>
    <row r="354" spans="1:9" ht="15.75" customHeight="1" x14ac:dyDescent="0.35">
      <c r="A354" s="15"/>
      <c r="B354" s="3" t="s">
        <v>352</v>
      </c>
      <c r="C354" s="3" t="s">
        <v>2900</v>
      </c>
      <c r="D354" s="3" t="s">
        <v>861</v>
      </c>
      <c r="E354" s="3" t="s">
        <v>2041</v>
      </c>
      <c r="F354" s="3" t="s">
        <v>1209</v>
      </c>
      <c r="G354" s="3" t="s">
        <v>3660</v>
      </c>
      <c r="H354" s="6">
        <v>36437.439999999995</v>
      </c>
      <c r="I354" s="18"/>
    </row>
    <row r="355" spans="1:9" ht="15.75" customHeight="1" x14ac:dyDescent="0.35">
      <c r="A355" s="15"/>
      <c r="B355" s="3" t="s">
        <v>353</v>
      </c>
      <c r="C355" s="3" t="s">
        <v>2901</v>
      </c>
      <c r="D355" s="3" t="s">
        <v>861</v>
      </c>
      <c r="E355" s="3" t="s">
        <v>2042</v>
      </c>
      <c r="F355" s="3" t="s">
        <v>1201</v>
      </c>
      <c r="G355" s="3" t="s">
        <v>3660</v>
      </c>
      <c r="H355" s="6">
        <v>20706.655999999999</v>
      </c>
      <c r="I355" s="18"/>
    </row>
    <row r="356" spans="1:9" ht="15.75" customHeight="1" x14ac:dyDescent="0.35">
      <c r="A356" s="15"/>
      <c r="B356" s="3" t="s">
        <v>354</v>
      </c>
      <c r="C356" s="3" t="s">
        <v>2902</v>
      </c>
      <c r="D356" s="3" t="s">
        <v>861</v>
      </c>
      <c r="E356" s="3" t="s">
        <v>2043</v>
      </c>
      <c r="F356" s="3" t="s">
        <v>1210</v>
      </c>
      <c r="G356" s="3" t="s">
        <v>3661</v>
      </c>
      <c r="H356" s="6">
        <v>10583.455999999998</v>
      </c>
      <c r="I356" s="18"/>
    </row>
    <row r="357" spans="1:9" ht="15.75" customHeight="1" x14ac:dyDescent="0.35">
      <c r="A357" s="15"/>
      <c r="B357" s="3" t="s">
        <v>355</v>
      </c>
      <c r="C357" s="3" t="s">
        <v>2903</v>
      </c>
      <c r="D357" s="3" t="s">
        <v>861</v>
      </c>
      <c r="E357" s="3" t="s">
        <v>2044</v>
      </c>
      <c r="F357" s="3" t="s">
        <v>1211</v>
      </c>
      <c r="G357" s="3" t="s">
        <v>3662</v>
      </c>
      <c r="H357" s="6">
        <v>24687.84</v>
      </c>
      <c r="I357" s="18"/>
    </row>
    <row r="358" spans="1:9" ht="15.75" customHeight="1" x14ac:dyDescent="0.35">
      <c r="A358" s="15"/>
      <c r="B358" s="3" t="s">
        <v>356</v>
      </c>
      <c r="C358" s="3" t="s">
        <v>2904</v>
      </c>
      <c r="D358" s="3" t="s">
        <v>860</v>
      </c>
      <c r="E358" s="3" t="s">
        <v>2045</v>
      </c>
      <c r="F358" s="3" t="s">
        <v>1212</v>
      </c>
      <c r="G358" s="3" t="s">
        <v>6009</v>
      </c>
      <c r="H358" s="6">
        <v>14541.535999999998</v>
      </c>
      <c r="I358" s="18"/>
    </row>
    <row r="359" spans="1:9" ht="15.75" customHeight="1" x14ac:dyDescent="0.35">
      <c r="A359" s="15"/>
      <c r="B359" s="3" t="s">
        <v>357</v>
      </c>
      <c r="C359" s="3" t="s">
        <v>2905</v>
      </c>
      <c r="D359" s="3" t="s">
        <v>860</v>
      </c>
      <c r="E359" s="3" t="s">
        <v>2046</v>
      </c>
      <c r="F359" s="3" t="s">
        <v>1213</v>
      </c>
      <c r="G359" s="3" t="s">
        <v>3663</v>
      </c>
      <c r="H359" s="6">
        <v>20962.623999999996</v>
      </c>
      <c r="I359" s="18"/>
    </row>
    <row r="360" spans="1:9" ht="15.75" customHeight="1" x14ac:dyDescent="0.35">
      <c r="A360" s="15"/>
      <c r="B360" s="3" t="s">
        <v>358</v>
      </c>
      <c r="C360" s="3" t="s">
        <v>2906</v>
      </c>
      <c r="D360" s="3" t="s">
        <v>861</v>
      </c>
      <c r="E360" s="3" t="s">
        <v>2047</v>
      </c>
      <c r="F360" s="3" t="s">
        <v>1214</v>
      </c>
      <c r="G360" s="3" t="s">
        <v>5817</v>
      </c>
      <c r="H360" s="6">
        <v>32897.968000000001</v>
      </c>
      <c r="I360" s="18"/>
    </row>
    <row r="361" spans="1:9" ht="15.75" customHeight="1" x14ac:dyDescent="0.35">
      <c r="A361" s="15"/>
      <c r="B361" s="3" t="s">
        <v>359</v>
      </c>
      <c r="C361" s="3" t="s">
        <v>2907</v>
      </c>
      <c r="D361" s="3" t="s">
        <v>860</v>
      </c>
      <c r="E361" s="3" t="s">
        <v>2048</v>
      </c>
      <c r="F361" s="3" t="s">
        <v>1215</v>
      </c>
      <c r="G361" s="3" t="s">
        <v>3664</v>
      </c>
      <c r="H361" s="6">
        <v>10264.864</v>
      </c>
      <c r="I361" s="18"/>
    </row>
    <row r="362" spans="1:9" ht="15.75" customHeight="1" x14ac:dyDescent="0.35">
      <c r="A362" s="15"/>
      <c r="B362" s="3" t="s">
        <v>360</v>
      </c>
      <c r="C362" s="3" t="s">
        <v>2908</v>
      </c>
      <c r="D362" s="3" t="s">
        <v>861</v>
      </c>
      <c r="E362" s="3" t="s">
        <v>2049</v>
      </c>
      <c r="F362" s="3" t="s">
        <v>1216</v>
      </c>
      <c r="G362" s="3" t="s">
        <v>5553</v>
      </c>
      <c r="H362" s="6">
        <v>27682.847999999998</v>
      </c>
      <c r="I362" s="18"/>
    </row>
    <row r="363" spans="1:9" ht="15.75" customHeight="1" x14ac:dyDescent="0.35">
      <c r="A363" s="15"/>
      <c r="B363" s="3" t="s">
        <v>361</v>
      </c>
      <c r="C363" s="3" t="s">
        <v>2909</v>
      </c>
      <c r="D363" s="3" t="s">
        <v>861</v>
      </c>
      <c r="E363" s="3" t="s">
        <v>2050</v>
      </c>
      <c r="F363" s="3" t="s">
        <v>1217</v>
      </c>
      <c r="G363" s="3" t="s">
        <v>3666</v>
      </c>
      <c r="H363" s="6">
        <v>11187.199999999999</v>
      </c>
      <c r="I363" s="18"/>
    </row>
    <row r="364" spans="1:9" ht="15.75" customHeight="1" x14ac:dyDescent="0.35">
      <c r="A364" s="15"/>
      <c r="B364" s="3" t="s">
        <v>362</v>
      </c>
      <c r="C364" s="3" t="s">
        <v>2910</v>
      </c>
      <c r="D364" s="3" t="s">
        <v>861</v>
      </c>
      <c r="E364" s="3" t="s">
        <v>2051</v>
      </c>
      <c r="F364" s="3" t="s">
        <v>1218</v>
      </c>
      <c r="G364" s="3" t="s">
        <v>3666</v>
      </c>
      <c r="H364" s="6">
        <v>10854.016</v>
      </c>
      <c r="I364" s="18"/>
    </row>
    <row r="365" spans="1:9" ht="15.75" customHeight="1" x14ac:dyDescent="0.35">
      <c r="A365" s="15"/>
      <c r="B365" s="3" t="s">
        <v>363</v>
      </c>
      <c r="C365" s="3" t="s">
        <v>2911</v>
      </c>
      <c r="D365" s="3" t="s">
        <v>861</v>
      </c>
      <c r="E365" s="3" t="s">
        <v>2052</v>
      </c>
      <c r="F365" s="3" t="s">
        <v>1219</v>
      </c>
      <c r="G365" s="3" t="s">
        <v>5947</v>
      </c>
      <c r="H365" s="6">
        <v>10379.776</v>
      </c>
      <c r="I365" s="18"/>
    </row>
    <row r="366" spans="1:9" ht="15.75" customHeight="1" x14ac:dyDescent="0.35">
      <c r="A366" s="15"/>
      <c r="B366" s="3" t="s">
        <v>364</v>
      </c>
      <c r="C366" s="3" t="s">
        <v>2912</v>
      </c>
      <c r="D366" s="3" t="s">
        <v>860</v>
      </c>
      <c r="E366" s="3" t="s">
        <v>2053</v>
      </c>
      <c r="F366" s="3" t="s">
        <v>1220</v>
      </c>
      <c r="G366" s="3" t="s">
        <v>3667</v>
      </c>
      <c r="H366" s="6">
        <v>20116.896000000001</v>
      </c>
      <c r="I366" s="18"/>
    </row>
    <row r="367" spans="1:9" ht="15.75" customHeight="1" x14ac:dyDescent="0.35">
      <c r="A367" s="15"/>
      <c r="B367" s="3" t="s">
        <v>365</v>
      </c>
      <c r="C367" s="3" t="s">
        <v>2913</v>
      </c>
      <c r="D367" s="3" t="s">
        <v>860</v>
      </c>
      <c r="E367" s="3" t="s">
        <v>2054</v>
      </c>
      <c r="F367" s="3" t="s">
        <v>1221</v>
      </c>
      <c r="G367" s="3" t="s">
        <v>3668</v>
      </c>
      <c r="H367" s="6">
        <v>34919.264000000003</v>
      </c>
      <c r="I367" s="18"/>
    </row>
    <row r="368" spans="1:9" ht="15.75" customHeight="1" x14ac:dyDescent="0.35">
      <c r="A368" s="15"/>
      <c r="B368" s="3" t="s">
        <v>366</v>
      </c>
      <c r="C368" s="3" t="s">
        <v>2914</v>
      </c>
      <c r="D368" s="3" t="s">
        <v>861</v>
      </c>
      <c r="E368" s="3" t="s">
        <v>2055</v>
      </c>
      <c r="F368" s="3" t="s">
        <v>1222</v>
      </c>
      <c r="G368" s="3" t="s">
        <v>3669</v>
      </c>
      <c r="H368" s="6">
        <v>40908.063999999998</v>
      </c>
      <c r="I368" s="18"/>
    </row>
    <row r="369" spans="1:9" ht="15.75" customHeight="1" x14ac:dyDescent="0.35">
      <c r="A369" s="15"/>
      <c r="B369" s="3" t="s">
        <v>367</v>
      </c>
      <c r="C369" s="3" t="s">
        <v>2915</v>
      </c>
      <c r="D369" s="3" t="s">
        <v>860</v>
      </c>
      <c r="E369" s="3" t="s">
        <v>2056</v>
      </c>
      <c r="F369" s="3" t="s">
        <v>1223</v>
      </c>
      <c r="G369" s="3" t="s">
        <v>3670</v>
      </c>
      <c r="H369" s="6">
        <v>14826.688</v>
      </c>
      <c r="I369" s="18"/>
    </row>
    <row r="370" spans="1:9" ht="15.75" customHeight="1" x14ac:dyDescent="0.35">
      <c r="A370" s="15"/>
      <c r="B370" s="3" t="s">
        <v>368</v>
      </c>
      <c r="C370" s="3" t="s">
        <v>2916</v>
      </c>
      <c r="D370" s="3" t="s">
        <v>860</v>
      </c>
      <c r="E370" s="3" t="s">
        <v>2057</v>
      </c>
      <c r="F370" s="3" t="s">
        <v>1224</v>
      </c>
      <c r="G370" s="3" t="s">
        <v>6238</v>
      </c>
      <c r="H370" s="6">
        <v>31846.431999999997</v>
      </c>
      <c r="I370" s="18"/>
    </row>
    <row r="371" spans="1:9" ht="15.75" customHeight="1" x14ac:dyDescent="0.35">
      <c r="A371" s="15"/>
      <c r="B371" s="3" t="s">
        <v>369</v>
      </c>
      <c r="C371" s="3" t="s">
        <v>2917</v>
      </c>
      <c r="D371" s="3" t="s">
        <v>861</v>
      </c>
      <c r="E371" s="3" t="s">
        <v>2058</v>
      </c>
      <c r="F371" s="3" t="s">
        <v>1225</v>
      </c>
      <c r="G371" s="3" t="s">
        <v>3671</v>
      </c>
      <c r="H371" s="6">
        <v>13101.183999999999</v>
      </c>
      <c r="I371" s="18"/>
    </row>
    <row r="372" spans="1:9" ht="15.75" customHeight="1" x14ac:dyDescent="0.35">
      <c r="A372" s="15"/>
      <c r="B372" s="3" t="s">
        <v>370</v>
      </c>
      <c r="C372" s="3" t="s">
        <v>2918</v>
      </c>
      <c r="D372" s="3" t="s">
        <v>860</v>
      </c>
      <c r="E372" s="3" t="s">
        <v>2059</v>
      </c>
      <c r="F372" s="3" t="s">
        <v>1226</v>
      </c>
      <c r="G372" s="3" t="s">
        <v>3672</v>
      </c>
      <c r="H372" s="6">
        <v>14010.751999999999</v>
      </c>
      <c r="I372" s="18"/>
    </row>
    <row r="373" spans="1:9" ht="15.75" customHeight="1" x14ac:dyDescent="0.35">
      <c r="A373" s="15"/>
      <c r="B373" s="3" t="s">
        <v>371</v>
      </c>
      <c r="C373" s="3" t="s">
        <v>2919</v>
      </c>
      <c r="D373" s="3" t="s">
        <v>861</v>
      </c>
      <c r="E373" s="3" t="s">
        <v>2060</v>
      </c>
      <c r="F373" s="3" t="s">
        <v>1227</v>
      </c>
      <c r="G373" s="3" t="s">
        <v>3673</v>
      </c>
      <c r="H373" s="6">
        <v>30175.647999999997</v>
      </c>
      <c r="I373" s="18"/>
    </row>
    <row r="374" spans="1:9" ht="15.75" customHeight="1" x14ac:dyDescent="0.35">
      <c r="A374" s="15"/>
      <c r="B374" s="3" t="s">
        <v>372</v>
      </c>
      <c r="C374" s="3" t="s">
        <v>2920</v>
      </c>
      <c r="D374" s="3" t="s">
        <v>861</v>
      </c>
      <c r="E374" s="3" t="s">
        <v>2061</v>
      </c>
      <c r="F374" s="3" t="s">
        <v>1228</v>
      </c>
      <c r="G374" s="3" t="s">
        <v>3674</v>
      </c>
      <c r="H374" s="6">
        <v>18869.887999999999</v>
      </c>
      <c r="I374" s="18"/>
    </row>
    <row r="375" spans="1:9" ht="15.75" customHeight="1" x14ac:dyDescent="0.35">
      <c r="A375" s="15"/>
      <c r="B375" s="3" t="s">
        <v>373</v>
      </c>
      <c r="C375" s="3" t="s">
        <v>2921</v>
      </c>
      <c r="D375" s="3" t="s">
        <v>860</v>
      </c>
      <c r="E375" s="3" t="s">
        <v>2062</v>
      </c>
      <c r="F375" s="3" t="s">
        <v>1229</v>
      </c>
      <c r="G375" s="3" t="s">
        <v>3675</v>
      </c>
      <c r="H375" s="6">
        <v>13101.791999999999</v>
      </c>
      <c r="I375" s="18"/>
    </row>
    <row r="376" spans="1:9" ht="15.75" customHeight="1" x14ac:dyDescent="0.35">
      <c r="A376" s="15"/>
      <c r="B376" s="3" t="s">
        <v>374</v>
      </c>
      <c r="C376" s="3" t="s">
        <v>2922</v>
      </c>
      <c r="D376" s="3" t="s">
        <v>861</v>
      </c>
      <c r="E376" s="3" t="s">
        <v>2063</v>
      </c>
      <c r="F376" s="3" t="s">
        <v>1060</v>
      </c>
      <c r="G376" s="3" t="s">
        <v>5725</v>
      </c>
      <c r="H376" s="6">
        <v>43272.576000000001</v>
      </c>
      <c r="I376" s="18"/>
    </row>
    <row r="377" spans="1:9" ht="15.75" customHeight="1" x14ac:dyDescent="0.35">
      <c r="A377" s="15"/>
      <c r="B377" s="3" t="s">
        <v>375</v>
      </c>
      <c r="C377" s="3" t="s">
        <v>2923</v>
      </c>
      <c r="D377" s="3" t="s">
        <v>861</v>
      </c>
      <c r="E377" s="3" t="s">
        <v>2064</v>
      </c>
      <c r="F377" s="3" t="s">
        <v>1230</v>
      </c>
      <c r="G377" s="3" t="s">
        <v>5916</v>
      </c>
      <c r="H377" s="6">
        <v>10686.816000000001</v>
      </c>
      <c r="I377" s="18"/>
    </row>
    <row r="378" spans="1:9" ht="15.75" customHeight="1" x14ac:dyDescent="0.35">
      <c r="A378" s="15"/>
      <c r="B378" s="3" t="s">
        <v>376</v>
      </c>
      <c r="C378" s="3" t="s">
        <v>2924</v>
      </c>
      <c r="D378" s="3" t="s">
        <v>860</v>
      </c>
      <c r="E378" s="3" t="s">
        <v>2065</v>
      </c>
      <c r="F378" s="3" t="s">
        <v>1231</v>
      </c>
      <c r="G378" s="3" t="s">
        <v>3676</v>
      </c>
      <c r="H378" s="6">
        <v>13436.8</v>
      </c>
      <c r="I378" s="18"/>
    </row>
    <row r="379" spans="1:9" ht="15.75" customHeight="1" x14ac:dyDescent="0.35">
      <c r="A379" s="15"/>
      <c r="B379" s="3" t="s">
        <v>377</v>
      </c>
      <c r="C379" s="3" t="s">
        <v>2925</v>
      </c>
      <c r="D379" s="3" t="s">
        <v>861</v>
      </c>
      <c r="E379" s="3" t="s">
        <v>2066</v>
      </c>
      <c r="F379" s="3" t="s">
        <v>1232</v>
      </c>
      <c r="G379" s="3" t="s">
        <v>3676</v>
      </c>
      <c r="H379" s="6">
        <v>10686.816000000001</v>
      </c>
      <c r="I379" s="18"/>
    </row>
    <row r="380" spans="1:9" ht="15.75" customHeight="1" x14ac:dyDescent="0.35">
      <c r="A380" s="15"/>
      <c r="B380" s="3" t="s">
        <v>378</v>
      </c>
      <c r="C380" s="3" t="s">
        <v>2926</v>
      </c>
      <c r="D380" s="3" t="s">
        <v>861</v>
      </c>
      <c r="E380" s="3" t="s">
        <v>2067</v>
      </c>
      <c r="F380" s="3" t="s">
        <v>1233</v>
      </c>
      <c r="G380" s="3" t="s">
        <v>5789</v>
      </c>
      <c r="H380" s="6">
        <v>14826.688</v>
      </c>
      <c r="I380" s="18"/>
    </row>
    <row r="381" spans="1:9" ht="15.75" customHeight="1" x14ac:dyDescent="0.35">
      <c r="A381" s="15"/>
      <c r="B381" s="3" t="s">
        <v>379</v>
      </c>
      <c r="C381" s="3" t="s">
        <v>2927</v>
      </c>
      <c r="D381" s="3" t="s">
        <v>861</v>
      </c>
      <c r="E381" s="3" t="s">
        <v>2068</v>
      </c>
      <c r="F381" s="3" t="s">
        <v>1234</v>
      </c>
      <c r="G381" s="3" t="s">
        <v>5565</v>
      </c>
      <c r="H381" s="6">
        <v>21163.263999999999</v>
      </c>
      <c r="I381" s="18"/>
    </row>
    <row r="382" spans="1:9" ht="15.75" customHeight="1" x14ac:dyDescent="0.35">
      <c r="A382" s="15"/>
      <c r="B382" s="3" t="s">
        <v>380</v>
      </c>
      <c r="C382" s="3" t="s">
        <v>2928</v>
      </c>
      <c r="D382" s="3" t="s">
        <v>861</v>
      </c>
      <c r="E382" s="3" t="s">
        <v>2069</v>
      </c>
      <c r="F382" s="3" t="s">
        <v>1235</v>
      </c>
      <c r="G382" s="3" t="s">
        <v>3677</v>
      </c>
      <c r="H382" s="6">
        <v>13431.935999999998</v>
      </c>
      <c r="I382" s="18"/>
    </row>
    <row r="383" spans="1:9" ht="15.75" customHeight="1" x14ac:dyDescent="0.35">
      <c r="A383" s="15"/>
      <c r="B383" s="3" t="s">
        <v>381</v>
      </c>
      <c r="C383" s="3" t="s">
        <v>2929</v>
      </c>
      <c r="D383" s="3" t="s">
        <v>861</v>
      </c>
      <c r="E383" s="3" t="s">
        <v>2070</v>
      </c>
      <c r="F383" s="3" t="s">
        <v>1236</v>
      </c>
      <c r="G383" s="3" t="s">
        <v>3678</v>
      </c>
      <c r="H383" s="6">
        <v>14826.688</v>
      </c>
      <c r="I383" s="18"/>
    </row>
    <row r="384" spans="1:9" ht="15.75" customHeight="1" x14ac:dyDescent="0.35">
      <c r="A384" s="15"/>
      <c r="B384" s="3" t="s">
        <v>382</v>
      </c>
      <c r="C384" s="3" t="s">
        <v>2930</v>
      </c>
      <c r="D384" s="3" t="s">
        <v>860</v>
      </c>
      <c r="E384" s="3" t="s">
        <v>2071</v>
      </c>
      <c r="F384" s="3" t="s">
        <v>1237</v>
      </c>
      <c r="G384" s="3" t="s">
        <v>3678</v>
      </c>
      <c r="H384" s="6">
        <v>37959.872000000003</v>
      </c>
      <c r="I384" s="18"/>
    </row>
    <row r="385" spans="1:9" ht="15.75" customHeight="1" x14ac:dyDescent="0.35">
      <c r="A385" s="15"/>
      <c r="B385" s="3" t="s">
        <v>383</v>
      </c>
      <c r="C385" s="3" t="s">
        <v>2931</v>
      </c>
      <c r="D385" s="3" t="s">
        <v>860</v>
      </c>
      <c r="E385" s="3" t="s">
        <v>2072</v>
      </c>
      <c r="F385" s="3" t="s">
        <v>1238</v>
      </c>
      <c r="G385" s="3" t="s">
        <v>3679</v>
      </c>
      <c r="H385" s="6">
        <v>35258.527999999998</v>
      </c>
      <c r="I385" s="18"/>
    </row>
    <row r="386" spans="1:9" ht="15.75" customHeight="1" x14ac:dyDescent="0.35">
      <c r="A386" s="15"/>
      <c r="B386" s="3" t="s">
        <v>384</v>
      </c>
      <c r="C386" s="3" t="s">
        <v>2932</v>
      </c>
      <c r="D386" s="3" t="s">
        <v>861</v>
      </c>
      <c r="E386" s="3" t="s">
        <v>2073</v>
      </c>
      <c r="F386" s="3" t="s">
        <v>1239</v>
      </c>
      <c r="G386" s="3" t="s">
        <v>3679</v>
      </c>
      <c r="H386" s="6">
        <v>15967.296</v>
      </c>
      <c r="I386" s="18"/>
    </row>
    <row r="387" spans="1:9" ht="15.75" customHeight="1" x14ac:dyDescent="0.35">
      <c r="A387" s="15"/>
      <c r="B387" s="3" t="s">
        <v>385</v>
      </c>
      <c r="C387" s="3" t="s">
        <v>2933</v>
      </c>
      <c r="D387" s="3" t="s">
        <v>861</v>
      </c>
      <c r="E387" s="3" t="s">
        <v>2074</v>
      </c>
      <c r="F387" s="3" t="s">
        <v>1240</v>
      </c>
      <c r="G387" s="3" t="s">
        <v>3680</v>
      </c>
      <c r="H387" s="6">
        <v>23225.295999999998</v>
      </c>
      <c r="I387" s="18"/>
    </row>
    <row r="388" spans="1:9" ht="15.75" customHeight="1" x14ac:dyDescent="0.35">
      <c r="A388" s="15"/>
      <c r="B388" s="3" t="s">
        <v>386</v>
      </c>
      <c r="C388" s="3" t="s">
        <v>2934</v>
      </c>
      <c r="D388" s="3" t="s">
        <v>860</v>
      </c>
      <c r="E388" s="3" t="s">
        <v>2075</v>
      </c>
      <c r="F388" s="3" t="s">
        <v>1241</v>
      </c>
      <c r="G388" s="3" t="s">
        <v>5711</v>
      </c>
      <c r="H388" s="6">
        <v>25165.727999999999</v>
      </c>
      <c r="I388" s="18"/>
    </row>
    <row r="389" spans="1:9" ht="15.75" customHeight="1" x14ac:dyDescent="0.35">
      <c r="A389" s="15"/>
      <c r="B389" s="3" t="s">
        <v>387</v>
      </c>
      <c r="C389" s="3" t="s">
        <v>2935</v>
      </c>
      <c r="D389" s="3" t="s">
        <v>861</v>
      </c>
      <c r="E389" s="3" t="s">
        <v>2076</v>
      </c>
      <c r="F389" s="3" t="s">
        <v>1242</v>
      </c>
      <c r="G389" s="3" t="s">
        <v>3681</v>
      </c>
      <c r="H389" s="6">
        <v>41214.495999999999</v>
      </c>
      <c r="I389" s="18"/>
    </row>
    <row r="390" spans="1:9" ht="15.75" customHeight="1" x14ac:dyDescent="0.35">
      <c r="A390" s="15"/>
      <c r="B390" s="3" t="s">
        <v>388</v>
      </c>
      <c r="C390" s="3" t="s">
        <v>2936</v>
      </c>
      <c r="D390" s="3" t="s">
        <v>860</v>
      </c>
      <c r="E390" s="3" t="s">
        <v>2077</v>
      </c>
      <c r="F390" s="3" t="s">
        <v>1243</v>
      </c>
      <c r="G390" s="3" t="s">
        <v>3681</v>
      </c>
      <c r="H390" s="6">
        <v>23741.791999999998</v>
      </c>
      <c r="I390" s="18"/>
    </row>
    <row r="391" spans="1:9" ht="15.75" customHeight="1" x14ac:dyDescent="0.35">
      <c r="A391" s="15"/>
      <c r="B391" s="3" t="s">
        <v>389</v>
      </c>
      <c r="C391" s="3" t="s">
        <v>2937</v>
      </c>
      <c r="D391" s="3" t="s">
        <v>860</v>
      </c>
      <c r="E391" s="3" t="s">
        <v>2078</v>
      </c>
      <c r="F391" s="3" t="s">
        <v>1208</v>
      </c>
      <c r="G391" s="3" t="s">
        <v>3682</v>
      </c>
      <c r="H391" s="6">
        <v>13456.864</v>
      </c>
      <c r="I391" s="18"/>
    </row>
    <row r="392" spans="1:9" ht="15.75" customHeight="1" x14ac:dyDescent="0.35">
      <c r="A392" s="15"/>
      <c r="B392" s="3" t="s">
        <v>390</v>
      </c>
      <c r="C392" s="3" t="s">
        <v>2938</v>
      </c>
      <c r="D392" s="3" t="s">
        <v>861</v>
      </c>
      <c r="E392" s="3" t="s">
        <v>2079</v>
      </c>
      <c r="F392" s="3" t="s">
        <v>1244</v>
      </c>
      <c r="G392" s="3" t="s">
        <v>6239</v>
      </c>
      <c r="H392" s="6">
        <v>22843.167999999998</v>
      </c>
      <c r="I392" s="18"/>
    </row>
    <row r="393" spans="1:9" ht="15.75" customHeight="1" x14ac:dyDescent="0.35">
      <c r="A393" s="15"/>
      <c r="B393" s="3" t="s">
        <v>391</v>
      </c>
      <c r="C393" s="3" t="s">
        <v>2939</v>
      </c>
      <c r="D393" s="3" t="s">
        <v>861</v>
      </c>
      <c r="E393" s="3" t="s">
        <v>2080</v>
      </c>
      <c r="F393" s="3" t="s">
        <v>1245</v>
      </c>
      <c r="G393" s="3" t="s">
        <v>3683</v>
      </c>
      <c r="H393" s="6">
        <v>18713.632000000001</v>
      </c>
      <c r="I393" s="18"/>
    </row>
    <row r="394" spans="1:9" ht="15.75" customHeight="1" x14ac:dyDescent="0.35">
      <c r="A394" s="15"/>
      <c r="B394" s="3" t="s">
        <v>392</v>
      </c>
      <c r="C394" s="3" t="s">
        <v>2940</v>
      </c>
      <c r="D394" s="3" t="s">
        <v>861</v>
      </c>
      <c r="E394" s="3" t="s">
        <v>2081</v>
      </c>
      <c r="F394" s="3" t="s">
        <v>1246</v>
      </c>
      <c r="G394" s="3" t="s">
        <v>3684</v>
      </c>
      <c r="H394" s="6">
        <v>70987.343999999997</v>
      </c>
      <c r="I394" s="18"/>
    </row>
    <row r="395" spans="1:9" ht="15.75" customHeight="1" x14ac:dyDescent="0.35">
      <c r="A395" s="15"/>
      <c r="B395" s="3" t="s">
        <v>393</v>
      </c>
      <c r="C395" s="3" t="s">
        <v>2941</v>
      </c>
      <c r="D395" s="3" t="s">
        <v>861</v>
      </c>
      <c r="E395" s="3" t="s">
        <v>2082</v>
      </c>
      <c r="F395" s="3" t="s">
        <v>1247</v>
      </c>
      <c r="G395" s="3" t="s">
        <v>6240</v>
      </c>
      <c r="H395" s="6">
        <v>24651.967999999997</v>
      </c>
      <c r="I395" s="18"/>
    </row>
    <row r="396" spans="1:9" ht="15.75" customHeight="1" x14ac:dyDescent="0.35">
      <c r="A396" s="15"/>
      <c r="B396" s="3" t="s">
        <v>394</v>
      </c>
      <c r="C396" s="3" t="s">
        <v>2942</v>
      </c>
      <c r="D396" s="3" t="s">
        <v>861</v>
      </c>
      <c r="E396" s="3" t="s">
        <v>2083</v>
      </c>
      <c r="F396" s="3" t="s">
        <v>1248</v>
      </c>
      <c r="G396" s="3" t="s">
        <v>3685</v>
      </c>
      <c r="H396" s="6">
        <v>16941.311999999998</v>
      </c>
      <c r="I396" s="18"/>
    </row>
    <row r="397" spans="1:9" ht="15.75" customHeight="1" x14ac:dyDescent="0.35">
      <c r="A397" s="15"/>
      <c r="B397" s="3" t="s">
        <v>395</v>
      </c>
      <c r="C397" s="3" t="s">
        <v>2943</v>
      </c>
      <c r="D397" s="3" t="s">
        <v>860</v>
      </c>
      <c r="E397" s="3" t="s">
        <v>2084</v>
      </c>
      <c r="F397" s="3" t="s">
        <v>1249</v>
      </c>
      <c r="G397" s="3" t="s">
        <v>5941</v>
      </c>
      <c r="H397" s="6">
        <v>14237.535999999998</v>
      </c>
      <c r="I397" s="18"/>
    </row>
    <row r="398" spans="1:9" ht="15.75" customHeight="1" x14ac:dyDescent="0.35">
      <c r="A398" s="15"/>
      <c r="B398" s="3" t="s">
        <v>396</v>
      </c>
      <c r="C398" s="3" t="s">
        <v>2944</v>
      </c>
      <c r="D398" s="3" t="s">
        <v>861</v>
      </c>
      <c r="E398" s="3" t="s">
        <v>2085</v>
      </c>
      <c r="F398" s="3" t="s">
        <v>1250</v>
      </c>
      <c r="G398" s="3" t="s">
        <v>3686</v>
      </c>
      <c r="H398" s="6">
        <v>39425.152000000002</v>
      </c>
      <c r="I398" s="18"/>
    </row>
    <row r="399" spans="1:9" ht="15.75" customHeight="1" x14ac:dyDescent="0.35">
      <c r="A399" s="15"/>
      <c r="B399" s="3" t="s">
        <v>397</v>
      </c>
      <c r="C399" s="3" t="s">
        <v>2945</v>
      </c>
      <c r="D399" s="3" t="s">
        <v>860</v>
      </c>
      <c r="E399" s="3" t="s">
        <v>2086</v>
      </c>
      <c r="F399" s="3" t="s">
        <v>1251</v>
      </c>
      <c r="G399" s="3" t="s">
        <v>6241</v>
      </c>
      <c r="H399" s="6">
        <v>19713.184000000001</v>
      </c>
      <c r="I399" s="18"/>
    </row>
    <row r="400" spans="1:9" ht="15.75" customHeight="1" x14ac:dyDescent="0.35">
      <c r="A400" s="15"/>
      <c r="B400" s="3" t="s">
        <v>398</v>
      </c>
      <c r="C400" s="3" t="s">
        <v>2946</v>
      </c>
      <c r="D400" s="3" t="s">
        <v>861</v>
      </c>
      <c r="E400" s="3" t="s">
        <v>2087</v>
      </c>
      <c r="F400" s="3" t="s">
        <v>1252</v>
      </c>
      <c r="G400" s="3" t="s">
        <v>3687</v>
      </c>
      <c r="H400" s="6">
        <v>10672.831999999999</v>
      </c>
      <c r="I400" s="18"/>
    </row>
    <row r="401" spans="1:9" ht="15.75" customHeight="1" x14ac:dyDescent="0.35">
      <c r="A401" s="15"/>
      <c r="B401" s="3" t="s">
        <v>399</v>
      </c>
      <c r="C401" s="3" t="s">
        <v>2947</v>
      </c>
      <c r="D401" s="3" t="s">
        <v>860</v>
      </c>
      <c r="E401" s="3" t="s">
        <v>2088</v>
      </c>
      <c r="F401" s="3" t="s">
        <v>1253</v>
      </c>
      <c r="G401" s="3" t="s">
        <v>3688</v>
      </c>
      <c r="H401" s="6">
        <v>35510.847999999998</v>
      </c>
      <c r="I401" s="18"/>
    </row>
    <row r="402" spans="1:9" ht="15.75" customHeight="1" x14ac:dyDescent="0.35">
      <c r="A402" s="15"/>
      <c r="B402" s="3" t="s">
        <v>400</v>
      </c>
      <c r="C402" s="3" t="s">
        <v>2948</v>
      </c>
      <c r="D402" s="3" t="s">
        <v>860</v>
      </c>
      <c r="E402" s="3" t="s">
        <v>2089</v>
      </c>
      <c r="F402" s="3" t="s">
        <v>1254</v>
      </c>
      <c r="G402" s="3" t="s">
        <v>3688</v>
      </c>
      <c r="H402" s="6">
        <v>33382.239999999998</v>
      </c>
      <c r="I402" s="18"/>
    </row>
    <row r="403" spans="1:9" ht="15.75" customHeight="1" x14ac:dyDescent="0.35">
      <c r="A403" s="15"/>
      <c r="B403" s="3" t="s">
        <v>401</v>
      </c>
      <c r="C403" s="3" t="s">
        <v>2949</v>
      </c>
      <c r="D403" s="3" t="s">
        <v>860</v>
      </c>
      <c r="E403" s="3" t="s">
        <v>2090</v>
      </c>
      <c r="F403" s="3" t="s">
        <v>1255</v>
      </c>
      <c r="G403" s="3" t="s">
        <v>3689</v>
      </c>
      <c r="H403" s="6">
        <v>26967.84</v>
      </c>
      <c r="I403" s="18"/>
    </row>
    <row r="404" spans="1:9" ht="15.75" customHeight="1" x14ac:dyDescent="0.35">
      <c r="A404" s="15"/>
      <c r="B404" s="3" t="s">
        <v>402</v>
      </c>
      <c r="C404" s="3" t="s">
        <v>2950</v>
      </c>
      <c r="D404" s="3" t="s">
        <v>860</v>
      </c>
      <c r="E404" s="3" t="s">
        <v>2091</v>
      </c>
      <c r="F404" s="3" t="s">
        <v>1256</v>
      </c>
      <c r="G404" s="3" t="s">
        <v>6023</v>
      </c>
      <c r="H404" s="6">
        <v>12434.207999999999</v>
      </c>
      <c r="I404" s="18"/>
    </row>
    <row r="405" spans="1:9" ht="15.75" customHeight="1" x14ac:dyDescent="0.35">
      <c r="A405" s="15"/>
      <c r="B405" s="3" t="s">
        <v>403</v>
      </c>
      <c r="C405" s="3" t="s">
        <v>2951</v>
      </c>
      <c r="D405" s="3" t="s">
        <v>861</v>
      </c>
      <c r="E405" s="3" t="s">
        <v>2092</v>
      </c>
      <c r="F405" s="3" t="s">
        <v>1257</v>
      </c>
      <c r="G405" s="3" t="s">
        <v>3690</v>
      </c>
      <c r="H405" s="6">
        <v>10672.831999999999</v>
      </c>
      <c r="I405" s="18"/>
    </row>
    <row r="406" spans="1:9" ht="15.75" customHeight="1" x14ac:dyDescent="0.35">
      <c r="A406" s="15"/>
      <c r="B406" s="3" t="s">
        <v>404</v>
      </c>
      <c r="C406" s="3" t="s">
        <v>2952</v>
      </c>
      <c r="D406" s="3" t="s">
        <v>861</v>
      </c>
      <c r="E406" s="3" t="s">
        <v>2093</v>
      </c>
      <c r="F406" s="3" t="s">
        <v>1258</v>
      </c>
      <c r="G406" s="3" t="s">
        <v>3691</v>
      </c>
      <c r="H406" s="6">
        <v>10672.831999999999</v>
      </c>
      <c r="I406" s="18"/>
    </row>
    <row r="407" spans="1:9" ht="15.75" customHeight="1" x14ac:dyDescent="0.35">
      <c r="A407" s="15"/>
      <c r="B407" s="3" t="s">
        <v>405</v>
      </c>
      <c r="C407" s="3" t="s">
        <v>2953</v>
      </c>
      <c r="D407" s="3" t="s">
        <v>861</v>
      </c>
      <c r="E407" s="3" t="s">
        <v>2094</v>
      </c>
      <c r="F407" s="3" t="s">
        <v>1259</v>
      </c>
      <c r="G407" s="3" t="s">
        <v>3691</v>
      </c>
      <c r="H407" s="6">
        <v>23936.959999999999</v>
      </c>
      <c r="I407" s="18"/>
    </row>
    <row r="408" spans="1:9" ht="15.75" customHeight="1" x14ac:dyDescent="0.35">
      <c r="A408" s="15"/>
      <c r="B408" s="3" t="s">
        <v>406</v>
      </c>
      <c r="C408" s="3" t="s">
        <v>2954</v>
      </c>
      <c r="D408" s="3" t="s">
        <v>861</v>
      </c>
      <c r="E408" s="3" t="s">
        <v>2095</v>
      </c>
      <c r="F408" s="3" t="s">
        <v>1260</v>
      </c>
      <c r="G408" s="3" t="s">
        <v>5958</v>
      </c>
      <c r="H408" s="6">
        <v>14816.351999999999</v>
      </c>
      <c r="I408" s="18"/>
    </row>
    <row r="409" spans="1:9" ht="15.75" customHeight="1" x14ac:dyDescent="0.35">
      <c r="A409" s="15"/>
      <c r="B409" s="3" t="s">
        <v>407</v>
      </c>
      <c r="C409" s="3" t="s">
        <v>2955</v>
      </c>
      <c r="D409" s="3" t="s">
        <v>861</v>
      </c>
      <c r="E409" s="3" t="s">
        <v>2096</v>
      </c>
      <c r="F409" s="3" t="s">
        <v>1261</v>
      </c>
      <c r="G409" s="3" t="s">
        <v>3692</v>
      </c>
      <c r="H409" s="6">
        <v>21840.576000000001</v>
      </c>
      <c r="I409" s="18"/>
    </row>
    <row r="410" spans="1:9" ht="15.75" customHeight="1" x14ac:dyDescent="0.35">
      <c r="A410" s="15"/>
      <c r="B410" s="3" t="s">
        <v>408</v>
      </c>
      <c r="C410" s="3" t="s">
        <v>2956</v>
      </c>
      <c r="D410" s="3" t="s">
        <v>861</v>
      </c>
      <c r="E410" s="3" t="s">
        <v>2097</v>
      </c>
      <c r="F410" s="3" t="s">
        <v>1262</v>
      </c>
      <c r="G410" s="3" t="s">
        <v>3693</v>
      </c>
      <c r="H410" s="6">
        <v>21265.407999999999</v>
      </c>
      <c r="I410" s="18"/>
    </row>
    <row r="411" spans="1:9" ht="15.75" customHeight="1" x14ac:dyDescent="0.35">
      <c r="A411" s="15"/>
      <c r="B411" s="3" t="s">
        <v>409</v>
      </c>
      <c r="C411" s="3" t="s">
        <v>2957</v>
      </c>
      <c r="D411" s="3" t="s">
        <v>861</v>
      </c>
      <c r="E411" s="3" t="s">
        <v>2098</v>
      </c>
      <c r="F411" s="3" t="s">
        <v>1263</v>
      </c>
      <c r="G411" s="3" t="s">
        <v>3694</v>
      </c>
      <c r="H411" s="6">
        <v>34873.056000000004</v>
      </c>
      <c r="I411" s="18"/>
    </row>
    <row r="412" spans="1:9" ht="15.75" customHeight="1" x14ac:dyDescent="0.35">
      <c r="A412" s="15"/>
      <c r="B412" s="3" t="s">
        <v>410</v>
      </c>
      <c r="C412" s="3" t="s">
        <v>2958</v>
      </c>
      <c r="D412" s="3" t="s">
        <v>861</v>
      </c>
      <c r="E412" s="3" t="s">
        <v>2099</v>
      </c>
      <c r="F412" s="3" t="s">
        <v>1264</v>
      </c>
      <c r="G412" s="3" t="s">
        <v>3695</v>
      </c>
      <c r="H412" s="6">
        <v>32855.712</v>
      </c>
      <c r="I412" s="18"/>
    </row>
    <row r="413" spans="1:9" ht="15.75" customHeight="1" x14ac:dyDescent="0.35">
      <c r="A413" s="15"/>
      <c r="B413" s="3" t="s">
        <v>411</v>
      </c>
      <c r="C413" s="3" t="s">
        <v>2959</v>
      </c>
      <c r="D413" s="3" t="s">
        <v>861</v>
      </c>
      <c r="E413" s="3" t="s">
        <v>2100</v>
      </c>
      <c r="F413" s="3" t="s">
        <v>1265</v>
      </c>
      <c r="G413" s="3" t="s">
        <v>6024</v>
      </c>
      <c r="H413" s="6">
        <v>26519.743999999999</v>
      </c>
      <c r="I413" s="18"/>
    </row>
    <row r="414" spans="1:9" ht="15.75" customHeight="1" x14ac:dyDescent="0.35">
      <c r="A414" s="15"/>
      <c r="B414" s="3" t="s">
        <v>412</v>
      </c>
      <c r="C414" s="3" t="s">
        <v>2960</v>
      </c>
      <c r="D414" s="3" t="s">
        <v>861</v>
      </c>
      <c r="E414" s="3" t="s">
        <v>2101</v>
      </c>
      <c r="F414" s="3" t="s">
        <v>903</v>
      </c>
      <c r="G414" s="3" t="s">
        <v>3696</v>
      </c>
      <c r="H414" s="6">
        <v>17227.68</v>
      </c>
      <c r="I414" s="18"/>
    </row>
    <row r="415" spans="1:9" ht="15.75" customHeight="1" x14ac:dyDescent="0.35">
      <c r="A415" s="15"/>
      <c r="B415" s="3" t="s">
        <v>413</v>
      </c>
      <c r="C415" s="3" t="s">
        <v>2961</v>
      </c>
      <c r="D415" s="3" t="s">
        <v>861</v>
      </c>
      <c r="E415" s="3" t="s">
        <v>2102</v>
      </c>
      <c r="F415" s="3" t="s">
        <v>1266</v>
      </c>
      <c r="G415" s="3" t="s">
        <v>3696</v>
      </c>
      <c r="H415" s="6">
        <v>39517.567999999999</v>
      </c>
      <c r="I415" s="18"/>
    </row>
    <row r="416" spans="1:9" ht="15.75" customHeight="1" x14ac:dyDescent="0.35">
      <c r="A416" s="15"/>
      <c r="B416" s="3" t="s">
        <v>414</v>
      </c>
      <c r="C416" s="3" t="s">
        <v>2962</v>
      </c>
      <c r="D416" s="3" t="s">
        <v>861</v>
      </c>
      <c r="E416" s="3" t="s">
        <v>2103</v>
      </c>
      <c r="F416" s="3" t="s">
        <v>1267</v>
      </c>
      <c r="G416" s="3" t="s">
        <v>3697</v>
      </c>
      <c r="H416" s="6">
        <v>27676.767999999996</v>
      </c>
      <c r="I416" s="18"/>
    </row>
    <row r="417" spans="1:9" ht="15.75" customHeight="1" x14ac:dyDescent="0.35">
      <c r="A417" s="15"/>
      <c r="B417" s="3" t="s">
        <v>415</v>
      </c>
      <c r="C417" s="3" t="s">
        <v>2963</v>
      </c>
      <c r="D417" s="3" t="s">
        <v>860</v>
      </c>
      <c r="E417" s="3" t="s">
        <v>2104</v>
      </c>
      <c r="F417" s="3" t="s">
        <v>1268</v>
      </c>
      <c r="G417" s="3" t="s">
        <v>3698</v>
      </c>
      <c r="H417" s="6">
        <v>25376.703999999998</v>
      </c>
      <c r="I417" s="18"/>
    </row>
    <row r="418" spans="1:9" ht="15.75" customHeight="1" x14ac:dyDescent="0.35">
      <c r="A418" s="15"/>
      <c r="B418" s="3" t="s">
        <v>416</v>
      </c>
      <c r="C418" s="3" t="s">
        <v>2964</v>
      </c>
      <c r="D418" s="3" t="s">
        <v>861</v>
      </c>
      <c r="E418" s="3" t="s">
        <v>2105</v>
      </c>
      <c r="F418" s="3" t="s">
        <v>1269</v>
      </c>
      <c r="G418" s="3" t="s">
        <v>6242</v>
      </c>
      <c r="H418" s="6">
        <v>19414.047999999999</v>
      </c>
      <c r="I418" s="18"/>
    </row>
    <row r="419" spans="1:9" ht="15.75" customHeight="1" x14ac:dyDescent="0.35">
      <c r="A419" s="15"/>
      <c r="B419" s="3" t="s">
        <v>417</v>
      </c>
      <c r="C419" s="3" t="s">
        <v>2965</v>
      </c>
      <c r="D419" s="3" t="s">
        <v>861</v>
      </c>
      <c r="E419" s="3" t="s">
        <v>2106</v>
      </c>
      <c r="F419" s="3" t="s">
        <v>1270</v>
      </c>
      <c r="G419" s="3" t="s">
        <v>5493</v>
      </c>
      <c r="H419" s="6">
        <v>10362.144</v>
      </c>
      <c r="I419" s="18"/>
    </row>
    <row r="420" spans="1:9" ht="15.75" customHeight="1" x14ac:dyDescent="0.35">
      <c r="A420" s="15"/>
      <c r="B420" s="3" t="s">
        <v>418</v>
      </c>
      <c r="C420" s="3" t="s">
        <v>2966</v>
      </c>
      <c r="D420" s="3" t="s">
        <v>861</v>
      </c>
      <c r="E420" s="3" t="s">
        <v>2107</v>
      </c>
      <c r="F420" s="3" t="s">
        <v>1271</v>
      </c>
      <c r="G420" s="3" t="s">
        <v>3699</v>
      </c>
      <c r="H420" s="6">
        <v>10983.52</v>
      </c>
      <c r="I420" s="18"/>
    </row>
    <row r="421" spans="1:9" ht="15.75" customHeight="1" x14ac:dyDescent="0.35">
      <c r="A421" s="15"/>
      <c r="B421" s="3" t="s">
        <v>419</v>
      </c>
      <c r="C421" s="3" t="s">
        <v>2967</v>
      </c>
      <c r="D421" s="3" t="s">
        <v>861</v>
      </c>
      <c r="E421" s="3" t="s">
        <v>2108</v>
      </c>
      <c r="F421" s="3" t="s">
        <v>1272</v>
      </c>
      <c r="G421" s="3" t="s">
        <v>3700</v>
      </c>
      <c r="H421" s="6">
        <v>41386.559999999998</v>
      </c>
      <c r="I421" s="18"/>
    </row>
    <row r="422" spans="1:9" ht="15.75" customHeight="1" x14ac:dyDescent="0.35">
      <c r="A422" s="15"/>
      <c r="B422" s="3" t="s">
        <v>420</v>
      </c>
      <c r="C422" s="3" t="s">
        <v>2968</v>
      </c>
      <c r="D422" s="3" t="s">
        <v>861</v>
      </c>
      <c r="E422" s="3" t="s">
        <v>2109</v>
      </c>
      <c r="F422" s="3" t="s">
        <v>1273</v>
      </c>
      <c r="G422" s="3" t="s">
        <v>3700</v>
      </c>
      <c r="H422" s="6">
        <v>17067.167999999998</v>
      </c>
      <c r="I422" s="18"/>
    </row>
    <row r="423" spans="1:9" ht="15.75" customHeight="1" x14ac:dyDescent="0.35">
      <c r="A423" s="15"/>
      <c r="B423" s="3" t="s">
        <v>421</v>
      </c>
      <c r="C423" s="3" t="s">
        <v>2969</v>
      </c>
      <c r="D423" s="3" t="s">
        <v>860</v>
      </c>
      <c r="E423" s="3" t="s">
        <v>2110</v>
      </c>
      <c r="F423" s="3" t="s">
        <v>1274</v>
      </c>
      <c r="G423" s="3" t="s">
        <v>3701</v>
      </c>
      <c r="H423" s="6">
        <v>15818.944</v>
      </c>
      <c r="I423" s="18"/>
    </row>
    <row r="424" spans="1:9" ht="15.75" customHeight="1" x14ac:dyDescent="0.35">
      <c r="A424" s="15"/>
      <c r="B424" s="3" t="s">
        <v>422</v>
      </c>
      <c r="C424" s="3" t="s">
        <v>2970</v>
      </c>
      <c r="D424" s="3" t="s">
        <v>860</v>
      </c>
      <c r="E424" s="3" t="s">
        <v>2111</v>
      </c>
      <c r="F424" s="3" t="s">
        <v>1275</v>
      </c>
      <c r="G424" s="3" t="s">
        <v>5747</v>
      </c>
      <c r="H424" s="6">
        <v>36184.511999999995</v>
      </c>
      <c r="I424" s="18"/>
    </row>
    <row r="425" spans="1:9" ht="15.75" customHeight="1" x14ac:dyDescent="0.35">
      <c r="A425" s="15"/>
      <c r="B425" s="3" t="s">
        <v>423</v>
      </c>
      <c r="C425" s="3" t="s">
        <v>2971</v>
      </c>
      <c r="D425" s="3" t="s">
        <v>861</v>
      </c>
      <c r="E425" s="3" t="s">
        <v>2112</v>
      </c>
      <c r="F425" s="3" t="s">
        <v>1276</v>
      </c>
      <c r="G425" s="3" t="s">
        <v>3702</v>
      </c>
      <c r="H425" s="6">
        <v>43506.047999999995</v>
      </c>
      <c r="I425" s="18"/>
    </row>
    <row r="426" spans="1:9" ht="15.75" customHeight="1" x14ac:dyDescent="0.35">
      <c r="A426" s="15"/>
      <c r="B426" s="3" t="s">
        <v>424</v>
      </c>
      <c r="C426" s="3" t="s">
        <v>2972</v>
      </c>
      <c r="D426" s="3" t="s">
        <v>860</v>
      </c>
      <c r="E426" s="3" t="s">
        <v>2113</v>
      </c>
      <c r="F426" s="3" t="s">
        <v>1277</v>
      </c>
      <c r="G426" s="3" t="s">
        <v>3702</v>
      </c>
      <c r="H426" s="6">
        <v>34873.056000000004</v>
      </c>
      <c r="I426" s="18"/>
    </row>
    <row r="427" spans="1:9" ht="15.75" customHeight="1" x14ac:dyDescent="0.35">
      <c r="A427" s="15"/>
      <c r="B427" s="3" t="s">
        <v>425</v>
      </c>
      <c r="C427" s="3" t="s">
        <v>2973</v>
      </c>
      <c r="D427" s="3" t="s">
        <v>861</v>
      </c>
      <c r="E427" s="3" t="s">
        <v>2114</v>
      </c>
      <c r="F427" s="3" t="s">
        <v>1278</v>
      </c>
      <c r="G427" s="3" t="s">
        <v>3702</v>
      </c>
      <c r="H427" s="6">
        <v>33001.631999999998</v>
      </c>
      <c r="I427" s="18"/>
    </row>
    <row r="428" spans="1:9" ht="15.75" customHeight="1" x14ac:dyDescent="0.35">
      <c r="A428" s="15"/>
      <c r="B428" s="3" t="s">
        <v>426</v>
      </c>
      <c r="C428" s="3" t="s">
        <v>2974</v>
      </c>
      <c r="D428" s="3" t="s">
        <v>861</v>
      </c>
      <c r="E428" s="3" t="s">
        <v>2115</v>
      </c>
      <c r="F428" s="3" t="s">
        <v>1279</v>
      </c>
      <c r="G428" s="3" t="s">
        <v>3702</v>
      </c>
      <c r="H428" s="6">
        <v>22525.792000000001</v>
      </c>
      <c r="I428" s="18"/>
    </row>
    <row r="429" spans="1:9" ht="15.75" customHeight="1" x14ac:dyDescent="0.35">
      <c r="A429" s="15"/>
      <c r="B429" s="3" t="s">
        <v>427</v>
      </c>
      <c r="C429" s="3" t="s">
        <v>2975</v>
      </c>
      <c r="D429" s="3" t="s">
        <v>860</v>
      </c>
      <c r="E429" s="3" t="s">
        <v>2116</v>
      </c>
      <c r="F429" s="3" t="s">
        <v>1280</v>
      </c>
      <c r="G429" s="3" t="s">
        <v>3703</v>
      </c>
      <c r="H429" s="6">
        <v>18832.8</v>
      </c>
      <c r="I429" s="18"/>
    </row>
    <row r="430" spans="1:9" ht="15.75" customHeight="1" x14ac:dyDescent="0.35">
      <c r="A430" s="15"/>
      <c r="B430" s="3" t="s">
        <v>428</v>
      </c>
      <c r="C430" s="3" t="s">
        <v>2976</v>
      </c>
      <c r="D430" s="3" t="s">
        <v>860</v>
      </c>
      <c r="E430" s="3" t="s">
        <v>2117</v>
      </c>
      <c r="F430" s="3" t="s">
        <v>1281</v>
      </c>
      <c r="G430" s="3" t="s">
        <v>3704</v>
      </c>
      <c r="H430" s="6">
        <v>120733.59999999999</v>
      </c>
      <c r="I430" s="18"/>
    </row>
    <row r="431" spans="1:9" ht="15.75" customHeight="1" x14ac:dyDescent="0.35">
      <c r="A431" s="15"/>
      <c r="B431" s="3" t="s">
        <v>429</v>
      </c>
      <c r="C431" s="3" t="s">
        <v>2977</v>
      </c>
      <c r="D431" s="3" t="s">
        <v>860</v>
      </c>
      <c r="E431" s="3" t="s">
        <v>2118</v>
      </c>
      <c r="F431" s="3" t="s">
        <v>1282</v>
      </c>
      <c r="G431" s="3" t="s">
        <v>3705</v>
      </c>
      <c r="H431" s="6">
        <v>12434.207999999999</v>
      </c>
      <c r="I431" s="18"/>
    </row>
    <row r="432" spans="1:9" ht="15.75" customHeight="1" x14ac:dyDescent="0.35">
      <c r="A432" s="15"/>
      <c r="B432" s="3" t="s">
        <v>430</v>
      </c>
      <c r="C432" s="3" t="s">
        <v>2978</v>
      </c>
      <c r="D432" s="3" t="s">
        <v>860</v>
      </c>
      <c r="E432" s="3" t="s">
        <v>2119</v>
      </c>
      <c r="F432" s="3" t="s">
        <v>1283</v>
      </c>
      <c r="G432" s="3" t="s">
        <v>3705</v>
      </c>
      <c r="H432" s="6">
        <v>19422.559999999998</v>
      </c>
      <c r="I432" s="18"/>
    </row>
    <row r="433" spans="1:9" ht="15.75" customHeight="1" x14ac:dyDescent="0.35">
      <c r="A433" s="15"/>
      <c r="B433" s="3" t="s">
        <v>431</v>
      </c>
      <c r="C433" s="3" t="s">
        <v>2979</v>
      </c>
      <c r="D433" s="3" t="s">
        <v>860</v>
      </c>
      <c r="E433" s="3" t="s">
        <v>2120</v>
      </c>
      <c r="F433" s="3" t="s">
        <v>1284</v>
      </c>
      <c r="G433" s="3" t="s">
        <v>3706</v>
      </c>
      <c r="H433" s="6">
        <v>12315.04</v>
      </c>
      <c r="I433" s="18"/>
    </row>
    <row r="434" spans="1:9" ht="15.75" customHeight="1" x14ac:dyDescent="0.35">
      <c r="A434" s="15"/>
      <c r="B434" s="3" t="s">
        <v>432</v>
      </c>
      <c r="C434" s="3" t="s">
        <v>2980</v>
      </c>
      <c r="D434" s="3" t="s">
        <v>861</v>
      </c>
      <c r="E434" s="3" t="s">
        <v>2121</v>
      </c>
      <c r="F434" s="3" t="s">
        <v>1285</v>
      </c>
      <c r="G434" s="3" t="s">
        <v>3706</v>
      </c>
      <c r="H434" s="6">
        <v>10672.831999999999</v>
      </c>
      <c r="I434" s="18"/>
    </row>
    <row r="435" spans="1:9" ht="15.75" customHeight="1" x14ac:dyDescent="0.35">
      <c r="A435" s="15"/>
      <c r="B435" s="3" t="s">
        <v>433</v>
      </c>
      <c r="C435" s="3" t="s">
        <v>2981</v>
      </c>
      <c r="D435" s="3" t="s">
        <v>861</v>
      </c>
      <c r="E435" s="3" t="s">
        <v>2122</v>
      </c>
      <c r="F435" s="3" t="s">
        <v>1286</v>
      </c>
      <c r="G435" s="3" t="s">
        <v>3707</v>
      </c>
      <c r="H435" s="6">
        <v>10568.864</v>
      </c>
      <c r="I435" s="18"/>
    </row>
    <row r="436" spans="1:9" ht="15.75" customHeight="1" x14ac:dyDescent="0.35">
      <c r="A436" s="15"/>
      <c r="B436" s="3" t="s">
        <v>434</v>
      </c>
      <c r="C436" s="3" t="s">
        <v>2982</v>
      </c>
      <c r="D436" s="3" t="s">
        <v>860</v>
      </c>
      <c r="E436" s="3" t="s">
        <v>2123</v>
      </c>
      <c r="F436" s="3" t="s">
        <v>1287</v>
      </c>
      <c r="G436" s="3" t="s">
        <v>3708</v>
      </c>
      <c r="H436" s="6">
        <v>10672.224</v>
      </c>
      <c r="I436" s="18"/>
    </row>
    <row r="437" spans="1:9" ht="15.75" customHeight="1" x14ac:dyDescent="0.35">
      <c r="A437" s="15"/>
      <c r="B437" s="3" t="s">
        <v>435</v>
      </c>
      <c r="C437" s="3" t="s">
        <v>2983</v>
      </c>
      <c r="D437" s="3" t="s">
        <v>861</v>
      </c>
      <c r="E437" s="3" t="s">
        <v>2124</v>
      </c>
      <c r="F437" s="3" t="s">
        <v>1288</v>
      </c>
      <c r="G437" s="3" t="s">
        <v>3708</v>
      </c>
      <c r="H437" s="6">
        <v>27645.759999999998</v>
      </c>
      <c r="I437" s="18"/>
    </row>
    <row r="438" spans="1:9" ht="15.75" customHeight="1" x14ac:dyDescent="0.35">
      <c r="A438" s="15"/>
      <c r="B438" s="3" t="s">
        <v>436</v>
      </c>
      <c r="C438" s="3" t="s">
        <v>2984</v>
      </c>
      <c r="D438" s="3" t="s">
        <v>860</v>
      </c>
      <c r="E438" s="3" t="s">
        <v>2125</v>
      </c>
      <c r="F438" s="3" t="s">
        <v>1289</v>
      </c>
      <c r="G438" s="3" t="s">
        <v>3709</v>
      </c>
      <c r="H438" s="6">
        <v>19562.399999999998</v>
      </c>
      <c r="I438" s="18"/>
    </row>
    <row r="439" spans="1:9" ht="15.75" customHeight="1" x14ac:dyDescent="0.35">
      <c r="A439" s="15"/>
      <c r="B439" s="3" t="s">
        <v>437</v>
      </c>
      <c r="C439" s="3" t="s">
        <v>2985</v>
      </c>
      <c r="D439" s="3" t="s">
        <v>860</v>
      </c>
      <c r="E439" s="3" t="s">
        <v>2126</v>
      </c>
      <c r="F439" s="3" t="s">
        <v>1290</v>
      </c>
      <c r="G439" s="3" t="s">
        <v>3709</v>
      </c>
      <c r="H439" s="6">
        <v>36446.559999999998</v>
      </c>
      <c r="I439" s="18"/>
    </row>
    <row r="440" spans="1:9" ht="15.75" customHeight="1" x14ac:dyDescent="0.35">
      <c r="A440" s="15"/>
      <c r="B440" s="3" t="s">
        <v>438</v>
      </c>
      <c r="C440" s="3" t="s">
        <v>2986</v>
      </c>
      <c r="D440" s="3" t="s">
        <v>860</v>
      </c>
      <c r="E440" s="3" t="s">
        <v>2127</v>
      </c>
      <c r="F440" s="3" t="s">
        <v>1291</v>
      </c>
      <c r="G440" s="3" t="s">
        <v>3710</v>
      </c>
      <c r="H440" s="6">
        <v>35888.415999999997</v>
      </c>
      <c r="I440" s="18"/>
    </row>
    <row r="441" spans="1:9" ht="15.75" customHeight="1" x14ac:dyDescent="0.35">
      <c r="A441" s="15"/>
      <c r="B441" s="3" t="s">
        <v>439</v>
      </c>
      <c r="C441" s="3" t="s">
        <v>2987</v>
      </c>
      <c r="D441" s="3" t="s">
        <v>860</v>
      </c>
      <c r="E441" s="3" t="s">
        <v>2128</v>
      </c>
      <c r="F441" s="3" t="s">
        <v>1292</v>
      </c>
      <c r="G441" s="3" t="s">
        <v>3711</v>
      </c>
      <c r="H441" s="6">
        <v>13281.152</v>
      </c>
      <c r="I441" s="18"/>
    </row>
    <row r="442" spans="1:9" ht="15.75" customHeight="1" x14ac:dyDescent="0.35">
      <c r="A442" s="15"/>
      <c r="B442" s="3" t="s">
        <v>440</v>
      </c>
      <c r="C442" s="3" t="s">
        <v>2988</v>
      </c>
      <c r="D442" s="3" t="s">
        <v>861</v>
      </c>
      <c r="E442" s="3" t="s">
        <v>2129</v>
      </c>
      <c r="F442" s="3" t="s">
        <v>1293</v>
      </c>
      <c r="G442" s="3" t="s">
        <v>3712</v>
      </c>
      <c r="H442" s="6">
        <v>10866.175999999999</v>
      </c>
      <c r="I442" s="18"/>
    </row>
    <row r="443" spans="1:9" ht="15.75" customHeight="1" x14ac:dyDescent="0.35">
      <c r="A443" s="15"/>
      <c r="B443" s="3" t="s">
        <v>441</v>
      </c>
      <c r="C443" s="3" t="s">
        <v>2989</v>
      </c>
      <c r="D443" s="3" t="s">
        <v>861</v>
      </c>
      <c r="E443" s="3" t="s">
        <v>2130</v>
      </c>
      <c r="F443" s="3" t="s">
        <v>1294</v>
      </c>
      <c r="G443" s="3" t="s">
        <v>3713</v>
      </c>
      <c r="H443" s="6">
        <v>28155.263999999999</v>
      </c>
      <c r="I443" s="18"/>
    </row>
    <row r="444" spans="1:9" ht="15.75" customHeight="1" x14ac:dyDescent="0.35">
      <c r="A444" s="15"/>
      <c r="B444" s="3" t="s">
        <v>442</v>
      </c>
      <c r="C444" s="3" t="s">
        <v>2990</v>
      </c>
      <c r="D444" s="3" t="s">
        <v>861</v>
      </c>
      <c r="E444" s="3" t="s">
        <v>2131</v>
      </c>
      <c r="F444" s="3" t="s">
        <v>1295</v>
      </c>
      <c r="G444" s="3" t="s">
        <v>3714</v>
      </c>
      <c r="H444" s="6">
        <v>24662.304</v>
      </c>
      <c r="I444" s="18"/>
    </row>
    <row r="445" spans="1:9" ht="15.75" customHeight="1" x14ac:dyDescent="0.35">
      <c r="A445" s="15"/>
      <c r="B445" s="3" t="s">
        <v>443</v>
      </c>
      <c r="C445" s="3" t="s">
        <v>2991</v>
      </c>
      <c r="D445" s="3" t="s">
        <v>860</v>
      </c>
      <c r="E445" s="3" t="s">
        <v>2132</v>
      </c>
      <c r="F445" s="3" t="s">
        <v>1296</v>
      </c>
      <c r="G445" s="3" t="s">
        <v>5587</v>
      </c>
      <c r="H445" s="6">
        <v>23144.736000000001</v>
      </c>
      <c r="I445" s="18"/>
    </row>
    <row r="446" spans="1:9" ht="15.75" customHeight="1" x14ac:dyDescent="0.35">
      <c r="A446" s="15"/>
      <c r="B446" s="3" t="s">
        <v>444</v>
      </c>
      <c r="C446" s="3" t="s">
        <v>2992</v>
      </c>
      <c r="D446" s="3" t="s">
        <v>861</v>
      </c>
      <c r="E446" s="3" t="s">
        <v>2133</v>
      </c>
      <c r="F446" s="3" t="s">
        <v>1297</v>
      </c>
      <c r="G446" s="3" t="s">
        <v>3715</v>
      </c>
      <c r="H446" s="6">
        <v>16965.632000000001</v>
      </c>
      <c r="I446" s="18"/>
    </row>
    <row r="447" spans="1:9" ht="15.75" customHeight="1" x14ac:dyDescent="0.35">
      <c r="A447" s="15"/>
      <c r="B447" s="3" t="s">
        <v>445</v>
      </c>
      <c r="C447" s="3" t="s">
        <v>2993</v>
      </c>
      <c r="D447" s="3" t="s">
        <v>861</v>
      </c>
      <c r="E447" s="3" t="s">
        <v>2134</v>
      </c>
      <c r="F447" s="3" t="s">
        <v>1298</v>
      </c>
      <c r="G447" s="3" t="s">
        <v>3716</v>
      </c>
      <c r="H447" s="6">
        <v>10672.224</v>
      </c>
      <c r="I447" s="18"/>
    </row>
    <row r="448" spans="1:9" ht="15.75" customHeight="1" x14ac:dyDescent="0.35">
      <c r="A448" s="15"/>
      <c r="B448" s="3" t="s">
        <v>446</v>
      </c>
      <c r="C448" s="3" t="s">
        <v>2994</v>
      </c>
      <c r="D448" s="3" t="s">
        <v>860</v>
      </c>
      <c r="E448" s="3" t="s">
        <v>2135</v>
      </c>
      <c r="F448" s="3" t="s">
        <v>1299</v>
      </c>
      <c r="G448" s="3" t="s">
        <v>3717</v>
      </c>
      <c r="H448" s="6">
        <v>40274.527999999998</v>
      </c>
      <c r="I448" s="18"/>
    </row>
    <row r="449" spans="1:9" ht="15.75" customHeight="1" x14ac:dyDescent="0.35">
      <c r="A449" s="15"/>
      <c r="B449" s="3" t="s">
        <v>447</v>
      </c>
      <c r="C449" s="3" t="s">
        <v>2995</v>
      </c>
      <c r="D449" s="3" t="s">
        <v>861</v>
      </c>
      <c r="E449" s="3" t="s">
        <v>2136</v>
      </c>
      <c r="F449" s="3" t="s">
        <v>1300</v>
      </c>
      <c r="G449" s="3" t="s">
        <v>3718</v>
      </c>
      <c r="H449" s="6">
        <v>15946.015999999998</v>
      </c>
      <c r="I449" s="18"/>
    </row>
    <row r="450" spans="1:9" ht="15.75" customHeight="1" x14ac:dyDescent="0.35">
      <c r="A450" s="15"/>
      <c r="B450" s="3" t="s">
        <v>448</v>
      </c>
      <c r="C450" s="3" t="s">
        <v>2996</v>
      </c>
      <c r="D450" s="3" t="s">
        <v>861</v>
      </c>
      <c r="E450" s="3" t="s">
        <v>2137</v>
      </c>
      <c r="F450" s="3" t="s">
        <v>1301</v>
      </c>
      <c r="G450" s="3" t="s">
        <v>3719</v>
      </c>
      <c r="H450" s="6">
        <v>10672.831999999999</v>
      </c>
      <c r="I450" s="18"/>
    </row>
    <row r="451" spans="1:9" ht="15.75" customHeight="1" x14ac:dyDescent="0.35">
      <c r="A451" s="15"/>
      <c r="B451" s="3" t="s">
        <v>449</v>
      </c>
      <c r="C451" s="3" t="s">
        <v>2997</v>
      </c>
      <c r="D451" s="3" t="s">
        <v>861</v>
      </c>
      <c r="E451" s="3" t="s">
        <v>2138</v>
      </c>
      <c r="F451" s="3" t="s">
        <v>1302</v>
      </c>
      <c r="G451" s="3" t="s">
        <v>3719</v>
      </c>
      <c r="H451" s="6">
        <v>10672.831999999999</v>
      </c>
      <c r="I451" s="18"/>
    </row>
    <row r="452" spans="1:9" ht="15.75" customHeight="1" x14ac:dyDescent="0.35">
      <c r="A452" s="15"/>
      <c r="B452" s="3" t="s">
        <v>450</v>
      </c>
      <c r="C452" s="3" t="s">
        <v>2998</v>
      </c>
      <c r="D452" s="3" t="s">
        <v>860</v>
      </c>
      <c r="E452" s="3" t="s">
        <v>2139</v>
      </c>
      <c r="F452" s="3" t="s">
        <v>1303</v>
      </c>
      <c r="G452" s="3" t="s">
        <v>3719</v>
      </c>
      <c r="H452" s="6">
        <v>108062.87999999999</v>
      </c>
      <c r="I452" s="18"/>
    </row>
    <row r="453" spans="1:9" ht="15.75" customHeight="1" x14ac:dyDescent="0.35">
      <c r="A453" s="15"/>
      <c r="B453" s="3" t="s">
        <v>451</v>
      </c>
      <c r="C453" s="3" t="s">
        <v>2999</v>
      </c>
      <c r="D453" s="3" t="s">
        <v>860</v>
      </c>
      <c r="E453" s="3" t="s">
        <v>2140</v>
      </c>
      <c r="F453" s="3" t="s">
        <v>1304</v>
      </c>
      <c r="G453" s="3" t="s">
        <v>3720</v>
      </c>
      <c r="H453" s="6">
        <v>29258.784</v>
      </c>
      <c r="I453" s="18"/>
    </row>
    <row r="454" spans="1:9" ht="15.75" customHeight="1" x14ac:dyDescent="0.35">
      <c r="A454" s="15"/>
      <c r="B454" s="3" t="s">
        <v>452</v>
      </c>
      <c r="C454" s="3" t="s">
        <v>3000</v>
      </c>
      <c r="D454" s="3" t="s">
        <v>860</v>
      </c>
      <c r="E454" s="3" t="s">
        <v>2141</v>
      </c>
      <c r="F454" s="3" t="s">
        <v>1305</v>
      </c>
      <c r="G454" s="3" t="s">
        <v>3721</v>
      </c>
      <c r="H454" s="6">
        <v>21224.671999999999</v>
      </c>
      <c r="I454" s="18"/>
    </row>
    <row r="455" spans="1:9" ht="15.75" customHeight="1" x14ac:dyDescent="0.35">
      <c r="A455" s="15"/>
      <c r="B455" s="3" t="s">
        <v>453</v>
      </c>
      <c r="C455" s="3" t="s">
        <v>3001</v>
      </c>
      <c r="D455" s="3" t="s">
        <v>861</v>
      </c>
      <c r="E455" s="3" t="s">
        <v>2142</v>
      </c>
      <c r="F455" s="3" t="s">
        <v>1306</v>
      </c>
      <c r="G455" s="3" t="s">
        <v>3721</v>
      </c>
      <c r="H455" s="6">
        <v>27645.759999999998</v>
      </c>
      <c r="I455" s="18"/>
    </row>
    <row r="456" spans="1:9" ht="15.75" customHeight="1" x14ac:dyDescent="0.35">
      <c r="A456" s="15"/>
      <c r="B456" s="3" t="s">
        <v>454</v>
      </c>
      <c r="C456" s="3" t="s">
        <v>3002</v>
      </c>
      <c r="D456" s="3" t="s">
        <v>861</v>
      </c>
      <c r="E456" s="3" t="s">
        <v>2143</v>
      </c>
      <c r="F456" s="3" t="s">
        <v>1307</v>
      </c>
      <c r="G456" s="3" t="s">
        <v>5655</v>
      </c>
      <c r="H456" s="6">
        <v>34873.056000000004</v>
      </c>
      <c r="I456" s="18"/>
    </row>
    <row r="457" spans="1:9" ht="15.75" customHeight="1" x14ac:dyDescent="0.35">
      <c r="A457" s="15"/>
      <c r="B457" s="3" t="s">
        <v>455</v>
      </c>
      <c r="C457" s="3" t="s">
        <v>3003</v>
      </c>
      <c r="D457" s="3" t="s">
        <v>861</v>
      </c>
      <c r="E457" s="3" t="s">
        <v>2144</v>
      </c>
      <c r="F457" s="3" t="s">
        <v>1308</v>
      </c>
      <c r="G457" s="3" t="s">
        <v>3722</v>
      </c>
      <c r="H457" s="6">
        <v>31622.079999999998</v>
      </c>
      <c r="I457" s="18"/>
    </row>
    <row r="458" spans="1:9" ht="15.75" customHeight="1" x14ac:dyDescent="0.35">
      <c r="A458" s="15"/>
      <c r="B458" s="3" t="s">
        <v>456</v>
      </c>
      <c r="C458" s="3" t="s">
        <v>3004</v>
      </c>
      <c r="D458" s="3" t="s">
        <v>861</v>
      </c>
      <c r="E458" s="3" t="s">
        <v>2145</v>
      </c>
      <c r="F458" s="3" t="s">
        <v>1309</v>
      </c>
      <c r="G458" s="3" t="s">
        <v>3722</v>
      </c>
      <c r="H458" s="6">
        <v>16738.847999999998</v>
      </c>
      <c r="I458" s="18"/>
    </row>
    <row r="459" spans="1:9" ht="15.75" customHeight="1" x14ac:dyDescent="0.35">
      <c r="A459" s="15"/>
      <c r="B459" s="3" t="s">
        <v>457</v>
      </c>
      <c r="C459" s="3" t="s">
        <v>3005</v>
      </c>
      <c r="D459" s="3" t="s">
        <v>861</v>
      </c>
      <c r="E459" s="3" t="s">
        <v>2146</v>
      </c>
      <c r="F459" s="3" t="s">
        <v>1310</v>
      </c>
      <c r="G459" s="3" t="s">
        <v>3723</v>
      </c>
      <c r="H459" s="6">
        <v>23874.944</v>
      </c>
      <c r="I459" s="18"/>
    </row>
    <row r="460" spans="1:9" ht="15.75" customHeight="1" x14ac:dyDescent="0.35">
      <c r="A460" s="15"/>
      <c r="B460" s="3" t="s">
        <v>458</v>
      </c>
      <c r="C460" s="3" t="s">
        <v>3006</v>
      </c>
      <c r="D460" s="3" t="s">
        <v>861</v>
      </c>
      <c r="E460" s="3" t="s">
        <v>2147</v>
      </c>
      <c r="F460" s="3" t="s">
        <v>1311</v>
      </c>
      <c r="G460" s="3" t="s">
        <v>3724</v>
      </c>
      <c r="H460" s="6">
        <v>10672.224</v>
      </c>
      <c r="I460" s="18"/>
    </row>
    <row r="461" spans="1:9" ht="15.75" customHeight="1" x14ac:dyDescent="0.35">
      <c r="A461" s="15"/>
      <c r="B461" s="3" t="s">
        <v>459</v>
      </c>
      <c r="C461" s="3" t="s">
        <v>3007</v>
      </c>
      <c r="D461" s="3" t="s">
        <v>861</v>
      </c>
      <c r="E461" s="3" t="s">
        <v>2148</v>
      </c>
      <c r="F461" s="3" t="s">
        <v>1312</v>
      </c>
      <c r="G461" s="3" t="s">
        <v>3725</v>
      </c>
      <c r="H461" s="6">
        <v>14806.624</v>
      </c>
      <c r="I461" s="18"/>
    </row>
    <row r="462" spans="1:9" ht="15.75" customHeight="1" x14ac:dyDescent="0.35">
      <c r="A462" s="15"/>
      <c r="B462" s="3" t="s">
        <v>460</v>
      </c>
      <c r="C462" s="3" t="s">
        <v>3008</v>
      </c>
      <c r="D462" s="3" t="s">
        <v>861</v>
      </c>
      <c r="E462" s="3" t="s">
        <v>2149</v>
      </c>
      <c r="F462" s="3" t="s">
        <v>1313</v>
      </c>
      <c r="G462" s="3" t="s">
        <v>3726</v>
      </c>
      <c r="H462" s="6">
        <v>23936.959999999999</v>
      </c>
      <c r="I462" s="18"/>
    </row>
    <row r="463" spans="1:9" ht="15.75" customHeight="1" x14ac:dyDescent="0.35">
      <c r="A463" s="15"/>
      <c r="B463" s="3" t="s">
        <v>461</v>
      </c>
      <c r="C463" s="3" t="s">
        <v>3009</v>
      </c>
      <c r="D463" s="3" t="s">
        <v>861</v>
      </c>
      <c r="E463" s="3" t="s">
        <v>2150</v>
      </c>
      <c r="F463" s="3" t="s">
        <v>1314</v>
      </c>
      <c r="G463" s="3" t="s">
        <v>3727</v>
      </c>
      <c r="H463" s="6">
        <v>34870.623999999996</v>
      </c>
      <c r="I463" s="18"/>
    </row>
    <row r="464" spans="1:9" ht="15.75" customHeight="1" x14ac:dyDescent="0.35">
      <c r="A464" s="15"/>
      <c r="B464" s="3" t="s">
        <v>462</v>
      </c>
      <c r="C464" s="3" t="s">
        <v>3010</v>
      </c>
      <c r="D464" s="3" t="s">
        <v>861</v>
      </c>
      <c r="E464" s="3" t="s">
        <v>2151</v>
      </c>
      <c r="F464" s="3" t="s">
        <v>1315</v>
      </c>
      <c r="G464" s="3" t="s">
        <v>3728</v>
      </c>
      <c r="H464" s="6">
        <v>10672.831999999999</v>
      </c>
      <c r="I464" s="18"/>
    </row>
    <row r="465" spans="1:9" ht="15.75" customHeight="1" x14ac:dyDescent="0.35">
      <c r="A465" s="15"/>
      <c r="B465" s="3" t="s">
        <v>463</v>
      </c>
      <c r="C465" s="3" t="s">
        <v>3011</v>
      </c>
      <c r="D465" s="3" t="s">
        <v>860</v>
      </c>
      <c r="E465" s="3" t="s">
        <v>2152</v>
      </c>
      <c r="F465" s="3" t="s">
        <v>1316</v>
      </c>
      <c r="G465" s="3" t="s">
        <v>5828</v>
      </c>
      <c r="H465" s="6">
        <v>39397.792000000001</v>
      </c>
      <c r="I465" s="18"/>
    </row>
    <row r="466" spans="1:9" ht="15.75" customHeight="1" x14ac:dyDescent="0.35">
      <c r="A466" s="15"/>
      <c r="B466" s="3" t="s">
        <v>464</v>
      </c>
      <c r="C466" s="3" t="s">
        <v>3012</v>
      </c>
      <c r="D466" s="3" t="s">
        <v>861</v>
      </c>
      <c r="E466" s="3" t="s">
        <v>2153</v>
      </c>
      <c r="F466" s="3" t="s">
        <v>1317</v>
      </c>
      <c r="G466" s="3" t="s">
        <v>3729</v>
      </c>
      <c r="H466" s="6">
        <v>16587.455999999998</v>
      </c>
      <c r="I466" s="18"/>
    </row>
    <row r="467" spans="1:9" ht="15.75" customHeight="1" x14ac:dyDescent="0.35">
      <c r="A467" s="15"/>
      <c r="B467" s="3" t="s">
        <v>465</v>
      </c>
      <c r="C467" s="3" t="s">
        <v>3013</v>
      </c>
      <c r="D467" s="3" t="s">
        <v>861</v>
      </c>
      <c r="E467" s="3" t="s">
        <v>2154</v>
      </c>
      <c r="F467" s="3" t="s">
        <v>1318</v>
      </c>
      <c r="G467" s="3" t="s">
        <v>3730</v>
      </c>
      <c r="H467" s="6">
        <v>42531.423999999999</v>
      </c>
      <c r="I467" s="18"/>
    </row>
    <row r="468" spans="1:9" ht="15.75" customHeight="1" x14ac:dyDescent="0.35">
      <c r="A468" s="15"/>
      <c r="B468" s="3" t="s">
        <v>466</v>
      </c>
      <c r="C468" s="3" t="s">
        <v>3014</v>
      </c>
      <c r="D468" s="3" t="s">
        <v>860</v>
      </c>
      <c r="E468" s="3" t="s">
        <v>2155</v>
      </c>
      <c r="F468" s="3" t="s">
        <v>1319</v>
      </c>
      <c r="G468" s="3" t="s">
        <v>3731</v>
      </c>
      <c r="H468" s="6">
        <v>15085.088</v>
      </c>
      <c r="I468" s="18"/>
    </row>
    <row r="469" spans="1:9" ht="15.75" customHeight="1" x14ac:dyDescent="0.35">
      <c r="A469" s="15"/>
      <c r="B469" s="3" t="s">
        <v>467</v>
      </c>
      <c r="C469" s="3" t="s">
        <v>3015</v>
      </c>
      <c r="D469" s="3" t="s">
        <v>861</v>
      </c>
      <c r="E469" s="3" t="s">
        <v>2156</v>
      </c>
      <c r="F469" s="3" t="s">
        <v>1320</v>
      </c>
      <c r="G469" s="3" t="s">
        <v>3732</v>
      </c>
      <c r="H469" s="6">
        <v>15381.183999999999</v>
      </c>
      <c r="I469" s="18"/>
    </row>
    <row r="470" spans="1:9" ht="15.75" customHeight="1" x14ac:dyDescent="0.35">
      <c r="A470" s="15"/>
      <c r="B470" s="3" t="s">
        <v>468</v>
      </c>
      <c r="C470" s="3" t="s">
        <v>3016</v>
      </c>
      <c r="D470" s="3" t="s">
        <v>861</v>
      </c>
      <c r="E470" s="3" t="s">
        <v>2157</v>
      </c>
      <c r="F470" s="3" t="s">
        <v>1321</v>
      </c>
      <c r="G470" s="3" t="s">
        <v>3733</v>
      </c>
      <c r="H470" s="6">
        <v>10453.951999999999</v>
      </c>
      <c r="I470" s="18"/>
    </row>
    <row r="471" spans="1:9" ht="15.75" customHeight="1" x14ac:dyDescent="0.35">
      <c r="A471" s="15"/>
      <c r="B471" s="3" t="s">
        <v>469</v>
      </c>
      <c r="C471" s="3" t="s">
        <v>3017</v>
      </c>
      <c r="D471" s="3" t="s">
        <v>861</v>
      </c>
      <c r="E471" s="3" t="s">
        <v>2158</v>
      </c>
      <c r="F471" s="3" t="s">
        <v>1322</v>
      </c>
      <c r="G471" s="3" t="s">
        <v>3733</v>
      </c>
      <c r="H471" s="6">
        <v>51514.51308864</v>
      </c>
      <c r="I471" s="18"/>
    </row>
    <row r="472" spans="1:9" ht="15.75" customHeight="1" x14ac:dyDescent="0.35">
      <c r="A472" s="15"/>
      <c r="B472" s="3" t="s">
        <v>470</v>
      </c>
      <c r="C472" s="3" t="s">
        <v>3018</v>
      </c>
      <c r="D472" s="3" t="s">
        <v>861</v>
      </c>
      <c r="E472" s="3" t="s">
        <v>2159</v>
      </c>
      <c r="F472" s="3" t="s">
        <v>1323</v>
      </c>
      <c r="G472" s="3" t="s">
        <v>5593</v>
      </c>
      <c r="H472" s="6">
        <v>81282.934281173322</v>
      </c>
      <c r="I472" s="18"/>
    </row>
    <row r="473" spans="1:9" ht="15.75" customHeight="1" x14ac:dyDescent="0.35">
      <c r="A473" s="15"/>
      <c r="B473" s="3" t="s">
        <v>471</v>
      </c>
      <c r="C473" s="3" t="s">
        <v>3019</v>
      </c>
      <c r="D473" s="3" t="s">
        <v>861</v>
      </c>
      <c r="E473" s="3" t="s">
        <v>2160</v>
      </c>
      <c r="F473" s="3" t="s">
        <v>1324</v>
      </c>
      <c r="G473" s="3" t="s">
        <v>6243</v>
      </c>
      <c r="H473" s="6">
        <v>10658.848</v>
      </c>
      <c r="I473" s="18"/>
    </row>
    <row r="474" spans="1:9" ht="15.75" customHeight="1" x14ac:dyDescent="0.35">
      <c r="A474" s="15"/>
      <c r="B474" s="3" t="s">
        <v>472</v>
      </c>
      <c r="C474" s="3" t="s">
        <v>3020</v>
      </c>
      <c r="D474" s="3" t="s">
        <v>860</v>
      </c>
      <c r="E474" s="3" t="s">
        <v>2161</v>
      </c>
      <c r="F474" s="3" t="s">
        <v>1325</v>
      </c>
      <c r="G474" s="3" t="s">
        <v>3734</v>
      </c>
      <c r="H474" s="6">
        <v>33668.608</v>
      </c>
      <c r="I474" s="18"/>
    </row>
    <row r="475" spans="1:9" ht="15.75" customHeight="1" x14ac:dyDescent="0.35">
      <c r="A475" s="15"/>
      <c r="B475" s="3" t="s">
        <v>473</v>
      </c>
      <c r="C475" s="3" t="s">
        <v>3021</v>
      </c>
      <c r="D475" s="3" t="s">
        <v>861</v>
      </c>
      <c r="E475" s="3" t="s">
        <v>2162</v>
      </c>
      <c r="F475" s="3" t="s">
        <v>1326</v>
      </c>
      <c r="G475" s="3" t="s">
        <v>3734</v>
      </c>
      <c r="H475" s="6">
        <v>33742.784</v>
      </c>
      <c r="I475" s="18"/>
    </row>
    <row r="476" spans="1:9" ht="15.75" customHeight="1" x14ac:dyDescent="0.35">
      <c r="A476" s="15"/>
      <c r="B476" s="3" t="s">
        <v>474</v>
      </c>
      <c r="C476" s="3" t="s">
        <v>3022</v>
      </c>
      <c r="D476" s="3" t="s">
        <v>861</v>
      </c>
      <c r="E476" s="3" t="s">
        <v>2163</v>
      </c>
      <c r="F476" s="3" t="s">
        <v>1327</v>
      </c>
      <c r="G476" s="3" t="s">
        <v>3740</v>
      </c>
      <c r="H476" s="6">
        <v>33485.599999999999</v>
      </c>
      <c r="I476" s="18"/>
    </row>
    <row r="477" spans="1:9" ht="15.75" customHeight="1" x14ac:dyDescent="0.35">
      <c r="A477" s="15"/>
      <c r="B477" s="3" t="s">
        <v>475</v>
      </c>
      <c r="C477" s="3" t="s">
        <v>3023</v>
      </c>
      <c r="D477" s="3" t="s">
        <v>861</v>
      </c>
      <c r="E477" s="3" t="s">
        <v>2164</v>
      </c>
      <c r="F477" s="3" t="s">
        <v>1328</v>
      </c>
      <c r="G477" s="3" t="s">
        <v>3740</v>
      </c>
      <c r="H477" s="6">
        <v>45801.247999999992</v>
      </c>
      <c r="I477" s="18"/>
    </row>
    <row r="478" spans="1:9" ht="15.75" customHeight="1" x14ac:dyDescent="0.35">
      <c r="A478" s="15"/>
      <c r="B478" s="3" t="s">
        <v>476</v>
      </c>
      <c r="C478" s="3" t="s">
        <v>3024</v>
      </c>
      <c r="D478" s="3" t="s">
        <v>860</v>
      </c>
      <c r="E478" s="3" t="s">
        <v>2165</v>
      </c>
      <c r="F478" s="3" t="s">
        <v>1329</v>
      </c>
      <c r="G478" s="3" t="s">
        <v>3740</v>
      </c>
      <c r="H478" s="6">
        <v>39048.191999999995</v>
      </c>
      <c r="I478" s="18"/>
    </row>
    <row r="479" spans="1:9" ht="15.75" customHeight="1" x14ac:dyDescent="0.35">
      <c r="A479" s="15"/>
      <c r="B479" s="3" t="s">
        <v>477</v>
      </c>
      <c r="C479" s="3" t="s">
        <v>3025</v>
      </c>
      <c r="D479" s="3" t="s">
        <v>861</v>
      </c>
      <c r="E479" s="3" t="s">
        <v>2166</v>
      </c>
      <c r="F479" s="3" t="s">
        <v>1330</v>
      </c>
      <c r="G479" s="3" t="s">
        <v>3740</v>
      </c>
      <c r="H479" s="6">
        <v>38589.152000000002</v>
      </c>
      <c r="I479" s="18"/>
    </row>
    <row r="480" spans="1:9" ht="15.75" customHeight="1" x14ac:dyDescent="0.35">
      <c r="A480" s="15"/>
      <c r="B480" s="3" t="s">
        <v>478</v>
      </c>
      <c r="C480" s="3" t="s">
        <v>3026</v>
      </c>
      <c r="D480" s="3" t="s">
        <v>860</v>
      </c>
      <c r="E480" s="3" t="s">
        <v>2167</v>
      </c>
      <c r="F480" s="3" t="s">
        <v>1331</v>
      </c>
      <c r="G480" s="3" t="s">
        <v>5712</v>
      </c>
      <c r="H480" s="6">
        <v>18927.648000000001</v>
      </c>
      <c r="I480" s="18"/>
    </row>
    <row r="481" spans="1:9" ht="15.75" customHeight="1" x14ac:dyDescent="0.35">
      <c r="A481" s="15"/>
      <c r="B481" s="3" t="s">
        <v>479</v>
      </c>
      <c r="C481" s="3" t="s">
        <v>3027</v>
      </c>
      <c r="D481" s="3" t="s">
        <v>861</v>
      </c>
      <c r="E481" s="3" t="s">
        <v>2168</v>
      </c>
      <c r="F481" s="3" t="s">
        <v>1332</v>
      </c>
      <c r="G481" s="3" t="s">
        <v>3741</v>
      </c>
      <c r="H481" s="6">
        <v>15674.24</v>
      </c>
      <c r="I481" s="18"/>
    </row>
    <row r="482" spans="1:9" ht="15.75" customHeight="1" x14ac:dyDescent="0.35">
      <c r="A482" s="15"/>
      <c r="B482" s="3" t="s">
        <v>480</v>
      </c>
      <c r="C482" s="3" t="s">
        <v>3028</v>
      </c>
      <c r="D482" s="3" t="s">
        <v>861</v>
      </c>
      <c r="E482" s="3" t="s">
        <v>2169</v>
      </c>
      <c r="F482" s="3" t="s">
        <v>1333</v>
      </c>
      <c r="G482" s="3" t="s">
        <v>3742</v>
      </c>
      <c r="H482" s="6">
        <v>23232.288</v>
      </c>
      <c r="I482" s="18"/>
    </row>
    <row r="483" spans="1:9" ht="15.75" customHeight="1" x14ac:dyDescent="0.35">
      <c r="A483" s="15"/>
      <c r="B483" s="3" t="s">
        <v>481</v>
      </c>
      <c r="C483" s="3" t="s">
        <v>3029</v>
      </c>
      <c r="D483" s="3" t="s">
        <v>861</v>
      </c>
      <c r="E483" s="3" t="s">
        <v>2170</v>
      </c>
      <c r="F483" s="3" t="s">
        <v>1334</v>
      </c>
      <c r="G483" s="3" t="s">
        <v>3742</v>
      </c>
      <c r="H483" s="6">
        <v>38563.615999999995</v>
      </c>
      <c r="I483" s="18"/>
    </row>
    <row r="484" spans="1:9" ht="15.75" customHeight="1" x14ac:dyDescent="0.35">
      <c r="A484" s="15"/>
      <c r="B484" s="3" t="s">
        <v>482</v>
      </c>
      <c r="C484" s="3" t="s">
        <v>3030</v>
      </c>
      <c r="D484" s="3" t="s">
        <v>861</v>
      </c>
      <c r="E484" s="3" t="s">
        <v>2171</v>
      </c>
      <c r="F484" s="3" t="s">
        <v>1335</v>
      </c>
      <c r="G484" s="3" t="s">
        <v>5790</v>
      </c>
      <c r="H484" s="6">
        <v>19023.103999999999</v>
      </c>
      <c r="I484" s="18"/>
    </row>
    <row r="485" spans="1:9" ht="15.75" customHeight="1" x14ac:dyDescent="0.35">
      <c r="A485" s="15"/>
      <c r="B485" s="3" t="s">
        <v>483</v>
      </c>
      <c r="C485" s="3" t="s">
        <v>3031</v>
      </c>
      <c r="D485" s="3" t="s">
        <v>861</v>
      </c>
      <c r="E485" s="3" t="s">
        <v>2172</v>
      </c>
      <c r="F485" s="3" t="s">
        <v>1336</v>
      </c>
      <c r="G485" s="3" t="s">
        <v>3748</v>
      </c>
      <c r="H485" s="6">
        <v>34780.639999999992</v>
      </c>
      <c r="I485" s="18"/>
    </row>
    <row r="486" spans="1:9" ht="15.75" customHeight="1" x14ac:dyDescent="0.35">
      <c r="A486" s="15"/>
      <c r="B486" s="3" t="s">
        <v>484</v>
      </c>
      <c r="C486" s="3" t="s">
        <v>3032</v>
      </c>
      <c r="D486" s="3" t="s">
        <v>861</v>
      </c>
      <c r="E486" s="3" t="s">
        <v>2173</v>
      </c>
      <c r="F486" s="3" t="s">
        <v>1337</v>
      </c>
      <c r="G486" s="3" t="s">
        <v>3749</v>
      </c>
      <c r="H486" s="6">
        <v>24204.48</v>
      </c>
      <c r="I486" s="18"/>
    </row>
    <row r="487" spans="1:9" ht="15.75" customHeight="1" x14ac:dyDescent="0.35">
      <c r="A487" s="15"/>
      <c r="B487" s="3" t="s">
        <v>485</v>
      </c>
      <c r="C487" s="3" t="s">
        <v>3033</v>
      </c>
      <c r="D487" s="3" t="s">
        <v>860</v>
      </c>
      <c r="E487" s="3" t="s">
        <v>2174</v>
      </c>
      <c r="F487" s="3" t="s">
        <v>1338</v>
      </c>
      <c r="G487" s="3" t="s">
        <v>3750</v>
      </c>
      <c r="H487" s="6">
        <v>41410.271999999997</v>
      </c>
      <c r="I487" s="18"/>
    </row>
    <row r="488" spans="1:9" ht="15.75" customHeight="1" x14ac:dyDescent="0.35">
      <c r="A488" s="15"/>
      <c r="B488" s="3" t="s">
        <v>486</v>
      </c>
      <c r="C488" s="3" t="s">
        <v>3034</v>
      </c>
      <c r="D488" s="3" t="s">
        <v>861</v>
      </c>
      <c r="E488" s="3" t="s">
        <v>2175</v>
      </c>
      <c r="F488" s="3" t="s">
        <v>1339</v>
      </c>
      <c r="G488" s="3" t="s">
        <v>3750</v>
      </c>
      <c r="H488" s="6">
        <v>33300.768000000004</v>
      </c>
      <c r="I488" s="18"/>
    </row>
    <row r="489" spans="1:9" ht="15.75" customHeight="1" x14ac:dyDescent="0.35">
      <c r="A489" s="15"/>
      <c r="B489" s="3" t="s">
        <v>487</v>
      </c>
      <c r="C489" s="3" t="s">
        <v>3035</v>
      </c>
      <c r="D489" s="3" t="s">
        <v>860</v>
      </c>
      <c r="E489" s="3" t="s">
        <v>2176</v>
      </c>
      <c r="F489" s="3" t="s">
        <v>1340</v>
      </c>
      <c r="G489" s="3" t="s">
        <v>5554</v>
      </c>
      <c r="H489" s="6">
        <v>23232.288</v>
      </c>
      <c r="I489" s="18"/>
    </row>
    <row r="490" spans="1:9" ht="15.75" customHeight="1" x14ac:dyDescent="0.35">
      <c r="A490" s="15"/>
      <c r="B490" s="3" t="s">
        <v>488</v>
      </c>
      <c r="C490" s="3" t="s">
        <v>3036</v>
      </c>
      <c r="D490" s="3" t="s">
        <v>860</v>
      </c>
      <c r="E490" s="3" t="s">
        <v>2177</v>
      </c>
      <c r="F490" s="3" t="s">
        <v>1341</v>
      </c>
      <c r="G490" s="3" t="s">
        <v>3751</v>
      </c>
      <c r="H490" s="6">
        <v>27280.959999999999</v>
      </c>
      <c r="I490" s="18"/>
    </row>
    <row r="491" spans="1:9" ht="15.75" customHeight="1" x14ac:dyDescent="0.35">
      <c r="A491" s="15"/>
      <c r="B491" s="3" t="s">
        <v>489</v>
      </c>
      <c r="C491" s="3" t="s">
        <v>3037</v>
      </c>
      <c r="D491" s="3" t="s">
        <v>860</v>
      </c>
      <c r="E491" s="3" t="s">
        <v>2178</v>
      </c>
      <c r="F491" s="3" t="s">
        <v>1342</v>
      </c>
      <c r="G491" s="3" t="s">
        <v>3751</v>
      </c>
      <c r="H491" s="6">
        <v>114850.02543317332</v>
      </c>
      <c r="I491" s="18"/>
    </row>
    <row r="492" spans="1:9" ht="15.75" customHeight="1" x14ac:dyDescent="0.35">
      <c r="A492" s="15"/>
      <c r="B492" s="3" t="s">
        <v>490</v>
      </c>
      <c r="C492" s="3" t="s">
        <v>3038</v>
      </c>
      <c r="D492" s="3" t="s">
        <v>860</v>
      </c>
      <c r="E492" s="3" t="s">
        <v>2179</v>
      </c>
      <c r="F492" s="3" t="s">
        <v>1266</v>
      </c>
      <c r="G492" s="3" t="s">
        <v>3752</v>
      </c>
      <c r="H492" s="6">
        <v>22749.536</v>
      </c>
      <c r="I492" s="18"/>
    </row>
    <row r="493" spans="1:9" ht="15.75" customHeight="1" x14ac:dyDescent="0.35">
      <c r="A493" s="15"/>
      <c r="B493" s="3" t="s">
        <v>491</v>
      </c>
      <c r="C493" s="3" t="s">
        <v>3039</v>
      </c>
      <c r="D493" s="3" t="s">
        <v>860</v>
      </c>
      <c r="E493" s="3" t="s">
        <v>2180</v>
      </c>
      <c r="F493" s="3" t="s">
        <v>1343</v>
      </c>
      <c r="G493" s="3" t="s">
        <v>3752</v>
      </c>
      <c r="H493" s="6">
        <v>22749.536</v>
      </c>
      <c r="I493" s="18"/>
    </row>
    <row r="494" spans="1:9" ht="15.75" customHeight="1" x14ac:dyDescent="0.35">
      <c r="A494" s="15"/>
      <c r="B494" s="3" t="s">
        <v>492</v>
      </c>
      <c r="C494" s="3" t="s">
        <v>3040</v>
      </c>
      <c r="D494" s="3" t="s">
        <v>861</v>
      </c>
      <c r="E494" s="3" t="s">
        <v>2181</v>
      </c>
      <c r="F494" s="3" t="s">
        <v>1344</v>
      </c>
      <c r="G494" s="3" t="s">
        <v>3753</v>
      </c>
      <c r="H494" s="6">
        <v>10554.271999999999</v>
      </c>
      <c r="I494" s="18"/>
    </row>
    <row r="495" spans="1:9" ht="15.75" customHeight="1" x14ac:dyDescent="0.35">
      <c r="A495" s="15"/>
      <c r="B495" s="3" t="s">
        <v>493</v>
      </c>
      <c r="C495" s="3" t="s">
        <v>3041</v>
      </c>
      <c r="D495" s="3" t="s">
        <v>860</v>
      </c>
      <c r="E495" s="3" t="s">
        <v>2182</v>
      </c>
      <c r="F495" s="3" t="s">
        <v>1345</v>
      </c>
      <c r="G495" s="3" t="s">
        <v>3754</v>
      </c>
      <c r="H495" s="6">
        <v>24716.415999999997</v>
      </c>
      <c r="I495" s="18"/>
    </row>
    <row r="496" spans="1:9" ht="15.75" customHeight="1" x14ac:dyDescent="0.35">
      <c r="A496" s="15"/>
      <c r="B496" s="3" t="s">
        <v>494</v>
      </c>
      <c r="C496" s="3" t="s">
        <v>3042</v>
      </c>
      <c r="D496" s="3" t="s">
        <v>861</v>
      </c>
      <c r="E496" s="3" t="s">
        <v>2183</v>
      </c>
      <c r="F496" s="3" t="s">
        <v>1346</v>
      </c>
      <c r="G496" s="3" t="s">
        <v>3754</v>
      </c>
      <c r="H496" s="6">
        <v>23435.967999999997</v>
      </c>
      <c r="I496" s="18"/>
    </row>
    <row r="497" spans="1:9" ht="15.75" customHeight="1" x14ac:dyDescent="0.35">
      <c r="A497" s="15"/>
      <c r="B497" s="3" t="s">
        <v>495</v>
      </c>
      <c r="C497" s="3" t="s">
        <v>3043</v>
      </c>
      <c r="D497" s="3" t="s">
        <v>860</v>
      </c>
      <c r="E497" s="3" t="s">
        <v>2184</v>
      </c>
      <c r="F497" s="3" t="s">
        <v>1347</v>
      </c>
      <c r="G497" s="3" t="s">
        <v>6244</v>
      </c>
      <c r="H497" s="6">
        <v>27121.359999999997</v>
      </c>
      <c r="I497" s="18"/>
    </row>
    <row r="498" spans="1:9" ht="15.75" customHeight="1" x14ac:dyDescent="0.35">
      <c r="A498" s="15"/>
      <c r="B498" s="3" t="s">
        <v>496</v>
      </c>
      <c r="C498" s="3" t="s">
        <v>3044</v>
      </c>
      <c r="D498" s="3" t="s">
        <v>861</v>
      </c>
      <c r="E498" s="3" t="s">
        <v>2185</v>
      </c>
      <c r="F498" s="3" t="s">
        <v>1348</v>
      </c>
      <c r="G498" s="3" t="s">
        <v>3757</v>
      </c>
      <c r="H498" s="6">
        <v>13649.599999999999</v>
      </c>
      <c r="I498" s="18"/>
    </row>
    <row r="499" spans="1:9" ht="15.75" customHeight="1" x14ac:dyDescent="0.35">
      <c r="A499" s="15"/>
      <c r="B499" s="3" t="s">
        <v>497</v>
      </c>
      <c r="C499" s="3" t="s">
        <v>3045</v>
      </c>
      <c r="D499" s="3" t="s">
        <v>860</v>
      </c>
      <c r="E499" s="3" t="s">
        <v>2186</v>
      </c>
      <c r="F499" s="3" t="s">
        <v>1349</v>
      </c>
      <c r="G499" s="3" t="s">
        <v>6245</v>
      </c>
      <c r="H499" s="6">
        <v>12512.64</v>
      </c>
      <c r="I499" s="18"/>
    </row>
    <row r="500" spans="1:9" ht="15.75" customHeight="1" x14ac:dyDescent="0.35">
      <c r="A500" s="15"/>
      <c r="B500" s="3" t="s">
        <v>498</v>
      </c>
      <c r="C500" s="3" t="s">
        <v>3046</v>
      </c>
      <c r="D500" s="3" t="s">
        <v>861</v>
      </c>
      <c r="E500" s="3" t="s">
        <v>2187</v>
      </c>
      <c r="F500" s="3" t="s">
        <v>1350</v>
      </c>
      <c r="G500" s="3" t="s">
        <v>3758</v>
      </c>
      <c r="H500" s="6">
        <v>14518.431999999999</v>
      </c>
      <c r="I500" s="18"/>
    </row>
    <row r="501" spans="1:9" ht="15.75" customHeight="1" x14ac:dyDescent="0.35">
      <c r="A501" s="15"/>
      <c r="B501" s="3" t="s">
        <v>499</v>
      </c>
      <c r="C501" s="3" t="s">
        <v>3047</v>
      </c>
      <c r="D501" s="3" t="s">
        <v>861</v>
      </c>
      <c r="E501" s="3" t="s">
        <v>2188</v>
      </c>
      <c r="F501" s="3" t="s">
        <v>1351</v>
      </c>
      <c r="G501" s="3" t="s">
        <v>5831</v>
      </c>
      <c r="H501" s="6">
        <v>32504.895999999997</v>
      </c>
      <c r="I501" s="18"/>
    </row>
    <row r="502" spans="1:9" ht="15.75" customHeight="1" x14ac:dyDescent="0.35">
      <c r="A502" s="15"/>
      <c r="B502" s="3" t="s">
        <v>500</v>
      </c>
      <c r="C502" s="3" t="s">
        <v>3048</v>
      </c>
      <c r="D502" s="3" t="s">
        <v>861</v>
      </c>
      <c r="E502" s="3" t="s">
        <v>2189</v>
      </c>
      <c r="F502" s="3" t="s">
        <v>1352</v>
      </c>
      <c r="G502" s="3" t="s">
        <v>3764</v>
      </c>
      <c r="H502" s="6">
        <v>15986.751999999999</v>
      </c>
      <c r="I502" s="18"/>
    </row>
    <row r="503" spans="1:9" ht="15.75" customHeight="1" x14ac:dyDescent="0.35">
      <c r="A503" s="15"/>
      <c r="B503" s="3" t="s">
        <v>501</v>
      </c>
      <c r="C503" s="3" t="s">
        <v>3049</v>
      </c>
      <c r="D503" s="3" t="s">
        <v>861</v>
      </c>
      <c r="E503" s="3" t="s">
        <v>2190</v>
      </c>
      <c r="F503" s="3" t="s">
        <v>1353</v>
      </c>
      <c r="G503" s="3" t="s">
        <v>3764</v>
      </c>
      <c r="H503" s="6">
        <v>15360.511999999999</v>
      </c>
      <c r="I503" s="18"/>
    </row>
    <row r="504" spans="1:9" ht="15.75" customHeight="1" x14ac:dyDescent="0.35">
      <c r="A504" s="15"/>
      <c r="B504" s="3" t="s">
        <v>502</v>
      </c>
      <c r="C504" s="3" t="s">
        <v>3050</v>
      </c>
      <c r="D504" s="3" t="s">
        <v>860</v>
      </c>
      <c r="E504" s="3" t="s">
        <v>2191</v>
      </c>
      <c r="F504" s="3" t="s">
        <v>1354</v>
      </c>
      <c r="G504" s="3" t="s">
        <v>3765</v>
      </c>
      <c r="H504" s="6">
        <v>10453.343999999999</v>
      </c>
      <c r="I504" s="18"/>
    </row>
    <row r="505" spans="1:9" ht="15.75" customHeight="1" x14ac:dyDescent="0.35">
      <c r="A505" s="15"/>
      <c r="B505" s="3" t="s">
        <v>503</v>
      </c>
      <c r="C505" s="3" t="s">
        <v>3051</v>
      </c>
      <c r="D505" s="3" t="s">
        <v>860</v>
      </c>
      <c r="E505" s="3" t="s">
        <v>2192</v>
      </c>
      <c r="F505" s="3" t="s">
        <v>1355</v>
      </c>
      <c r="G505" s="3" t="s">
        <v>3766</v>
      </c>
      <c r="H505" s="6">
        <v>31933.984</v>
      </c>
      <c r="I505" s="18"/>
    </row>
    <row r="506" spans="1:9" ht="15.75" customHeight="1" x14ac:dyDescent="0.35">
      <c r="A506" s="15"/>
      <c r="B506" s="3" t="s">
        <v>504</v>
      </c>
      <c r="C506" s="3" t="s">
        <v>3052</v>
      </c>
      <c r="D506" s="3" t="s">
        <v>861</v>
      </c>
      <c r="E506" s="3" t="s">
        <v>2193</v>
      </c>
      <c r="F506" s="3" t="s">
        <v>1356</v>
      </c>
      <c r="G506" s="3" t="s">
        <v>3766</v>
      </c>
      <c r="H506" s="6">
        <v>21807.743999999999</v>
      </c>
      <c r="I506" s="18"/>
    </row>
    <row r="507" spans="1:9" ht="15.75" customHeight="1" x14ac:dyDescent="0.35">
      <c r="A507" s="15"/>
      <c r="B507" s="3" t="s">
        <v>505</v>
      </c>
      <c r="C507" s="3" t="s">
        <v>3053</v>
      </c>
      <c r="D507" s="3" t="s">
        <v>861</v>
      </c>
      <c r="E507" s="3" t="s">
        <v>2194</v>
      </c>
      <c r="F507" s="3" t="s">
        <v>1357</v>
      </c>
      <c r="G507" s="3" t="s">
        <v>3767</v>
      </c>
      <c r="H507" s="6">
        <v>33467.968000000001</v>
      </c>
      <c r="I507" s="18"/>
    </row>
    <row r="508" spans="1:9" ht="15.75" customHeight="1" x14ac:dyDescent="0.35">
      <c r="A508" s="15"/>
      <c r="B508" s="3" t="s">
        <v>506</v>
      </c>
      <c r="C508" s="3" t="s">
        <v>3054</v>
      </c>
      <c r="D508" s="3" t="s">
        <v>860</v>
      </c>
      <c r="E508" s="3" t="s">
        <v>2195</v>
      </c>
      <c r="F508" s="3" t="s">
        <v>1358</v>
      </c>
      <c r="G508" s="3" t="s">
        <v>3767</v>
      </c>
      <c r="H508" s="6">
        <v>12687.135999999999</v>
      </c>
      <c r="I508" s="18"/>
    </row>
    <row r="509" spans="1:9" ht="15.75" customHeight="1" x14ac:dyDescent="0.35">
      <c r="A509" s="15"/>
      <c r="B509" s="3" t="s">
        <v>507</v>
      </c>
      <c r="C509" s="3" t="s">
        <v>3055</v>
      </c>
      <c r="D509" s="3" t="s">
        <v>860</v>
      </c>
      <c r="E509" s="3" t="s">
        <v>2196</v>
      </c>
      <c r="F509" s="3" t="s">
        <v>1359</v>
      </c>
      <c r="G509" s="3" t="s">
        <v>3768</v>
      </c>
      <c r="H509" s="6">
        <v>22606.047999999999</v>
      </c>
      <c r="I509" s="18"/>
    </row>
    <row r="510" spans="1:9" ht="15.75" customHeight="1" x14ac:dyDescent="0.35">
      <c r="A510" s="15"/>
      <c r="B510" s="3" t="s">
        <v>508</v>
      </c>
      <c r="C510" s="3" t="s">
        <v>3056</v>
      </c>
      <c r="D510" s="3" t="s">
        <v>860</v>
      </c>
      <c r="E510" s="3" t="s">
        <v>2197</v>
      </c>
      <c r="F510" s="3" t="s">
        <v>1360</v>
      </c>
      <c r="G510" s="3" t="s">
        <v>5635</v>
      </c>
      <c r="H510" s="6">
        <v>48970.752</v>
      </c>
      <c r="I510" s="18"/>
    </row>
    <row r="511" spans="1:9" ht="15.75" customHeight="1" x14ac:dyDescent="0.35">
      <c r="A511" s="15"/>
      <c r="B511" s="3" t="s">
        <v>509</v>
      </c>
      <c r="C511" s="3" t="s">
        <v>3057</v>
      </c>
      <c r="D511" s="3" t="s">
        <v>861</v>
      </c>
      <c r="E511" s="3" t="s">
        <v>2198</v>
      </c>
      <c r="F511" s="3" t="s">
        <v>1361</v>
      </c>
      <c r="G511" s="3" t="s">
        <v>3769</v>
      </c>
      <c r="H511" s="6">
        <v>14930.655999999999</v>
      </c>
      <c r="I511" s="18"/>
    </row>
    <row r="512" spans="1:9" ht="15.75" customHeight="1" x14ac:dyDescent="0.35">
      <c r="A512" s="15"/>
      <c r="B512" s="3" t="s">
        <v>510</v>
      </c>
      <c r="C512" s="3" t="s">
        <v>3058</v>
      </c>
      <c r="D512" s="3" t="s">
        <v>861</v>
      </c>
      <c r="E512" s="3" t="s">
        <v>2199</v>
      </c>
      <c r="F512" s="3" t="s">
        <v>1362</v>
      </c>
      <c r="G512" s="3" t="s">
        <v>6246</v>
      </c>
      <c r="H512" s="6">
        <v>10351.807999999999</v>
      </c>
      <c r="I512" s="18"/>
    </row>
    <row r="513" spans="1:9" ht="15.75" customHeight="1" x14ac:dyDescent="0.35">
      <c r="A513" s="15"/>
      <c r="B513" s="3" t="s">
        <v>511</v>
      </c>
      <c r="C513" s="3" t="s">
        <v>3059</v>
      </c>
      <c r="D513" s="3" t="s">
        <v>860</v>
      </c>
      <c r="E513" s="3" t="s">
        <v>2200</v>
      </c>
      <c r="F513" s="3" t="s">
        <v>1363</v>
      </c>
      <c r="G513" s="3" t="s">
        <v>3771</v>
      </c>
      <c r="H513" s="6">
        <v>31986.272000000001</v>
      </c>
      <c r="I513" s="18"/>
    </row>
    <row r="514" spans="1:9" ht="15.75" customHeight="1" x14ac:dyDescent="0.35">
      <c r="A514" s="15"/>
      <c r="B514" s="3" t="s">
        <v>512</v>
      </c>
      <c r="C514" s="3" t="s">
        <v>3060</v>
      </c>
      <c r="D514" s="3" t="s">
        <v>860</v>
      </c>
      <c r="E514" s="3" t="s">
        <v>2201</v>
      </c>
      <c r="F514" s="3" t="s">
        <v>1364</v>
      </c>
      <c r="G514" s="3" t="s">
        <v>3772</v>
      </c>
      <c r="H514" s="6">
        <v>17062.304</v>
      </c>
      <c r="I514" s="18"/>
    </row>
    <row r="515" spans="1:9" ht="15.75" customHeight="1" x14ac:dyDescent="0.35">
      <c r="A515" s="15"/>
      <c r="B515" s="3" t="s">
        <v>513</v>
      </c>
      <c r="C515" s="3" t="s">
        <v>3061</v>
      </c>
      <c r="D515" s="3" t="s">
        <v>861</v>
      </c>
      <c r="E515" s="3" t="s">
        <v>2202</v>
      </c>
      <c r="F515" s="3" t="s">
        <v>1365</v>
      </c>
      <c r="G515" s="3" t="s">
        <v>3772</v>
      </c>
      <c r="H515" s="6">
        <v>10177.311999999998</v>
      </c>
      <c r="I515" s="18"/>
    </row>
    <row r="516" spans="1:9" ht="15.75" customHeight="1" x14ac:dyDescent="0.35">
      <c r="A516" s="15"/>
      <c r="B516" s="3" t="s">
        <v>514</v>
      </c>
      <c r="C516" s="3" t="s">
        <v>3062</v>
      </c>
      <c r="D516" s="3" t="s">
        <v>861</v>
      </c>
      <c r="E516" s="3" t="s">
        <v>2203</v>
      </c>
      <c r="F516" s="3" t="s">
        <v>1366</v>
      </c>
      <c r="G516" s="3" t="s">
        <v>5723</v>
      </c>
      <c r="H516" s="6">
        <v>45940.479999999996</v>
      </c>
      <c r="I516" s="18"/>
    </row>
    <row r="517" spans="1:9" ht="15.75" customHeight="1" x14ac:dyDescent="0.35">
      <c r="A517" s="15"/>
      <c r="B517" s="3" t="s">
        <v>515</v>
      </c>
      <c r="C517" s="3" t="s">
        <v>3063</v>
      </c>
      <c r="D517" s="3" t="s">
        <v>861</v>
      </c>
      <c r="E517" s="3" t="s">
        <v>2204</v>
      </c>
      <c r="F517" s="3" t="s">
        <v>1367</v>
      </c>
      <c r="G517" s="3" t="s">
        <v>3773</v>
      </c>
      <c r="H517" s="6">
        <v>36984.639999999992</v>
      </c>
      <c r="I517" s="18"/>
    </row>
    <row r="518" spans="1:9" ht="15.75" customHeight="1" x14ac:dyDescent="0.35">
      <c r="A518" s="15"/>
      <c r="B518" s="3" t="s">
        <v>516</v>
      </c>
      <c r="C518" s="3" t="s">
        <v>3064</v>
      </c>
      <c r="D518" s="3" t="s">
        <v>861</v>
      </c>
      <c r="E518" s="3" t="s">
        <v>2205</v>
      </c>
      <c r="F518" s="3" t="s">
        <v>1368</v>
      </c>
      <c r="G518" s="3" t="s">
        <v>3774</v>
      </c>
      <c r="H518" s="6">
        <v>37773.823999999993</v>
      </c>
      <c r="I518" s="18"/>
    </row>
    <row r="519" spans="1:9" ht="15.75" customHeight="1" x14ac:dyDescent="0.35">
      <c r="A519" s="15"/>
      <c r="B519" s="3" t="s">
        <v>517</v>
      </c>
      <c r="C519" s="3" t="s">
        <v>3065</v>
      </c>
      <c r="D519" s="3" t="s">
        <v>860</v>
      </c>
      <c r="E519" s="3" t="s">
        <v>2206</v>
      </c>
      <c r="F519" s="3" t="s">
        <v>1369</v>
      </c>
      <c r="G519" s="3" t="s">
        <v>6247</v>
      </c>
      <c r="H519" s="6">
        <v>13040.383999999998</v>
      </c>
      <c r="I519" s="18"/>
    </row>
    <row r="520" spans="1:9" ht="15.75" customHeight="1" x14ac:dyDescent="0.35">
      <c r="A520" s="15"/>
      <c r="B520" s="3" t="s">
        <v>518</v>
      </c>
      <c r="C520" s="3" t="s">
        <v>3066</v>
      </c>
      <c r="D520" s="3" t="s">
        <v>861</v>
      </c>
      <c r="E520" s="3" t="s">
        <v>2207</v>
      </c>
      <c r="F520" s="3" t="s">
        <v>1370</v>
      </c>
      <c r="G520" s="3" t="s">
        <v>3775</v>
      </c>
      <c r="H520" s="6">
        <v>19397.023999999998</v>
      </c>
      <c r="I520" s="18"/>
    </row>
    <row r="521" spans="1:9" ht="15.75" customHeight="1" x14ac:dyDescent="0.35">
      <c r="A521" s="15"/>
      <c r="B521" s="3" t="s">
        <v>519</v>
      </c>
      <c r="C521" s="3" t="s">
        <v>3067</v>
      </c>
      <c r="D521" s="3" t="s">
        <v>860</v>
      </c>
      <c r="E521" s="3" t="s">
        <v>2208</v>
      </c>
      <c r="F521" s="3" t="s">
        <v>1371</v>
      </c>
      <c r="G521" s="3" t="s">
        <v>3777</v>
      </c>
      <c r="H521" s="6">
        <v>13973.664000000001</v>
      </c>
      <c r="I521" s="18"/>
    </row>
    <row r="522" spans="1:9" ht="15.75" customHeight="1" x14ac:dyDescent="0.35">
      <c r="A522" s="15"/>
      <c r="B522" s="3" t="s">
        <v>520</v>
      </c>
      <c r="C522" s="3" t="s">
        <v>3068</v>
      </c>
      <c r="D522" s="3" t="s">
        <v>860</v>
      </c>
      <c r="E522" s="3" t="s">
        <v>2209</v>
      </c>
      <c r="F522" s="3" t="s">
        <v>1372</v>
      </c>
      <c r="G522" s="3" t="s">
        <v>3777</v>
      </c>
      <c r="H522" s="6">
        <v>45499.072</v>
      </c>
      <c r="I522" s="18"/>
    </row>
    <row r="523" spans="1:9" ht="15.75" customHeight="1" x14ac:dyDescent="0.35">
      <c r="A523" s="15"/>
      <c r="B523" s="3" t="s">
        <v>521</v>
      </c>
      <c r="C523" s="3" t="s">
        <v>3069</v>
      </c>
      <c r="D523" s="3" t="s">
        <v>861</v>
      </c>
      <c r="E523" s="3" t="s">
        <v>2210</v>
      </c>
      <c r="F523" s="3" t="s">
        <v>1373</v>
      </c>
      <c r="G523" s="3" t="s">
        <v>3778</v>
      </c>
      <c r="H523" s="6">
        <v>18889.951999999997</v>
      </c>
      <c r="I523" s="18"/>
    </row>
    <row r="524" spans="1:9" ht="15.75" customHeight="1" x14ac:dyDescent="0.35">
      <c r="A524" s="15"/>
      <c r="B524" s="3" t="s">
        <v>522</v>
      </c>
      <c r="C524" s="3" t="s">
        <v>3070</v>
      </c>
      <c r="D524" s="3" t="s">
        <v>861</v>
      </c>
      <c r="E524" s="3" t="s">
        <v>2211</v>
      </c>
      <c r="F524" s="3" t="s">
        <v>1374</v>
      </c>
      <c r="G524" s="3" t="s">
        <v>3779</v>
      </c>
      <c r="H524" s="6">
        <v>30233.407999999999</v>
      </c>
      <c r="I524" s="18"/>
    </row>
    <row r="525" spans="1:9" ht="15.75" customHeight="1" x14ac:dyDescent="0.35">
      <c r="A525" s="15"/>
      <c r="B525" s="3" t="s">
        <v>523</v>
      </c>
      <c r="C525" s="3" t="s">
        <v>3071</v>
      </c>
      <c r="D525" s="3" t="s">
        <v>861</v>
      </c>
      <c r="E525" s="3" t="s">
        <v>2212</v>
      </c>
      <c r="F525" s="3" t="s">
        <v>1375</v>
      </c>
      <c r="G525" s="3" t="s">
        <v>6248</v>
      </c>
      <c r="H525" s="6">
        <v>20312.063999999998</v>
      </c>
      <c r="I525" s="18"/>
    </row>
    <row r="526" spans="1:9" ht="15.75" customHeight="1" x14ac:dyDescent="0.35">
      <c r="A526" s="15"/>
      <c r="B526" s="3" t="s">
        <v>524</v>
      </c>
      <c r="C526" s="3" t="s">
        <v>3072</v>
      </c>
      <c r="D526" s="3" t="s">
        <v>860</v>
      </c>
      <c r="E526" s="3" t="s">
        <v>2213</v>
      </c>
      <c r="F526" s="3" t="s">
        <v>1376</v>
      </c>
      <c r="G526" s="3" t="s">
        <v>3780</v>
      </c>
      <c r="H526" s="6">
        <v>19337.439999999999</v>
      </c>
      <c r="I526" s="18"/>
    </row>
    <row r="527" spans="1:9" ht="15.75" customHeight="1" x14ac:dyDescent="0.35">
      <c r="A527" s="15"/>
      <c r="B527" s="3" t="s">
        <v>525</v>
      </c>
      <c r="C527" s="3" t="s">
        <v>3073</v>
      </c>
      <c r="D527" s="3" t="s">
        <v>861</v>
      </c>
      <c r="E527" s="3" t="s">
        <v>2214</v>
      </c>
      <c r="F527" s="3" t="s">
        <v>1377</v>
      </c>
      <c r="G527" s="3" t="s">
        <v>3781</v>
      </c>
      <c r="H527" s="6">
        <v>15360.511999999999</v>
      </c>
      <c r="I527" s="18"/>
    </row>
    <row r="528" spans="1:9" ht="15.75" customHeight="1" x14ac:dyDescent="0.35">
      <c r="A528" s="15"/>
      <c r="B528" s="3" t="s">
        <v>526</v>
      </c>
      <c r="C528" s="3" t="s">
        <v>3074</v>
      </c>
      <c r="D528" s="3" t="s">
        <v>860</v>
      </c>
      <c r="E528" s="3" t="s">
        <v>2215</v>
      </c>
      <c r="F528" s="3" t="s">
        <v>1093</v>
      </c>
      <c r="G528" s="3" t="s">
        <v>3782</v>
      </c>
      <c r="H528" s="6">
        <v>34124.608</v>
      </c>
      <c r="I528" s="18"/>
    </row>
    <row r="529" spans="1:9" ht="15.75" customHeight="1" x14ac:dyDescent="0.35">
      <c r="A529" s="15"/>
      <c r="B529" s="3" t="s">
        <v>527</v>
      </c>
      <c r="C529" s="3" t="s">
        <v>3075</v>
      </c>
      <c r="D529" s="3" t="s">
        <v>860</v>
      </c>
      <c r="E529" s="3" t="s">
        <v>2216</v>
      </c>
      <c r="F529" s="3" t="s">
        <v>1378</v>
      </c>
      <c r="G529" s="3" t="s">
        <v>3783</v>
      </c>
      <c r="H529" s="6">
        <v>12512.64</v>
      </c>
      <c r="I529" s="18"/>
    </row>
    <row r="530" spans="1:9" ht="15.75" customHeight="1" x14ac:dyDescent="0.35">
      <c r="A530" s="15"/>
      <c r="B530" s="3" t="s">
        <v>528</v>
      </c>
      <c r="C530" s="3" t="s">
        <v>3076</v>
      </c>
      <c r="D530" s="3" t="s">
        <v>860</v>
      </c>
      <c r="E530" s="3" t="s">
        <v>2217</v>
      </c>
      <c r="F530" s="3" t="s">
        <v>1379</v>
      </c>
      <c r="G530" s="3" t="s">
        <v>3783</v>
      </c>
      <c r="H530" s="6">
        <v>12057.248</v>
      </c>
      <c r="I530" s="18"/>
    </row>
    <row r="531" spans="1:9" ht="15.75" customHeight="1" x14ac:dyDescent="0.35">
      <c r="A531" s="15"/>
      <c r="B531" s="3" t="s">
        <v>529</v>
      </c>
      <c r="C531" s="3" t="s">
        <v>3077</v>
      </c>
      <c r="D531" s="3" t="s">
        <v>861</v>
      </c>
      <c r="E531" s="3" t="s">
        <v>2218</v>
      </c>
      <c r="F531" s="3" t="s">
        <v>1380</v>
      </c>
      <c r="G531" s="3" t="s">
        <v>3783</v>
      </c>
      <c r="H531" s="6">
        <v>79623.071999999986</v>
      </c>
      <c r="I531" s="18"/>
    </row>
    <row r="532" spans="1:9" ht="15.75" customHeight="1" x14ac:dyDescent="0.35">
      <c r="A532" s="15"/>
      <c r="B532" s="3" t="s">
        <v>530</v>
      </c>
      <c r="C532" s="3" t="s">
        <v>3078</v>
      </c>
      <c r="D532" s="3" t="s">
        <v>861</v>
      </c>
      <c r="E532" s="3" t="s">
        <v>2219</v>
      </c>
      <c r="F532" s="3" t="s">
        <v>1381</v>
      </c>
      <c r="G532" s="3" t="s">
        <v>6249</v>
      </c>
      <c r="H532" s="6">
        <v>21788.896000000001</v>
      </c>
      <c r="I532" s="18"/>
    </row>
    <row r="533" spans="1:9" ht="15.75" customHeight="1" x14ac:dyDescent="0.35">
      <c r="A533" s="15"/>
      <c r="B533" s="3" t="s">
        <v>531</v>
      </c>
      <c r="C533" s="3" t="s">
        <v>3079</v>
      </c>
      <c r="D533" s="3" t="s">
        <v>860</v>
      </c>
      <c r="E533" s="3" t="s">
        <v>2220</v>
      </c>
      <c r="F533" s="3" t="s">
        <v>1382</v>
      </c>
      <c r="G533" s="3" t="s">
        <v>6250</v>
      </c>
      <c r="H533" s="6">
        <v>12665.248</v>
      </c>
      <c r="I533" s="18"/>
    </row>
    <row r="534" spans="1:9" ht="15.75" customHeight="1" x14ac:dyDescent="0.35">
      <c r="A534" s="15"/>
      <c r="B534" s="3" t="s">
        <v>532</v>
      </c>
      <c r="C534" s="3" t="s">
        <v>3080</v>
      </c>
      <c r="D534" s="3" t="s">
        <v>860</v>
      </c>
      <c r="E534" s="3" t="s">
        <v>2221</v>
      </c>
      <c r="F534" s="3" t="s">
        <v>1383</v>
      </c>
      <c r="G534" s="3" t="s">
        <v>3784</v>
      </c>
      <c r="H534" s="6">
        <v>12415.968000000001</v>
      </c>
      <c r="I534" s="18"/>
    </row>
    <row r="535" spans="1:9" ht="15.75" customHeight="1" x14ac:dyDescent="0.35">
      <c r="A535" s="15"/>
      <c r="B535" s="3" t="s">
        <v>533</v>
      </c>
      <c r="C535" s="3" t="s">
        <v>3081</v>
      </c>
      <c r="D535" s="3" t="s">
        <v>861</v>
      </c>
      <c r="E535" s="3" t="s">
        <v>2222</v>
      </c>
      <c r="F535" s="3" t="s">
        <v>1384</v>
      </c>
      <c r="G535" s="3" t="s">
        <v>3784</v>
      </c>
      <c r="H535" s="6">
        <v>57426.207999999999</v>
      </c>
      <c r="I535" s="18"/>
    </row>
    <row r="536" spans="1:9" ht="15.75" customHeight="1" x14ac:dyDescent="0.35">
      <c r="A536" s="15"/>
      <c r="B536" s="3" t="s">
        <v>534</v>
      </c>
      <c r="C536" s="3" t="s">
        <v>3082</v>
      </c>
      <c r="D536" s="3" t="s">
        <v>860</v>
      </c>
      <c r="E536" s="3" t="s">
        <v>2223</v>
      </c>
      <c r="F536" s="3" t="s">
        <v>1385</v>
      </c>
      <c r="G536" s="3" t="s">
        <v>6003</v>
      </c>
      <c r="H536" s="6">
        <v>28101.151999999998</v>
      </c>
      <c r="I536" s="18"/>
    </row>
    <row r="537" spans="1:9" ht="15.75" customHeight="1" x14ac:dyDescent="0.35">
      <c r="A537" s="15"/>
      <c r="B537" s="3" t="s">
        <v>535</v>
      </c>
      <c r="C537" s="3" t="s">
        <v>3083</v>
      </c>
      <c r="D537" s="3" t="s">
        <v>861</v>
      </c>
      <c r="E537" s="3" t="s">
        <v>2224</v>
      </c>
      <c r="F537" s="3" t="s">
        <v>1386</v>
      </c>
      <c r="G537" s="3" t="s">
        <v>6251</v>
      </c>
      <c r="H537" s="6">
        <v>25292.495999999999</v>
      </c>
      <c r="I537" s="18"/>
    </row>
    <row r="538" spans="1:9" ht="15.75" customHeight="1" x14ac:dyDescent="0.35">
      <c r="A538" s="15"/>
      <c r="B538" s="3" t="s">
        <v>536</v>
      </c>
      <c r="C538" s="3" t="s">
        <v>3084</v>
      </c>
      <c r="D538" s="3" t="s">
        <v>861</v>
      </c>
      <c r="E538" s="3" t="s">
        <v>2225</v>
      </c>
      <c r="F538" s="3" t="s">
        <v>1171</v>
      </c>
      <c r="G538" s="3" t="s">
        <v>3785</v>
      </c>
      <c r="H538" s="6">
        <v>34124.608</v>
      </c>
      <c r="I538" s="18"/>
    </row>
    <row r="539" spans="1:9" ht="15.75" customHeight="1" x14ac:dyDescent="0.35">
      <c r="A539" s="15"/>
      <c r="B539" s="3" t="s">
        <v>537</v>
      </c>
      <c r="C539" s="3" t="s">
        <v>3085</v>
      </c>
      <c r="D539" s="3" t="s">
        <v>860</v>
      </c>
      <c r="E539" s="3" t="s">
        <v>2226</v>
      </c>
      <c r="F539" s="3" t="s">
        <v>1387</v>
      </c>
      <c r="G539" s="3" t="s">
        <v>6252</v>
      </c>
      <c r="H539" s="6">
        <v>18965.344000000001</v>
      </c>
      <c r="I539" s="18"/>
    </row>
    <row r="540" spans="1:9" ht="15.75" customHeight="1" x14ac:dyDescent="0.35">
      <c r="A540" s="15"/>
      <c r="B540" s="3" t="s">
        <v>538</v>
      </c>
      <c r="C540" s="3" t="s">
        <v>3086</v>
      </c>
      <c r="D540" s="3" t="s">
        <v>860</v>
      </c>
      <c r="E540" s="3" t="s">
        <v>2227</v>
      </c>
      <c r="F540" s="3" t="s">
        <v>1388</v>
      </c>
      <c r="G540" s="3" t="s">
        <v>5713</v>
      </c>
      <c r="H540" s="6">
        <v>11829.856</v>
      </c>
      <c r="I540" s="18"/>
    </row>
    <row r="541" spans="1:9" ht="15.75" customHeight="1" x14ac:dyDescent="0.35">
      <c r="A541" s="15"/>
      <c r="B541" s="3" t="s">
        <v>539</v>
      </c>
      <c r="C541" s="3" t="s">
        <v>3087</v>
      </c>
      <c r="D541" s="3" t="s">
        <v>861</v>
      </c>
      <c r="E541" s="3" t="s">
        <v>2228</v>
      </c>
      <c r="F541" s="3" t="s">
        <v>1389</v>
      </c>
      <c r="G541" s="3" t="s">
        <v>3786</v>
      </c>
      <c r="H541" s="6">
        <v>20383.2</v>
      </c>
      <c r="I541" s="18"/>
    </row>
    <row r="542" spans="1:9" ht="15.75" customHeight="1" x14ac:dyDescent="0.35">
      <c r="A542" s="15"/>
      <c r="B542" s="3" t="s">
        <v>540</v>
      </c>
      <c r="C542" s="3" t="s">
        <v>3088</v>
      </c>
      <c r="D542" s="3" t="s">
        <v>861</v>
      </c>
      <c r="E542" s="3" t="s">
        <v>2229</v>
      </c>
      <c r="F542" s="3" t="s">
        <v>1390</v>
      </c>
      <c r="G542" s="3" t="s">
        <v>3787</v>
      </c>
      <c r="H542" s="6">
        <v>25250.847999999998</v>
      </c>
      <c r="I542" s="18"/>
    </row>
    <row r="543" spans="1:9" ht="15.75" customHeight="1" x14ac:dyDescent="0.35">
      <c r="A543" s="15"/>
      <c r="B543" s="3" t="s">
        <v>541</v>
      </c>
      <c r="C543" s="3" t="s">
        <v>3089</v>
      </c>
      <c r="D543" s="3" t="s">
        <v>861</v>
      </c>
      <c r="E543" s="3" t="s">
        <v>2230</v>
      </c>
      <c r="F543" s="3" t="s">
        <v>1391</v>
      </c>
      <c r="G543" s="3" t="s">
        <v>3788</v>
      </c>
      <c r="H543" s="6">
        <v>18199.263999999999</v>
      </c>
      <c r="I543" s="18"/>
    </row>
    <row r="544" spans="1:9" ht="15.75" customHeight="1" x14ac:dyDescent="0.35">
      <c r="A544" s="15"/>
      <c r="B544" s="3" t="s">
        <v>542</v>
      </c>
      <c r="C544" s="3" t="s">
        <v>3090</v>
      </c>
      <c r="D544" s="3" t="s">
        <v>861</v>
      </c>
      <c r="E544" s="3" t="s">
        <v>2231</v>
      </c>
      <c r="F544" s="3" t="s">
        <v>1392</v>
      </c>
      <c r="G544" s="3" t="s">
        <v>3788</v>
      </c>
      <c r="H544" s="6">
        <v>85592.415999999997</v>
      </c>
      <c r="I544" s="18"/>
    </row>
    <row r="545" spans="1:9" ht="15.75" customHeight="1" x14ac:dyDescent="0.35">
      <c r="A545" s="15"/>
      <c r="B545" s="3" t="s">
        <v>543</v>
      </c>
      <c r="C545" s="3" t="s">
        <v>3091</v>
      </c>
      <c r="D545" s="3" t="s">
        <v>861</v>
      </c>
      <c r="E545" s="3" t="s">
        <v>2232</v>
      </c>
      <c r="F545" s="3" t="s">
        <v>1393</v>
      </c>
      <c r="G545" s="3" t="s">
        <v>3789</v>
      </c>
      <c r="H545" s="6">
        <v>21140.16</v>
      </c>
      <c r="I545" s="18"/>
    </row>
    <row r="546" spans="1:9" ht="15.75" customHeight="1" x14ac:dyDescent="0.35">
      <c r="A546" s="15"/>
      <c r="B546" s="3" t="s">
        <v>544</v>
      </c>
      <c r="C546" s="3" t="s">
        <v>3092</v>
      </c>
      <c r="D546" s="3" t="s">
        <v>861</v>
      </c>
      <c r="E546" s="3" t="s">
        <v>2233</v>
      </c>
      <c r="F546" s="3" t="s">
        <v>1394</v>
      </c>
      <c r="G546" s="3" t="s">
        <v>3790</v>
      </c>
      <c r="H546" s="6">
        <v>36006.368000000002</v>
      </c>
      <c r="I546" s="18"/>
    </row>
    <row r="547" spans="1:9" ht="15.75" customHeight="1" x14ac:dyDescent="0.35">
      <c r="A547" s="15"/>
      <c r="B547" s="3" t="s">
        <v>545</v>
      </c>
      <c r="C547" s="3" t="s">
        <v>3093</v>
      </c>
      <c r="D547" s="3" t="s">
        <v>861</v>
      </c>
      <c r="E547" s="3" t="s">
        <v>2234</v>
      </c>
      <c r="F547" s="3" t="s">
        <v>1395</v>
      </c>
      <c r="G547" s="3" t="s">
        <v>3790</v>
      </c>
      <c r="H547" s="6">
        <v>10658.24</v>
      </c>
      <c r="I547" s="18"/>
    </row>
    <row r="548" spans="1:9" ht="15.75" customHeight="1" x14ac:dyDescent="0.35">
      <c r="A548" s="15"/>
      <c r="B548" s="3" t="s">
        <v>546</v>
      </c>
      <c r="C548" s="3" t="s">
        <v>3094</v>
      </c>
      <c r="D548" s="3" t="s">
        <v>861</v>
      </c>
      <c r="E548" s="3" t="s">
        <v>2235</v>
      </c>
      <c r="F548" s="3" t="s">
        <v>1396</v>
      </c>
      <c r="G548" s="3" t="s">
        <v>5830</v>
      </c>
      <c r="H548" s="6">
        <v>23416.511999999999</v>
      </c>
      <c r="I548" s="18"/>
    </row>
    <row r="549" spans="1:9" ht="15.75" customHeight="1" x14ac:dyDescent="0.35">
      <c r="A549" s="15"/>
      <c r="B549" s="3" t="s">
        <v>547</v>
      </c>
      <c r="C549" s="3" t="s">
        <v>3095</v>
      </c>
      <c r="D549" s="3" t="s">
        <v>861</v>
      </c>
      <c r="E549" s="3" t="s">
        <v>2236</v>
      </c>
      <c r="F549" s="3" t="s">
        <v>1397</v>
      </c>
      <c r="G549" s="3" t="s">
        <v>5555</v>
      </c>
      <c r="H549" s="6">
        <v>34486.976000000002</v>
      </c>
      <c r="I549" s="18"/>
    </row>
    <row r="550" spans="1:9" ht="15.75" customHeight="1" x14ac:dyDescent="0.35">
      <c r="A550" s="15"/>
      <c r="B550" s="3" t="s">
        <v>548</v>
      </c>
      <c r="C550" s="3" t="s">
        <v>3096</v>
      </c>
      <c r="D550" s="3" t="s">
        <v>860</v>
      </c>
      <c r="E550" s="3" t="s">
        <v>2237</v>
      </c>
      <c r="F550" s="3" t="s">
        <v>1398</v>
      </c>
      <c r="G550" s="3" t="s">
        <v>3791</v>
      </c>
      <c r="H550" s="6">
        <v>20549.184000000001</v>
      </c>
      <c r="I550" s="18"/>
    </row>
    <row r="551" spans="1:9" ht="15.75" customHeight="1" x14ac:dyDescent="0.35">
      <c r="A551" s="15"/>
      <c r="B551" s="3" t="s">
        <v>549</v>
      </c>
      <c r="C551" s="3" t="s">
        <v>3097</v>
      </c>
      <c r="D551" s="3" t="s">
        <v>860</v>
      </c>
      <c r="E551" s="3" t="s">
        <v>2238</v>
      </c>
      <c r="F551" s="3" t="s">
        <v>1399</v>
      </c>
      <c r="G551" s="3" t="s">
        <v>3792</v>
      </c>
      <c r="H551" s="6">
        <v>59306.865169066667</v>
      </c>
      <c r="I551" s="18"/>
    </row>
    <row r="552" spans="1:9" ht="15.75" customHeight="1" x14ac:dyDescent="0.35">
      <c r="A552" s="15"/>
      <c r="B552" s="3" t="s">
        <v>550</v>
      </c>
      <c r="C552" s="3" t="s">
        <v>3098</v>
      </c>
      <c r="D552" s="3" t="s">
        <v>860</v>
      </c>
      <c r="E552" s="3" t="s">
        <v>2239</v>
      </c>
      <c r="F552" s="3" t="s">
        <v>1400</v>
      </c>
      <c r="G552" s="3" t="s">
        <v>3793</v>
      </c>
      <c r="H552" s="6">
        <v>12512.64</v>
      </c>
      <c r="I552" s="18"/>
    </row>
    <row r="553" spans="1:9" ht="15.75" customHeight="1" x14ac:dyDescent="0.35">
      <c r="A553" s="15"/>
      <c r="B553" s="3" t="s">
        <v>551</v>
      </c>
      <c r="C553" s="3" t="s">
        <v>3099</v>
      </c>
      <c r="D553" s="3" t="s">
        <v>861</v>
      </c>
      <c r="E553" s="3" t="s">
        <v>2240</v>
      </c>
      <c r="F553" s="3" t="s">
        <v>1401</v>
      </c>
      <c r="G553" s="3" t="s">
        <v>6253</v>
      </c>
      <c r="H553" s="6">
        <v>30863.903999999999</v>
      </c>
      <c r="I553" s="18"/>
    </row>
    <row r="554" spans="1:9" ht="15.75" customHeight="1" x14ac:dyDescent="0.35">
      <c r="A554" s="15"/>
      <c r="B554" s="3" t="s">
        <v>552</v>
      </c>
      <c r="C554" s="3" t="s">
        <v>3100</v>
      </c>
      <c r="D554" s="3" t="s">
        <v>860</v>
      </c>
      <c r="E554" s="3" t="s">
        <v>2241</v>
      </c>
      <c r="F554" s="3" t="s">
        <v>1402</v>
      </c>
      <c r="G554" s="3" t="s">
        <v>3794</v>
      </c>
      <c r="H554" s="6">
        <v>108310.944</v>
      </c>
      <c r="I554" s="18"/>
    </row>
    <row r="555" spans="1:9" ht="15.75" customHeight="1" x14ac:dyDescent="0.35">
      <c r="A555" s="15"/>
      <c r="B555" s="3" t="s">
        <v>553</v>
      </c>
      <c r="C555" s="3" t="s">
        <v>3101</v>
      </c>
      <c r="D555" s="3" t="s">
        <v>860</v>
      </c>
      <c r="E555" s="3" t="s">
        <v>2242</v>
      </c>
      <c r="F555" s="3" t="s">
        <v>1403</v>
      </c>
      <c r="G555" s="3" t="s">
        <v>3794</v>
      </c>
      <c r="H555" s="6">
        <v>52781.26166506666</v>
      </c>
      <c r="I555" s="18"/>
    </row>
    <row r="556" spans="1:9" ht="15.75" customHeight="1" x14ac:dyDescent="0.35">
      <c r="A556" s="15"/>
      <c r="B556" s="3" t="s">
        <v>554</v>
      </c>
      <c r="C556" s="3" t="s">
        <v>3102</v>
      </c>
      <c r="D556" s="3" t="s">
        <v>860</v>
      </c>
      <c r="E556" s="3" t="s">
        <v>2243</v>
      </c>
      <c r="F556" s="3" t="s">
        <v>1404</v>
      </c>
      <c r="G556" s="3" t="s">
        <v>6254</v>
      </c>
      <c r="H556" s="6">
        <v>35125.68</v>
      </c>
      <c r="I556" s="18"/>
    </row>
    <row r="557" spans="1:9" ht="15.75" customHeight="1" x14ac:dyDescent="0.35">
      <c r="A557" s="15"/>
      <c r="B557" s="3" t="s">
        <v>555</v>
      </c>
      <c r="C557" s="3" t="s">
        <v>3103</v>
      </c>
      <c r="D557" s="3" t="s">
        <v>860</v>
      </c>
      <c r="E557" s="3" t="s">
        <v>2244</v>
      </c>
      <c r="F557" s="3" t="s">
        <v>1405</v>
      </c>
      <c r="G557" s="3" t="s">
        <v>6255</v>
      </c>
      <c r="H557" s="6">
        <v>22311.776000000002</v>
      </c>
      <c r="I557" s="18"/>
    </row>
    <row r="558" spans="1:9" ht="15.75" customHeight="1" x14ac:dyDescent="0.35">
      <c r="A558" s="15"/>
      <c r="B558" s="3" t="s">
        <v>556</v>
      </c>
      <c r="C558" s="3" t="s">
        <v>3104</v>
      </c>
      <c r="D558" s="3" t="s">
        <v>861</v>
      </c>
      <c r="E558" s="3" t="s">
        <v>2245</v>
      </c>
      <c r="F558" s="3" t="s">
        <v>1406</v>
      </c>
      <c r="G558" s="3" t="s">
        <v>6255</v>
      </c>
      <c r="H558" s="6">
        <v>10148.735999999999</v>
      </c>
      <c r="I558" s="18"/>
    </row>
    <row r="559" spans="1:9" ht="15.75" customHeight="1" x14ac:dyDescent="0.35">
      <c r="A559" s="15"/>
      <c r="B559" s="3" t="s">
        <v>557</v>
      </c>
      <c r="C559" s="3" t="s">
        <v>3105</v>
      </c>
      <c r="D559" s="3" t="s">
        <v>861</v>
      </c>
      <c r="E559" s="3" t="s">
        <v>2246</v>
      </c>
      <c r="F559" s="3" t="s">
        <v>1407</v>
      </c>
      <c r="G559" s="3" t="s">
        <v>6256</v>
      </c>
      <c r="H559" s="6">
        <v>22788.448</v>
      </c>
      <c r="I559" s="18"/>
    </row>
    <row r="560" spans="1:9" ht="15.75" customHeight="1" x14ac:dyDescent="0.35">
      <c r="A560" s="15"/>
      <c r="B560" s="3" t="s">
        <v>558</v>
      </c>
      <c r="C560" s="3" t="s">
        <v>3106</v>
      </c>
      <c r="D560" s="3" t="s">
        <v>861</v>
      </c>
      <c r="E560" s="3" t="s">
        <v>2247</v>
      </c>
      <c r="F560" s="3" t="s">
        <v>1408</v>
      </c>
      <c r="G560" s="3" t="s">
        <v>3795</v>
      </c>
      <c r="H560" s="6">
        <v>36103.647999999994</v>
      </c>
      <c r="I560" s="18"/>
    </row>
    <row r="561" spans="1:9" ht="15.75" customHeight="1" x14ac:dyDescent="0.35">
      <c r="A561" s="15"/>
      <c r="B561" s="3" t="s">
        <v>559</v>
      </c>
      <c r="C561" s="3" t="s">
        <v>3107</v>
      </c>
      <c r="D561" s="3" t="s">
        <v>861</v>
      </c>
      <c r="E561" s="3" t="s">
        <v>2248</v>
      </c>
      <c r="F561" s="3" t="s">
        <v>1409</v>
      </c>
      <c r="G561" s="3" t="s">
        <v>3797</v>
      </c>
      <c r="H561" s="6">
        <v>19478.495999999999</v>
      </c>
      <c r="I561" s="18"/>
    </row>
    <row r="562" spans="1:9" ht="15.75" customHeight="1" x14ac:dyDescent="0.35">
      <c r="A562" s="15"/>
      <c r="B562" s="3" t="s">
        <v>560</v>
      </c>
      <c r="C562" s="3" t="s">
        <v>3108</v>
      </c>
      <c r="D562" s="3" t="s">
        <v>861</v>
      </c>
      <c r="E562" s="3" t="s">
        <v>2249</v>
      </c>
      <c r="F562" s="3" t="s">
        <v>1410</v>
      </c>
      <c r="G562" s="3" t="s">
        <v>3797</v>
      </c>
      <c r="H562" s="6">
        <v>14356.704</v>
      </c>
      <c r="I562" s="18"/>
    </row>
    <row r="563" spans="1:9" ht="15.75" customHeight="1" x14ac:dyDescent="0.35">
      <c r="A563" s="15"/>
      <c r="B563" s="3" t="s">
        <v>561</v>
      </c>
      <c r="C563" s="3" t="s">
        <v>3109</v>
      </c>
      <c r="D563" s="3" t="s">
        <v>860</v>
      </c>
      <c r="E563" s="3" t="s">
        <v>2250</v>
      </c>
      <c r="F563" s="3" t="s">
        <v>1411</v>
      </c>
      <c r="G563" s="3" t="s">
        <v>3797</v>
      </c>
      <c r="H563" s="6">
        <v>76561.183999999994</v>
      </c>
      <c r="I563" s="18"/>
    </row>
    <row r="564" spans="1:9" ht="15.75" customHeight="1" x14ac:dyDescent="0.35">
      <c r="A564" s="15"/>
      <c r="B564" s="3" t="s">
        <v>562</v>
      </c>
      <c r="C564" s="3" t="s">
        <v>3110</v>
      </c>
      <c r="D564" s="3" t="s">
        <v>860</v>
      </c>
      <c r="E564" s="3" t="s">
        <v>2251</v>
      </c>
      <c r="F564" s="3" t="s">
        <v>1412</v>
      </c>
      <c r="G564" s="3" t="s">
        <v>3797</v>
      </c>
      <c r="H564" s="6">
        <v>125895.52</v>
      </c>
      <c r="I564" s="18"/>
    </row>
    <row r="565" spans="1:9" ht="15.75" customHeight="1" x14ac:dyDescent="0.35">
      <c r="A565" s="15"/>
      <c r="B565" s="3" t="s">
        <v>563</v>
      </c>
      <c r="C565" s="3" t="s">
        <v>3111</v>
      </c>
      <c r="D565" s="3" t="s">
        <v>861</v>
      </c>
      <c r="E565" s="3" t="s">
        <v>2252</v>
      </c>
      <c r="F565" s="3" t="s">
        <v>1413</v>
      </c>
      <c r="G565" s="3" t="s">
        <v>6257</v>
      </c>
      <c r="H565" s="6">
        <v>17500.063999999998</v>
      </c>
      <c r="I565" s="18"/>
    </row>
    <row r="566" spans="1:9" ht="15.75" customHeight="1" x14ac:dyDescent="0.35">
      <c r="A566" s="15"/>
      <c r="B566" s="3" t="s">
        <v>564</v>
      </c>
      <c r="C566" s="3" t="s">
        <v>3112</v>
      </c>
      <c r="D566" s="3" t="s">
        <v>860</v>
      </c>
      <c r="E566" s="3" t="s">
        <v>2253</v>
      </c>
      <c r="F566" s="3" t="s">
        <v>1414</v>
      </c>
      <c r="G566" s="3" t="s">
        <v>3798</v>
      </c>
      <c r="H566" s="6">
        <v>21687.967999999997</v>
      </c>
      <c r="I566" s="18"/>
    </row>
    <row r="567" spans="1:9" ht="15.75" customHeight="1" x14ac:dyDescent="0.35">
      <c r="A567" s="15"/>
      <c r="B567" s="3" t="s">
        <v>565</v>
      </c>
      <c r="C567" s="3" t="s">
        <v>3113</v>
      </c>
      <c r="D567" s="3" t="s">
        <v>861</v>
      </c>
      <c r="E567" s="3" t="s">
        <v>2254</v>
      </c>
      <c r="F567" s="3" t="s">
        <v>1415</v>
      </c>
      <c r="G567" s="3" t="s">
        <v>5637</v>
      </c>
      <c r="H567" s="6">
        <v>34781.247999999992</v>
      </c>
      <c r="I567" s="18"/>
    </row>
    <row r="568" spans="1:9" ht="15.75" customHeight="1" x14ac:dyDescent="0.35">
      <c r="A568" s="15"/>
      <c r="B568" s="3" t="s">
        <v>566</v>
      </c>
      <c r="C568" s="3" t="s">
        <v>3114</v>
      </c>
      <c r="D568" s="3" t="s">
        <v>861</v>
      </c>
      <c r="E568" s="3" t="s">
        <v>2255</v>
      </c>
      <c r="F568" s="3" t="s">
        <v>1416</v>
      </c>
      <c r="G568" s="3" t="s">
        <v>3798</v>
      </c>
      <c r="H568" s="6">
        <v>34486.368000000002</v>
      </c>
      <c r="I568" s="18"/>
    </row>
    <row r="569" spans="1:9" ht="15.75" customHeight="1" x14ac:dyDescent="0.35">
      <c r="A569" s="15"/>
      <c r="B569" s="3" t="s">
        <v>567</v>
      </c>
      <c r="C569" s="3" t="s">
        <v>3115</v>
      </c>
      <c r="D569" s="3" t="s">
        <v>861</v>
      </c>
      <c r="E569" s="3" t="s">
        <v>2256</v>
      </c>
      <c r="F569" s="3" t="s">
        <v>1417</v>
      </c>
      <c r="G569" s="3" t="s">
        <v>6025</v>
      </c>
      <c r="H569" s="6">
        <v>34443.199999999997</v>
      </c>
      <c r="I569" s="18"/>
    </row>
    <row r="570" spans="1:9" ht="15.75" customHeight="1" x14ac:dyDescent="0.35">
      <c r="A570" s="15"/>
      <c r="B570" s="3" t="s">
        <v>568</v>
      </c>
      <c r="C570" s="3" t="s">
        <v>3116</v>
      </c>
      <c r="D570" s="3" t="s">
        <v>861</v>
      </c>
      <c r="E570" s="3" t="s">
        <v>2257</v>
      </c>
      <c r="F570" s="3" t="s">
        <v>1418</v>
      </c>
      <c r="G570" s="3" t="s">
        <v>5556</v>
      </c>
      <c r="H570" s="6">
        <v>34443.199999999997</v>
      </c>
      <c r="I570" s="18"/>
    </row>
    <row r="571" spans="1:9" ht="15.75" customHeight="1" x14ac:dyDescent="0.35">
      <c r="A571" s="15"/>
      <c r="B571" s="3" t="s">
        <v>569</v>
      </c>
      <c r="C571" s="3" t="s">
        <v>3117</v>
      </c>
      <c r="D571" s="3" t="s">
        <v>861</v>
      </c>
      <c r="E571" s="3" t="s">
        <v>2258</v>
      </c>
      <c r="F571" s="3" t="s">
        <v>1419</v>
      </c>
      <c r="G571" s="3" t="s">
        <v>3824</v>
      </c>
      <c r="H571" s="6">
        <v>38749.056000000004</v>
      </c>
      <c r="I571" s="18"/>
    </row>
    <row r="572" spans="1:9" ht="15.75" customHeight="1" x14ac:dyDescent="0.35">
      <c r="A572" s="15"/>
      <c r="B572" s="3" t="s">
        <v>570</v>
      </c>
      <c r="C572" s="3" t="s">
        <v>3118</v>
      </c>
      <c r="D572" s="3" t="s">
        <v>860</v>
      </c>
      <c r="E572" s="3" t="s">
        <v>2259</v>
      </c>
      <c r="F572" s="3" t="s">
        <v>1420</v>
      </c>
      <c r="G572" s="3" t="s">
        <v>3825</v>
      </c>
      <c r="H572" s="6">
        <v>33545.792000000001</v>
      </c>
      <c r="I572" s="18"/>
    </row>
    <row r="573" spans="1:9" ht="15.75" customHeight="1" x14ac:dyDescent="0.35">
      <c r="A573" s="15"/>
      <c r="B573" s="3" t="s">
        <v>571</v>
      </c>
      <c r="C573" s="3" t="s">
        <v>3119</v>
      </c>
      <c r="D573" s="3" t="s">
        <v>861</v>
      </c>
      <c r="E573" s="3" t="s">
        <v>2260</v>
      </c>
      <c r="F573" s="3" t="s">
        <v>1421</v>
      </c>
      <c r="G573" s="3" t="s">
        <v>5475</v>
      </c>
      <c r="H573" s="6">
        <v>34314.303999999996</v>
      </c>
      <c r="I573" s="18"/>
    </row>
    <row r="574" spans="1:9" ht="15.75" customHeight="1" x14ac:dyDescent="0.35">
      <c r="A574" s="15"/>
      <c r="B574" s="3" t="s">
        <v>572</v>
      </c>
      <c r="C574" s="3" t="s">
        <v>3120</v>
      </c>
      <c r="D574" s="3" t="s">
        <v>861</v>
      </c>
      <c r="E574" s="3" t="s">
        <v>2261</v>
      </c>
      <c r="F574" s="3" t="s">
        <v>1422</v>
      </c>
      <c r="G574" s="3" t="s">
        <v>3826</v>
      </c>
      <c r="H574" s="6">
        <v>33810.271999999997</v>
      </c>
      <c r="I574" s="18"/>
    </row>
    <row r="575" spans="1:9" ht="15.75" customHeight="1" x14ac:dyDescent="0.35">
      <c r="A575" s="15"/>
      <c r="B575" s="3" t="s">
        <v>573</v>
      </c>
      <c r="C575" s="3" t="s">
        <v>3121</v>
      </c>
      <c r="D575" s="3" t="s">
        <v>861</v>
      </c>
      <c r="E575" s="3" t="s">
        <v>2262</v>
      </c>
      <c r="F575" s="3" t="s">
        <v>1423</v>
      </c>
      <c r="G575" s="3" t="s">
        <v>3827</v>
      </c>
      <c r="H575" s="6">
        <v>32497.295999999998</v>
      </c>
      <c r="I575" s="18"/>
    </row>
    <row r="576" spans="1:9" ht="15.75" customHeight="1" x14ac:dyDescent="0.35">
      <c r="A576" s="15"/>
      <c r="B576" s="3" t="s">
        <v>574</v>
      </c>
      <c r="C576" s="3" t="s">
        <v>3122</v>
      </c>
      <c r="D576" s="3" t="s">
        <v>861</v>
      </c>
      <c r="E576" s="3" t="s">
        <v>2263</v>
      </c>
      <c r="F576" s="3" t="s">
        <v>1424</v>
      </c>
      <c r="G576" s="3" t="s">
        <v>5478</v>
      </c>
      <c r="H576" s="6">
        <v>32764.511999999999</v>
      </c>
      <c r="I576" s="18"/>
    </row>
    <row r="577" spans="1:9" ht="15.75" customHeight="1" x14ac:dyDescent="0.35">
      <c r="A577" s="15"/>
      <c r="B577" s="3" t="s">
        <v>575</v>
      </c>
      <c r="C577" s="3" t="s">
        <v>3123</v>
      </c>
      <c r="D577" s="3" t="s">
        <v>861</v>
      </c>
      <c r="E577" s="3" t="s">
        <v>2264</v>
      </c>
      <c r="F577" s="3" t="s">
        <v>1425</v>
      </c>
      <c r="G577" s="3" t="s">
        <v>6258</v>
      </c>
      <c r="H577" s="6">
        <v>26249.184000000001</v>
      </c>
      <c r="I577" s="18"/>
    </row>
    <row r="578" spans="1:9" ht="15.75" customHeight="1" x14ac:dyDescent="0.35">
      <c r="A578" s="15"/>
      <c r="B578" s="3" t="s">
        <v>576</v>
      </c>
      <c r="C578" s="3" t="s">
        <v>3124</v>
      </c>
      <c r="D578" s="3" t="s">
        <v>860</v>
      </c>
      <c r="E578" s="3" t="s">
        <v>2265</v>
      </c>
      <c r="F578" s="3" t="s">
        <v>1426</v>
      </c>
      <c r="G578" s="3" t="s">
        <v>3829</v>
      </c>
      <c r="H578" s="6">
        <v>50521.152000000002</v>
      </c>
      <c r="I578" s="18"/>
    </row>
    <row r="579" spans="1:9" ht="15.75" customHeight="1" x14ac:dyDescent="0.35">
      <c r="A579" s="15"/>
      <c r="B579" s="3" t="s">
        <v>577</v>
      </c>
      <c r="C579" s="3" t="s">
        <v>3125</v>
      </c>
      <c r="D579" s="3" t="s">
        <v>861</v>
      </c>
      <c r="E579" s="3" t="s">
        <v>2266</v>
      </c>
      <c r="F579" s="3" t="s">
        <v>1427</v>
      </c>
      <c r="G579" s="3" t="s">
        <v>5799</v>
      </c>
      <c r="H579" s="6">
        <v>14080.671999999999</v>
      </c>
      <c r="I579" s="18"/>
    </row>
    <row r="580" spans="1:9" ht="15.75" customHeight="1" x14ac:dyDescent="0.35">
      <c r="A580" s="15"/>
      <c r="B580" s="3" t="s">
        <v>578</v>
      </c>
      <c r="C580" s="3" t="s">
        <v>3126</v>
      </c>
      <c r="D580" s="3" t="s">
        <v>860</v>
      </c>
      <c r="E580" s="3" t="s">
        <v>2267</v>
      </c>
      <c r="F580" s="3" t="s">
        <v>1428</v>
      </c>
      <c r="G580" s="3" t="s">
        <v>3830</v>
      </c>
      <c r="H580" s="6">
        <v>12173.376</v>
      </c>
      <c r="I580" s="18"/>
    </row>
    <row r="581" spans="1:9" ht="15.75" customHeight="1" x14ac:dyDescent="0.35">
      <c r="A581" s="15"/>
      <c r="B581" s="3" t="s">
        <v>579</v>
      </c>
      <c r="C581" s="3" t="s">
        <v>3127</v>
      </c>
      <c r="D581" s="3" t="s">
        <v>860</v>
      </c>
      <c r="E581" s="3" t="s">
        <v>2268</v>
      </c>
      <c r="F581" s="3" t="s">
        <v>1429</v>
      </c>
      <c r="G581" s="3" t="s">
        <v>3831</v>
      </c>
      <c r="H581" s="6">
        <v>87497.887999999992</v>
      </c>
      <c r="I581" s="18"/>
    </row>
    <row r="582" spans="1:9" ht="15.75" customHeight="1" x14ac:dyDescent="0.35">
      <c r="A582" s="15"/>
      <c r="B582" s="3" t="s">
        <v>580</v>
      </c>
      <c r="C582" s="3" t="s">
        <v>3128</v>
      </c>
      <c r="D582" s="3" t="s">
        <v>860</v>
      </c>
      <c r="E582" s="3" t="s">
        <v>2269</v>
      </c>
      <c r="F582" s="3" t="s">
        <v>1430</v>
      </c>
      <c r="G582" s="3" t="s">
        <v>6259</v>
      </c>
      <c r="H582" s="6">
        <v>12687.135999999999</v>
      </c>
      <c r="I582" s="18"/>
    </row>
    <row r="583" spans="1:9" ht="15.75" customHeight="1" x14ac:dyDescent="0.35">
      <c r="A583" s="15"/>
      <c r="B583" s="3" t="s">
        <v>581</v>
      </c>
      <c r="C583" s="3" t="s">
        <v>3129</v>
      </c>
      <c r="D583" s="3" t="s">
        <v>861</v>
      </c>
      <c r="E583" s="3" t="s">
        <v>2270</v>
      </c>
      <c r="F583" s="3" t="s">
        <v>1431</v>
      </c>
      <c r="G583" s="3" t="s">
        <v>6259</v>
      </c>
      <c r="H583" s="6">
        <v>10248.448</v>
      </c>
      <c r="I583" s="18"/>
    </row>
    <row r="584" spans="1:9" ht="15.75" customHeight="1" x14ac:dyDescent="0.35">
      <c r="A584" s="15"/>
      <c r="B584" s="3" t="s">
        <v>582</v>
      </c>
      <c r="C584" s="3" t="s">
        <v>3130</v>
      </c>
      <c r="D584" s="3" t="s">
        <v>861</v>
      </c>
      <c r="E584" s="3" t="s">
        <v>2271</v>
      </c>
      <c r="F584" s="3" t="s">
        <v>1427</v>
      </c>
      <c r="G584" s="3" t="s">
        <v>3833</v>
      </c>
      <c r="H584" s="6">
        <v>19806.207999999999</v>
      </c>
      <c r="I584" s="18"/>
    </row>
    <row r="585" spans="1:9" ht="15.75" customHeight="1" x14ac:dyDescent="0.35">
      <c r="A585" s="15"/>
      <c r="B585" s="3" t="s">
        <v>583</v>
      </c>
      <c r="C585" s="3" t="s">
        <v>3131</v>
      </c>
      <c r="D585" s="3" t="s">
        <v>861</v>
      </c>
      <c r="E585" s="3" t="s">
        <v>2272</v>
      </c>
      <c r="F585" s="3" t="s">
        <v>1432</v>
      </c>
      <c r="G585" s="3" t="s">
        <v>3833</v>
      </c>
      <c r="H585" s="6">
        <v>98435.80799999999</v>
      </c>
      <c r="I585" s="18"/>
    </row>
    <row r="586" spans="1:9" ht="15.75" customHeight="1" x14ac:dyDescent="0.35">
      <c r="A586" s="15"/>
      <c r="B586" s="3" t="s">
        <v>584</v>
      </c>
      <c r="C586" s="3" t="s">
        <v>3132</v>
      </c>
      <c r="D586" s="3" t="s">
        <v>861</v>
      </c>
      <c r="E586" s="3" t="s">
        <v>2273</v>
      </c>
      <c r="F586" s="3" t="s">
        <v>1433</v>
      </c>
      <c r="G586" s="3" t="s">
        <v>3834</v>
      </c>
      <c r="H586" s="6">
        <v>48846.111999999994</v>
      </c>
      <c r="I586" s="18"/>
    </row>
    <row r="587" spans="1:9" ht="15.75" customHeight="1" x14ac:dyDescent="0.35">
      <c r="A587" s="15"/>
      <c r="B587" s="3" t="s">
        <v>585</v>
      </c>
      <c r="C587" s="3" t="s">
        <v>3133</v>
      </c>
      <c r="D587" s="3" t="s">
        <v>860</v>
      </c>
      <c r="E587" s="3" t="s">
        <v>2274</v>
      </c>
      <c r="F587" s="3" t="s">
        <v>1434</v>
      </c>
      <c r="G587" s="3" t="s">
        <v>6260</v>
      </c>
      <c r="H587" s="6">
        <v>60686.303999999996</v>
      </c>
      <c r="I587" s="18"/>
    </row>
    <row r="588" spans="1:9" ht="15.75" customHeight="1" x14ac:dyDescent="0.35">
      <c r="A588" s="15"/>
      <c r="B588" s="3" t="s">
        <v>586</v>
      </c>
      <c r="C588" s="3" t="s">
        <v>3134</v>
      </c>
      <c r="D588" s="3" t="s">
        <v>860</v>
      </c>
      <c r="E588" s="3" t="s">
        <v>2275</v>
      </c>
      <c r="F588" s="3" t="s">
        <v>1435</v>
      </c>
      <c r="G588" s="3" t="s">
        <v>6261</v>
      </c>
      <c r="H588" s="6">
        <v>17478.175999999999</v>
      </c>
      <c r="I588" s="18"/>
    </row>
    <row r="589" spans="1:9" ht="15.75" customHeight="1" x14ac:dyDescent="0.35">
      <c r="A589" s="15"/>
      <c r="B589" s="3" t="s">
        <v>587</v>
      </c>
      <c r="C589" s="3" t="s">
        <v>3135</v>
      </c>
      <c r="D589" s="3" t="s">
        <v>860</v>
      </c>
      <c r="E589" s="3" t="s">
        <v>2276</v>
      </c>
      <c r="F589" s="3" t="s">
        <v>1436</v>
      </c>
      <c r="G589" s="3" t="s">
        <v>3835</v>
      </c>
      <c r="H589" s="6">
        <v>54618.464</v>
      </c>
      <c r="I589" s="18"/>
    </row>
    <row r="590" spans="1:9" ht="15.75" customHeight="1" x14ac:dyDescent="0.35">
      <c r="A590" s="15"/>
      <c r="B590" s="3" t="s">
        <v>588</v>
      </c>
      <c r="C590" s="3" t="s">
        <v>3136</v>
      </c>
      <c r="D590" s="3" t="s">
        <v>861</v>
      </c>
      <c r="E590" s="3" t="s">
        <v>2277</v>
      </c>
      <c r="F590" s="3" t="s">
        <v>1437</v>
      </c>
      <c r="G590" s="3" t="s">
        <v>5475</v>
      </c>
      <c r="H590" s="6">
        <v>41062.495999999999</v>
      </c>
      <c r="I590" s="18"/>
    </row>
    <row r="591" spans="1:9" ht="15.75" customHeight="1" x14ac:dyDescent="0.35">
      <c r="A591" s="15"/>
      <c r="B591" s="3" t="s">
        <v>589</v>
      </c>
      <c r="C591" s="3" t="s">
        <v>3137</v>
      </c>
      <c r="D591" s="3" t="s">
        <v>861</v>
      </c>
      <c r="E591" s="3" t="s">
        <v>2278</v>
      </c>
      <c r="F591" s="3" t="s">
        <v>1438</v>
      </c>
      <c r="G591" s="3" t="s">
        <v>3837</v>
      </c>
      <c r="H591" s="6">
        <v>20057.311999999998</v>
      </c>
      <c r="I591" s="18"/>
    </row>
    <row r="592" spans="1:9" ht="15.75" customHeight="1" x14ac:dyDescent="0.35">
      <c r="A592" s="15"/>
      <c r="B592" s="3" t="s">
        <v>590</v>
      </c>
      <c r="C592" s="3" t="s">
        <v>3138</v>
      </c>
      <c r="D592" s="3" t="s">
        <v>861</v>
      </c>
      <c r="E592" s="3" t="s">
        <v>2279</v>
      </c>
      <c r="F592" s="3" t="s">
        <v>1439</v>
      </c>
      <c r="G592" s="3" t="s">
        <v>3837</v>
      </c>
      <c r="H592" s="6">
        <v>31389.823999999997</v>
      </c>
      <c r="I592" s="18"/>
    </row>
    <row r="593" spans="1:9" ht="15.75" customHeight="1" x14ac:dyDescent="0.35">
      <c r="A593" s="15"/>
      <c r="B593" s="3" t="s">
        <v>591</v>
      </c>
      <c r="C593" s="3" t="s">
        <v>3139</v>
      </c>
      <c r="D593" s="3" t="s">
        <v>861</v>
      </c>
      <c r="E593" s="3" t="s">
        <v>2280</v>
      </c>
      <c r="F593" s="3" t="s">
        <v>1440</v>
      </c>
      <c r="G593" s="3" t="s">
        <v>6262</v>
      </c>
      <c r="H593" s="6">
        <v>15656</v>
      </c>
      <c r="I593" s="18"/>
    </row>
    <row r="594" spans="1:9" ht="15.75" customHeight="1" x14ac:dyDescent="0.35">
      <c r="A594" s="15"/>
      <c r="B594" s="3" t="s">
        <v>592</v>
      </c>
      <c r="C594" s="3" t="s">
        <v>3140</v>
      </c>
      <c r="D594" s="3" t="s">
        <v>861</v>
      </c>
      <c r="E594" s="3" t="s">
        <v>2281</v>
      </c>
      <c r="F594" s="3" t="s">
        <v>1441</v>
      </c>
      <c r="G594" s="3" t="s">
        <v>6263</v>
      </c>
      <c r="H594" s="6">
        <v>32573.599999999999</v>
      </c>
      <c r="I594" s="18"/>
    </row>
    <row r="595" spans="1:9" ht="15.75" customHeight="1" x14ac:dyDescent="0.35">
      <c r="A595" s="15"/>
      <c r="B595" s="3" t="s">
        <v>593</v>
      </c>
      <c r="C595" s="3" t="s">
        <v>3141</v>
      </c>
      <c r="D595" s="3" t="s">
        <v>860</v>
      </c>
      <c r="E595" s="3" t="s">
        <v>2282</v>
      </c>
      <c r="F595" s="3" t="s">
        <v>1442</v>
      </c>
      <c r="G595" s="3" t="s">
        <v>3836</v>
      </c>
      <c r="H595" s="6">
        <v>24459.232</v>
      </c>
      <c r="I595" s="18"/>
    </row>
    <row r="596" spans="1:9" ht="15.75" customHeight="1" x14ac:dyDescent="0.35">
      <c r="A596" s="15"/>
      <c r="B596" s="3" t="s">
        <v>594</v>
      </c>
      <c r="C596" s="3" t="s">
        <v>3142</v>
      </c>
      <c r="D596" s="3" t="s">
        <v>861</v>
      </c>
      <c r="E596" s="3" t="s">
        <v>2283</v>
      </c>
      <c r="F596" s="3" t="s">
        <v>1443</v>
      </c>
      <c r="G596" s="3" t="s">
        <v>3837</v>
      </c>
      <c r="H596" s="6">
        <v>157492.36799999999</v>
      </c>
      <c r="I596" s="18"/>
    </row>
    <row r="597" spans="1:9" ht="15.75" customHeight="1" x14ac:dyDescent="0.35">
      <c r="A597" s="15"/>
      <c r="B597" s="3" t="s">
        <v>595</v>
      </c>
      <c r="C597" s="3" t="s">
        <v>3143</v>
      </c>
      <c r="D597" s="3" t="s">
        <v>860</v>
      </c>
      <c r="E597" s="3" t="s">
        <v>2284</v>
      </c>
      <c r="F597" s="3" t="s">
        <v>1444</v>
      </c>
      <c r="G597" s="3" t="s">
        <v>5689</v>
      </c>
      <c r="H597" s="6">
        <v>38792.831999999995</v>
      </c>
      <c r="I597" s="18"/>
    </row>
    <row r="598" spans="1:9" ht="15.75" customHeight="1" x14ac:dyDescent="0.35">
      <c r="A598" s="15"/>
      <c r="B598" s="3" t="s">
        <v>596</v>
      </c>
      <c r="C598" s="3" t="s">
        <v>3144</v>
      </c>
      <c r="D598" s="3" t="s">
        <v>860</v>
      </c>
      <c r="E598" s="3" t="s">
        <v>2285</v>
      </c>
      <c r="F598" s="3" t="s">
        <v>1445</v>
      </c>
      <c r="G598" s="3" t="s">
        <v>3838</v>
      </c>
      <c r="H598" s="6">
        <v>22503.903999999999</v>
      </c>
      <c r="I598" s="18"/>
    </row>
    <row r="599" spans="1:9" ht="15.75" customHeight="1" x14ac:dyDescent="0.35">
      <c r="A599" s="15"/>
      <c r="B599" s="3" t="s">
        <v>597</v>
      </c>
      <c r="C599" s="3" t="s">
        <v>3145</v>
      </c>
      <c r="D599" s="3" t="s">
        <v>861</v>
      </c>
      <c r="E599" s="3" t="s">
        <v>2286</v>
      </c>
      <c r="F599" s="3" t="s">
        <v>1446</v>
      </c>
      <c r="G599" s="3" t="s">
        <v>6262</v>
      </c>
      <c r="H599" s="6">
        <v>16385.599999999999</v>
      </c>
      <c r="I599" s="18"/>
    </row>
    <row r="600" spans="1:9" ht="15.75" customHeight="1" x14ac:dyDescent="0.35">
      <c r="A600" s="15"/>
      <c r="B600" s="3" t="s">
        <v>598</v>
      </c>
      <c r="C600" s="3" t="s">
        <v>3146</v>
      </c>
      <c r="D600" s="3" t="s">
        <v>860</v>
      </c>
      <c r="E600" s="3" t="s">
        <v>2287</v>
      </c>
      <c r="F600" s="3" t="s">
        <v>1447</v>
      </c>
      <c r="G600" s="3" t="s">
        <v>3838</v>
      </c>
      <c r="H600" s="6">
        <v>41361.631999999998</v>
      </c>
      <c r="I600" s="18"/>
    </row>
    <row r="601" spans="1:9" ht="15.75" customHeight="1" x14ac:dyDescent="0.35">
      <c r="A601" s="15"/>
      <c r="B601" s="3" t="s">
        <v>599</v>
      </c>
      <c r="C601" s="3" t="s">
        <v>3147</v>
      </c>
      <c r="D601" s="3" t="s">
        <v>861</v>
      </c>
      <c r="E601" s="3" t="s">
        <v>2288</v>
      </c>
      <c r="F601" s="3" t="s">
        <v>1448</v>
      </c>
      <c r="G601" s="3" t="s">
        <v>3839</v>
      </c>
      <c r="H601" s="6">
        <v>10335.392</v>
      </c>
      <c r="I601" s="18"/>
    </row>
    <row r="602" spans="1:9" ht="15.75" customHeight="1" x14ac:dyDescent="0.35">
      <c r="A602" s="15"/>
      <c r="B602" s="3" t="s">
        <v>600</v>
      </c>
      <c r="C602" s="3" t="s">
        <v>3148</v>
      </c>
      <c r="D602" s="3" t="s">
        <v>861</v>
      </c>
      <c r="E602" s="3" t="s">
        <v>2289</v>
      </c>
      <c r="F602" s="3" t="s">
        <v>1449</v>
      </c>
      <c r="G602" s="3" t="s">
        <v>3838</v>
      </c>
      <c r="H602" s="6">
        <v>20324.831999999999</v>
      </c>
      <c r="I602" s="18"/>
    </row>
    <row r="603" spans="1:9" ht="15.75" customHeight="1" x14ac:dyDescent="0.35">
      <c r="A603" s="15"/>
      <c r="B603" s="3" t="s">
        <v>601</v>
      </c>
      <c r="C603" s="3" t="s">
        <v>3149</v>
      </c>
      <c r="D603" s="3" t="s">
        <v>860</v>
      </c>
      <c r="E603" s="3" t="s">
        <v>2290</v>
      </c>
      <c r="F603" s="3" t="s">
        <v>1450</v>
      </c>
      <c r="G603" s="3" t="s">
        <v>3839</v>
      </c>
      <c r="H603" s="6">
        <v>30045.84</v>
      </c>
      <c r="I603" s="18"/>
    </row>
    <row r="604" spans="1:9" ht="15.75" customHeight="1" x14ac:dyDescent="0.35">
      <c r="A604" s="15"/>
      <c r="B604" s="3" t="s">
        <v>602</v>
      </c>
      <c r="C604" s="3" t="s">
        <v>3150</v>
      </c>
      <c r="D604" s="3" t="s">
        <v>860</v>
      </c>
      <c r="E604" s="3" t="s">
        <v>2291</v>
      </c>
      <c r="F604" s="3" t="s">
        <v>1451</v>
      </c>
      <c r="G604" s="3" t="s">
        <v>6264</v>
      </c>
      <c r="H604" s="6">
        <v>12671.328</v>
      </c>
      <c r="I604" s="18"/>
    </row>
    <row r="605" spans="1:9" ht="15.75" customHeight="1" x14ac:dyDescent="0.35">
      <c r="A605" s="15"/>
      <c r="B605" s="3" t="s">
        <v>603</v>
      </c>
      <c r="C605" s="3" t="s">
        <v>3151</v>
      </c>
      <c r="D605" s="3" t="s">
        <v>860</v>
      </c>
      <c r="E605" s="3" t="s">
        <v>2292</v>
      </c>
      <c r="F605" s="3" t="s">
        <v>1452</v>
      </c>
      <c r="G605" s="3" t="s">
        <v>6265</v>
      </c>
      <c r="H605" s="6">
        <v>17647.807999999997</v>
      </c>
      <c r="I605" s="18"/>
    </row>
    <row r="606" spans="1:9" ht="15.75" customHeight="1" x14ac:dyDescent="0.35">
      <c r="A606" s="15"/>
      <c r="B606" s="3" t="s">
        <v>604</v>
      </c>
      <c r="C606" s="3" t="s">
        <v>3152</v>
      </c>
      <c r="D606" s="3" t="s">
        <v>861</v>
      </c>
      <c r="E606" s="3" t="s">
        <v>2293</v>
      </c>
      <c r="F606" s="3" t="s">
        <v>1453</v>
      </c>
      <c r="G606" s="3" t="s">
        <v>3840</v>
      </c>
      <c r="H606" s="6">
        <v>14201.055999999999</v>
      </c>
      <c r="I606" s="18"/>
    </row>
    <row r="607" spans="1:9" ht="15.75" customHeight="1" x14ac:dyDescent="0.35">
      <c r="A607" s="15"/>
      <c r="B607" s="3" t="s">
        <v>605</v>
      </c>
      <c r="C607" s="3" t="s">
        <v>3153</v>
      </c>
      <c r="D607" s="3" t="s">
        <v>860</v>
      </c>
      <c r="E607" s="3" t="s">
        <v>2294</v>
      </c>
      <c r="F607" s="3" t="s">
        <v>1454</v>
      </c>
      <c r="G607" s="3" t="s">
        <v>3837</v>
      </c>
      <c r="H607" s="6">
        <v>18534.88</v>
      </c>
      <c r="I607" s="18"/>
    </row>
    <row r="608" spans="1:9" ht="15.75" customHeight="1" x14ac:dyDescent="0.35">
      <c r="A608" s="15"/>
      <c r="B608" s="3" t="s">
        <v>606</v>
      </c>
      <c r="C608" s="3" t="s">
        <v>3154</v>
      </c>
      <c r="D608" s="3" t="s">
        <v>860</v>
      </c>
      <c r="E608" s="3" t="s">
        <v>2295</v>
      </c>
      <c r="F608" s="3" t="s">
        <v>1455</v>
      </c>
      <c r="G608" s="3" t="s">
        <v>5689</v>
      </c>
      <c r="H608" s="6">
        <v>16838.559999999998</v>
      </c>
      <c r="I608" s="18"/>
    </row>
    <row r="609" spans="1:9" ht="15.75" customHeight="1" x14ac:dyDescent="0.35">
      <c r="A609" s="15"/>
      <c r="B609" s="3" t="s">
        <v>607</v>
      </c>
      <c r="C609" s="3" t="s">
        <v>3155</v>
      </c>
      <c r="D609" s="3" t="s">
        <v>861</v>
      </c>
      <c r="E609" s="3" t="s">
        <v>2296</v>
      </c>
      <c r="F609" s="3" t="s">
        <v>1456</v>
      </c>
      <c r="G609" s="3" t="s">
        <v>3841</v>
      </c>
      <c r="H609" s="6">
        <v>12671.328</v>
      </c>
      <c r="I609" s="18"/>
    </row>
    <row r="610" spans="1:9" ht="15.75" customHeight="1" x14ac:dyDescent="0.35">
      <c r="A610" s="15"/>
      <c r="B610" s="3" t="s">
        <v>608</v>
      </c>
      <c r="C610" s="3" t="s">
        <v>3156</v>
      </c>
      <c r="D610" s="3" t="s">
        <v>861</v>
      </c>
      <c r="E610" s="3" t="s">
        <v>2297</v>
      </c>
      <c r="F610" s="3" t="s">
        <v>1457</v>
      </c>
      <c r="G610" s="3" t="s">
        <v>6266</v>
      </c>
      <c r="H610" s="6">
        <v>10235.679999999998</v>
      </c>
      <c r="I610" s="18"/>
    </row>
    <row r="611" spans="1:9" ht="15.75" customHeight="1" x14ac:dyDescent="0.35">
      <c r="A611" s="15"/>
      <c r="B611" s="3" t="s">
        <v>609</v>
      </c>
      <c r="C611" s="3" t="s">
        <v>3157</v>
      </c>
      <c r="D611" s="3" t="s">
        <v>861</v>
      </c>
      <c r="E611" s="3" t="s">
        <v>2298</v>
      </c>
      <c r="F611" s="3" t="s">
        <v>1458</v>
      </c>
      <c r="G611" s="3" t="s">
        <v>3842</v>
      </c>
      <c r="H611" s="6">
        <v>25781.632000000001</v>
      </c>
      <c r="I611" s="18"/>
    </row>
    <row r="612" spans="1:9" ht="15.75" customHeight="1" x14ac:dyDescent="0.35">
      <c r="A612" s="15"/>
      <c r="B612" s="3" t="s">
        <v>610</v>
      </c>
      <c r="C612" s="3" t="s">
        <v>3158</v>
      </c>
      <c r="D612" s="3" t="s">
        <v>860</v>
      </c>
      <c r="E612" s="3" t="s">
        <v>2299</v>
      </c>
      <c r="F612" s="3" t="s">
        <v>1459</v>
      </c>
      <c r="G612" s="3" t="s">
        <v>3842</v>
      </c>
      <c r="H612" s="6">
        <v>76466.335999999996</v>
      </c>
      <c r="I612" s="18"/>
    </row>
    <row r="613" spans="1:9" ht="15.75" customHeight="1" x14ac:dyDescent="0.35">
      <c r="A613" s="15"/>
      <c r="B613" s="3" t="s">
        <v>611</v>
      </c>
      <c r="C613" s="3" t="s">
        <v>3159</v>
      </c>
      <c r="D613" s="3" t="s">
        <v>861</v>
      </c>
      <c r="E613" s="3" t="s">
        <v>2300</v>
      </c>
      <c r="F613" s="3" t="s">
        <v>1460</v>
      </c>
      <c r="G613" s="3" t="s">
        <v>3843</v>
      </c>
      <c r="H613" s="6">
        <v>20778.399999999998</v>
      </c>
      <c r="I613" s="18"/>
    </row>
    <row r="614" spans="1:9" ht="15.75" customHeight="1" x14ac:dyDescent="0.35">
      <c r="A614" s="15"/>
      <c r="B614" s="3" t="s">
        <v>612</v>
      </c>
      <c r="C614" s="3" t="s">
        <v>3160</v>
      </c>
      <c r="D614" s="3" t="s">
        <v>861</v>
      </c>
      <c r="E614" s="3" t="s">
        <v>2301</v>
      </c>
      <c r="F614" s="3" t="s">
        <v>1461</v>
      </c>
      <c r="G614" s="3" t="s">
        <v>3844</v>
      </c>
      <c r="H614" s="6">
        <v>19935.103999999999</v>
      </c>
      <c r="I614" s="18"/>
    </row>
    <row r="615" spans="1:9" ht="15.75" customHeight="1" x14ac:dyDescent="0.35">
      <c r="A615" s="15"/>
      <c r="B615" s="3" t="s">
        <v>613</v>
      </c>
      <c r="C615" s="3" t="s">
        <v>3161</v>
      </c>
      <c r="D615" s="3" t="s">
        <v>861</v>
      </c>
      <c r="E615" s="3" t="s">
        <v>2302</v>
      </c>
      <c r="F615" s="3" t="s">
        <v>1462</v>
      </c>
      <c r="G615" s="3" t="s">
        <v>3845</v>
      </c>
      <c r="H615" s="6">
        <v>16385.599999999999</v>
      </c>
      <c r="I615" s="18"/>
    </row>
    <row r="616" spans="1:9" ht="15.75" customHeight="1" x14ac:dyDescent="0.35">
      <c r="A616" s="15"/>
      <c r="B616" s="3" t="s">
        <v>614</v>
      </c>
      <c r="C616" s="3" t="s">
        <v>3162</v>
      </c>
      <c r="D616" s="3" t="s">
        <v>860</v>
      </c>
      <c r="E616" s="3" t="s">
        <v>2303</v>
      </c>
      <c r="F616" s="3" t="s">
        <v>1463</v>
      </c>
      <c r="G616" s="3" t="s">
        <v>3848</v>
      </c>
      <c r="H616" s="6">
        <v>17825.951999999997</v>
      </c>
      <c r="I616" s="18"/>
    </row>
    <row r="617" spans="1:9" ht="15.75" customHeight="1" x14ac:dyDescent="0.35">
      <c r="A617" s="15"/>
      <c r="B617" s="3" t="s">
        <v>615</v>
      </c>
      <c r="C617" s="3" t="s">
        <v>3163</v>
      </c>
      <c r="D617" s="3" t="s">
        <v>861</v>
      </c>
      <c r="E617" s="3" t="s">
        <v>2304</v>
      </c>
      <c r="F617" s="3" t="s">
        <v>1464</v>
      </c>
      <c r="G617" s="3" t="s">
        <v>3846</v>
      </c>
      <c r="H617" s="6">
        <v>36592.480000000003</v>
      </c>
      <c r="I617" s="18"/>
    </row>
    <row r="618" spans="1:9" ht="15.75" customHeight="1" x14ac:dyDescent="0.35">
      <c r="A618" s="15"/>
      <c r="B618" s="3" t="s">
        <v>616</v>
      </c>
      <c r="C618" s="3" t="s">
        <v>3164</v>
      </c>
      <c r="D618" s="3" t="s">
        <v>860</v>
      </c>
      <c r="E618" s="3" t="s">
        <v>2305</v>
      </c>
      <c r="F618" s="3" t="s">
        <v>1465</v>
      </c>
      <c r="G618" s="3" t="s">
        <v>3847</v>
      </c>
      <c r="H618" s="6">
        <v>25552.415999999997</v>
      </c>
      <c r="I618" s="18"/>
    </row>
    <row r="619" spans="1:9" ht="15.75" customHeight="1" x14ac:dyDescent="0.35">
      <c r="A619" s="15"/>
      <c r="B619" s="3" t="s">
        <v>617</v>
      </c>
      <c r="C619" s="3" t="s">
        <v>3165</v>
      </c>
      <c r="D619" s="3" t="s">
        <v>860</v>
      </c>
      <c r="E619" s="3" t="s">
        <v>2306</v>
      </c>
      <c r="F619" s="3" t="s">
        <v>1466</v>
      </c>
      <c r="G619" s="3" t="s">
        <v>3848</v>
      </c>
      <c r="H619" s="6">
        <v>14965.311999999998</v>
      </c>
      <c r="I619" s="18"/>
    </row>
    <row r="620" spans="1:9" ht="15.75" customHeight="1" x14ac:dyDescent="0.35">
      <c r="A620" s="15"/>
      <c r="B620" s="3" t="s">
        <v>618</v>
      </c>
      <c r="C620" s="3" t="s">
        <v>3166</v>
      </c>
      <c r="D620" s="3" t="s">
        <v>861</v>
      </c>
      <c r="E620" s="3" t="s">
        <v>2307</v>
      </c>
      <c r="F620" s="3" t="s">
        <v>1467</v>
      </c>
      <c r="G620" s="3" t="s">
        <v>5560</v>
      </c>
      <c r="H620" s="6">
        <v>14768.928</v>
      </c>
      <c r="I620" s="18"/>
    </row>
    <row r="621" spans="1:9" ht="15.75" customHeight="1" x14ac:dyDescent="0.35">
      <c r="A621" s="15"/>
      <c r="B621" s="3" t="s">
        <v>619</v>
      </c>
      <c r="C621" s="3" t="s">
        <v>3167</v>
      </c>
      <c r="D621" s="3" t="s">
        <v>861</v>
      </c>
      <c r="E621" s="3" t="s">
        <v>2308</v>
      </c>
      <c r="F621" s="3" t="s">
        <v>1468</v>
      </c>
      <c r="G621" s="3" t="s">
        <v>3849</v>
      </c>
      <c r="H621" s="6">
        <v>18266.752</v>
      </c>
      <c r="I621" s="18"/>
    </row>
    <row r="622" spans="1:9" ht="15.75" customHeight="1" x14ac:dyDescent="0.35">
      <c r="A622" s="15"/>
      <c r="B622" s="3" t="s">
        <v>620</v>
      </c>
      <c r="C622" s="3" t="s">
        <v>3168</v>
      </c>
      <c r="D622" s="3" t="s">
        <v>860</v>
      </c>
      <c r="E622" s="3" t="s">
        <v>2309</v>
      </c>
      <c r="F622" s="3" t="s">
        <v>1469</v>
      </c>
      <c r="G622" s="3" t="s">
        <v>3850</v>
      </c>
      <c r="H622" s="6">
        <v>115199.584</v>
      </c>
      <c r="I622" s="18"/>
    </row>
    <row r="623" spans="1:9" ht="15.75" customHeight="1" x14ac:dyDescent="0.35">
      <c r="A623" s="15"/>
      <c r="B623" s="3" t="s">
        <v>621</v>
      </c>
      <c r="C623" s="3" t="s">
        <v>3169</v>
      </c>
      <c r="D623" s="3" t="s">
        <v>861</v>
      </c>
      <c r="E623" s="3" t="s">
        <v>2310</v>
      </c>
      <c r="F623" s="3" t="s">
        <v>1470</v>
      </c>
      <c r="G623" s="3" t="s">
        <v>5560</v>
      </c>
      <c r="H623" s="6">
        <v>20350.367999999999</v>
      </c>
      <c r="I623" s="18"/>
    </row>
    <row r="624" spans="1:9" ht="15.75" customHeight="1" x14ac:dyDescent="0.35">
      <c r="A624" s="15"/>
      <c r="B624" s="3" t="s">
        <v>622</v>
      </c>
      <c r="C624" s="3" t="s">
        <v>3170</v>
      </c>
      <c r="D624" s="3" t="s">
        <v>861</v>
      </c>
      <c r="E624" s="3" t="s">
        <v>2311</v>
      </c>
      <c r="F624" s="3" t="s">
        <v>1471</v>
      </c>
      <c r="G624" s="3" t="s">
        <v>3851</v>
      </c>
      <c r="H624" s="6">
        <v>54618.464</v>
      </c>
      <c r="I624" s="18"/>
    </row>
    <row r="625" spans="1:9" ht="15.75" customHeight="1" x14ac:dyDescent="0.35">
      <c r="A625" s="15"/>
      <c r="B625" s="3" t="s">
        <v>623</v>
      </c>
      <c r="C625" s="3" t="s">
        <v>3171</v>
      </c>
      <c r="D625" s="3" t="s">
        <v>861</v>
      </c>
      <c r="E625" s="3" t="s">
        <v>2312</v>
      </c>
      <c r="F625" s="3" t="s">
        <v>1472</v>
      </c>
      <c r="G625" s="3" t="s">
        <v>3851</v>
      </c>
      <c r="H625" s="6">
        <v>81927.695999999996</v>
      </c>
      <c r="I625" s="18"/>
    </row>
    <row r="626" spans="1:9" ht="15.75" customHeight="1" x14ac:dyDescent="0.35">
      <c r="A626" s="15"/>
      <c r="B626" s="3" t="s">
        <v>624</v>
      </c>
      <c r="C626" s="3" t="s">
        <v>3172</v>
      </c>
      <c r="D626" s="3" t="s">
        <v>861</v>
      </c>
      <c r="E626" s="3" t="s">
        <v>2313</v>
      </c>
      <c r="F626" s="3" t="s">
        <v>1473</v>
      </c>
      <c r="G626" s="3" t="s">
        <v>3851</v>
      </c>
      <c r="H626" s="6">
        <v>81927.695999999996</v>
      </c>
      <c r="I626" s="18"/>
    </row>
    <row r="627" spans="1:9" ht="15.75" customHeight="1" x14ac:dyDescent="0.35">
      <c r="A627" s="15"/>
      <c r="B627" s="3" t="s">
        <v>625</v>
      </c>
      <c r="C627" s="3" t="s">
        <v>3173</v>
      </c>
      <c r="D627" s="3" t="s">
        <v>860</v>
      </c>
      <c r="E627" s="3" t="s">
        <v>2314</v>
      </c>
      <c r="F627" s="3" t="s">
        <v>1474</v>
      </c>
      <c r="G627" s="3" t="s">
        <v>3852</v>
      </c>
      <c r="H627" s="6">
        <v>19079.648000000001</v>
      </c>
      <c r="I627" s="18"/>
    </row>
    <row r="628" spans="1:9" ht="15.75" customHeight="1" x14ac:dyDescent="0.35">
      <c r="A628" s="15"/>
      <c r="B628" s="3" t="s">
        <v>626</v>
      </c>
      <c r="C628" s="3" t="s">
        <v>3174</v>
      </c>
      <c r="D628" s="3" t="s">
        <v>861</v>
      </c>
      <c r="E628" s="3" t="s">
        <v>2315</v>
      </c>
      <c r="F628" s="3" t="s">
        <v>1475</v>
      </c>
      <c r="G628" s="3" t="s">
        <v>3851</v>
      </c>
      <c r="H628" s="6">
        <v>76466.335999999996</v>
      </c>
      <c r="I628" s="18"/>
    </row>
    <row r="629" spans="1:9" ht="15.75" customHeight="1" x14ac:dyDescent="0.35">
      <c r="A629" s="15"/>
      <c r="B629" s="3" t="s">
        <v>627</v>
      </c>
      <c r="C629" s="3" t="s">
        <v>3175</v>
      </c>
      <c r="D629" s="3" t="s">
        <v>861</v>
      </c>
      <c r="E629" s="3" t="s">
        <v>2316</v>
      </c>
      <c r="F629" s="3" t="s">
        <v>1476</v>
      </c>
      <c r="G629" s="3" t="s">
        <v>3851</v>
      </c>
      <c r="H629" s="6">
        <v>77208.09599999999</v>
      </c>
      <c r="I629" s="18"/>
    </row>
    <row r="630" spans="1:9" ht="15.75" customHeight="1" x14ac:dyDescent="0.35">
      <c r="A630" s="15"/>
      <c r="B630" s="3" t="s">
        <v>628</v>
      </c>
      <c r="C630" s="3" t="s">
        <v>3176</v>
      </c>
      <c r="D630" s="3" t="s">
        <v>860</v>
      </c>
      <c r="E630" s="3" t="s">
        <v>2317</v>
      </c>
      <c r="F630" s="3" t="s">
        <v>1477</v>
      </c>
      <c r="G630" s="3" t="s">
        <v>3852</v>
      </c>
      <c r="H630" s="6">
        <v>22320.288</v>
      </c>
      <c r="I630" s="18"/>
    </row>
    <row r="631" spans="1:9" ht="15.75" customHeight="1" x14ac:dyDescent="0.35">
      <c r="A631" s="15"/>
      <c r="B631" s="3" t="s">
        <v>629</v>
      </c>
      <c r="C631" s="3" t="s">
        <v>3177</v>
      </c>
      <c r="D631" s="3" t="s">
        <v>861</v>
      </c>
      <c r="E631" s="3" t="s">
        <v>2318</v>
      </c>
      <c r="F631" s="3" t="s">
        <v>1478</v>
      </c>
      <c r="G631" s="3" t="s">
        <v>3852</v>
      </c>
      <c r="H631" s="6">
        <v>87389.66399999999</v>
      </c>
      <c r="I631" s="18"/>
    </row>
    <row r="632" spans="1:9" ht="15.75" customHeight="1" x14ac:dyDescent="0.35">
      <c r="A632" s="15"/>
      <c r="B632" s="3" t="s">
        <v>630</v>
      </c>
      <c r="C632" s="3" t="s">
        <v>3178</v>
      </c>
      <c r="D632" s="3" t="s">
        <v>861</v>
      </c>
      <c r="E632" s="3" t="s">
        <v>2319</v>
      </c>
      <c r="F632" s="3" t="s">
        <v>1479</v>
      </c>
      <c r="G632" s="3" t="s">
        <v>3851</v>
      </c>
      <c r="H632" s="6">
        <v>20490.207999999999</v>
      </c>
      <c r="I632" s="18"/>
    </row>
    <row r="633" spans="1:9" ht="15.75" customHeight="1" x14ac:dyDescent="0.35">
      <c r="A633" s="15"/>
      <c r="B633" s="3" t="s">
        <v>631</v>
      </c>
      <c r="C633" s="3" t="s">
        <v>3179</v>
      </c>
      <c r="D633" s="3" t="s">
        <v>861</v>
      </c>
      <c r="E633" s="3" t="s">
        <v>2320</v>
      </c>
      <c r="F633" s="3" t="s">
        <v>1480</v>
      </c>
      <c r="G633" s="3" t="s">
        <v>3852</v>
      </c>
      <c r="H633" s="6">
        <v>20502.976000000002</v>
      </c>
      <c r="I633" s="18"/>
    </row>
    <row r="634" spans="1:9" ht="15.75" customHeight="1" x14ac:dyDescent="0.35">
      <c r="A634" s="15"/>
      <c r="B634" s="3" t="s">
        <v>632</v>
      </c>
      <c r="C634" s="3" t="s">
        <v>3180</v>
      </c>
      <c r="D634" s="3" t="s">
        <v>861</v>
      </c>
      <c r="E634" s="3" t="s">
        <v>2321</v>
      </c>
      <c r="F634" s="3" t="s">
        <v>1481</v>
      </c>
      <c r="G634" s="3" t="s">
        <v>3853</v>
      </c>
      <c r="H634" s="6">
        <v>53027.935999999994</v>
      </c>
      <c r="I634" s="18"/>
    </row>
    <row r="635" spans="1:9" ht="15.75" customHeight="1" x14ac:dyDescent="0.35">
      <c r="A635" s="15"/>
      <c r="B635" s="3" t="s">
        <v>633</v>
      </c>
      <c r="C635" s="3" t="s">
        <v>3181</v>
      </c>
      <c r="D635" s="3" t="s">
        <v>860</v>
      </c>
      <c r="E635" s="3" t="s">
        <v>2322</v>
      </c>
      <c r="F635" s="3" t="s">
        <v>1482</v>
      </c>
      <c r="G635" s="3" t="s">
        <v>6267</v>
      </c>
      <c r="H635" s="6">
        <v>19080.255999999998</v>
      </c>
      <c r="I635" s="18"/>
    </row>
    <row r="636" spans="1:9" ht="15.75" customHeight="1" x14ac:dyDescent="0.35">
      <c r="A636" s="15"/>
      <c r="B636" s="3" t="s">
        <v>634</v>
      </c>
      <c r="C636" s="3" t="s">
        <v>3182</v>
      </c>
      <c r="D636" s="3" t="s">
        <v>861</v>
      </c>
      <c r="E636" s="3" t="s">
        <v>2323</v>
      </c>
      <c r="F636" s="3" t="s">
        <v>1483</v>
      </c>
      <c r="G636" s="3" t="s">
        <v>6267</v>
      </c>
      <c r="H636" s="6">
        <v>19406.752</v>
      </c>
      <c r="I636" s="18"/>
    </row>
    <row r="637" spans="1:9" ht="15.75" customHeight="1" x14ac:dyDescent="0.35">
      <c r="A637" s="15"/>
      <c r="B637" s="3" t="s">
        <v>635</v>
      </c>
      <c r="C637" s="3" t="s">
        <v>3183</v>
      </c>
      <c r="D637" s="3" t="s">
        <v>860</v>
      </c>
      <c r="E637" s="3" t="s">
        <v>2324</v>
      </c>
      <c r="F637" s="3" t="s">
        <v>1484</v>
      </c>
      <c r="G637" s="3" t="s">
        <v>3854</v>
      </c>
      <c r="H637" s="6">
        <v>12401.376</v>
      </c>
      <c r="I637" s="18"/>
    </row>
    <row r="638" spans="1:9" ht="15.75" customHeight="1" x14ac:dyDescent="0.35">
      <c r="A638" s="15"/>
      <c r="B638" s="3" t="s">
        <v>636</v>
      </c>
      <c r="C638" s="3" t="s">
        <v>3184</v>
      </c>
      <c r="D638" s="3" t="s">
        <v>861</v>
      </c>
      <c r="E638" s="3" t="s">
        <v>2325</v>
      </c>
      <c r="F638" s="3" t="s">
        <v>1485</v>
      </c>
      <c r="G638" s="3" t="s">
        <v>3851</v>
      </c>
      <c r="H638" s="6">
        <v>10644.255999999999</v>
      </c>
      <c r="I638" s="18"/>
    </row>
    <row r="639" spans="1:9" ht="15.75" customHeight="1" x14ac:dyDescent="0.35">
      <c r="A639" s="15"/>
      <c r="B639" s="3" t="s">
        <v>637</v>
      </c>
      <c r="C639" s="3" t="s">
        <v>3185</v>
      </c>
      <c r="D639" s="3" t="s">
        <v>861</v>
      </c>
      <c r="E639" s="3" t="s">
        <v>2326</v>
      </c>
      <c r="F639" s="3" t="s">
        <v>1486</v>
      </c>
      <c r="G639" s="3" t="s">
        <v>3855</v>
      </c>
      <c r="H639" s="6">
        <v>21585.215999999997</v>
      </c>
      <c r="I639" s="18"/>
    </row>
    <row r="640" spans="1:9" ht="15.75" customHeight="1" x14ac:dyDescent="0.35">
      <c r="A640" s="15"/>
      <c r="B640" s="3" t="s">
        <v>638</v>
      </c>
      <c r="C640" s="3" t="s">
        <v>3186</v>
      </c>
      <c r="D640" s="3" t="s">
        <v>861</v>
      </c>
      <c r="E640" s="3" t="s">
        <v>2327</v>
      </c>
      <c r="F640" s="3" t="s">
        <v>1487</v>
      </c>
      <c r="G640" s="3" t="s">
        <v>3856</v>
      </c>
      <c r="H640" s="6">
        <v>21585.215999999997</v>
      </c>
      <c r="I640" s="18"/>
    </row>
    <row r="641" spans="1:9" ht="15.75" customHeight="1" x14ac:dyDescent="0.35">
      <c r="A641" s="15"/>
      <c r="B641" s="3" t="s">
        <v>639</v>
      </c>
      <c r="C641" s="3" t="s">
        <v>3187</v>
      </c>
      <c r="D641" s="3" t="s">
        <v>861</v>
      </c>
      <c r="E641" s="3" t="s">
        <v>2328</v>
      </c>
      <c r="F641" s="3" t="s">
        <v>1488</v>
      </c>
      <c r="G641" s="3" t="s">
        <v>3857</v>
      </c>
      <c r="H641" s="6">
        <v>21585.215999999997</v>
      </c>
      <c r="I641" s="18"/>
    </row>
    <row r="642" spans="1:9" ht="15.75" customHeight="1" x14ac:dyDescent="0.35">
      <c r="A642" s="15"/>
      <c r="B642" s="3" t="s">
        <v>640</v>
      </c>
      <c r="C642" s="3" t="s">
        <v>3188</v>
      </c>
      <c r="D642" s="3" t="s">
        <v>860</v>
      </c>
      <c r="E642" s="3" t="s">
        <v>2329</v>
      </c>
      <c r="F642" s="3" t="s">
        <v>1489</v>
      </c>
      <c r="G642" s="3" t="s">
        <v>3852</v>
      </c>
      <c r="H642" s="6">
        <v>20431.232</v>
      </c>
      <c r="I642" s="18"/>
    </row>
    <row r="643" spans="1:9" ht="15.75" customHeight="1" x14ac:dyDescent="0.35">
      <c r="A643" s="15"/>
      <c r="B643" s="3" t="s">
        <v>641</v>
      </c>
      <c r="C643" s="3" t="s">
        <v>3189</v>
      </c>
      <c r="D643" s="3" t="s">
        <v>860</v>
      </c>
      <c r="E643" s="3" t="s">
        <v>2330</v>
      </c>
      <c r="F643" s="3" t="s">
        <v>1490</v>
      </c>
      <c r="G643" s="3" t="s">
        <v>6268</v>
      </c>
      <c r="H643" s="6">
        <v>12522.368</v>
      </c>
      <c r="I643" s="18"/>
    </row>
    <row r="644" spans="1:9" ht="15.75" customHeight="1" x14ac:dyDescent="0.35">
      <c r="A644" s="15"/>
      <c r="B644" s="3" t="s">
        <v>642</v>
      </c>
      <c r="C644" s="3" t="s">
        <v>3190</v>
      </c>
      <c r="D644" s="3" t="s">
        <v>860</v>
      </c>
      <c r="E644" s="3" t="s">
        <v>2331</v>
      </c>
      <c r="F644" s="3" t="s">
        <v>1410</v>
      </c>
      <c r="G644" s="3" t="s">
        <v>3858</v>
      </c>
      <c r="H644" s="6">
        <v>22939.536</v>
      </c>
      <c r="I644" s="18"/>
    </row>
    <row r="645" spans="1:9" ht="15.75" customHeight="1" x14ac:dyDescent="0.35">
      <c r="A645" s="15"/>
      <c r="B645" s="3" t="s">
        <v>643</v>
      </c>
      <c r="C645" s="3" t="s">
        <v>3191</v>
      </c>
      <c r="D645" s="3" t="s">
        <v>860</v>
      </c>
      <c r="E645" s="3" t="s">
        <v>2332</v>
      </c>
      <c r="F645" s="3" t="s">
        <v>1491</v>
      </c>
      <c r="G645" s="3" t="s">
        <v>3858</v>
      </c>
      <c r="H645" s="6">
        <v>65542.399999999994</v>
      </c>
      <c r="I645" s="18"/>
    </row>
    <row r="646" spans="1:9" ht="15.75" customHeight="1" x14ac:dyDescent="0.35">
      <c r="A646" s="15"/>
      <c r="B646" s="3" t="s">
        <v>644</v>
      </c>
      <c r="C646" s="3" t="s">
        <v>3192</v>
      </c>
      <c r="D646" s="3" t="s">
        <v>860</v>
      </c>
      <c r="E646" s="3" t="s">
        <v>2333</v>
      </c>
      <c r="F646" s="3" t="s">
        <v>1492</v>
      </c>
      <c r="G646" s="3" t="s">
        <v>5841</v>
      </c>
      <c r="H646" s="6">
        <v>21847.263999999999</v>
      </c>
      <c r="I646" s="18"/>
    </row>
    <row r="647" spans="1:9" ht="15.75" customHeight="1" x14ac:dyDescent="0.35">
      <c r="A647" s="15"/>
      <c r="B647" s="3" t="s">
        <v>645</v>
      </c>
      <c r="C647" s="3" t="s">
        <v>3193</v>
      </c>
      <c r="D647" s="3" t="s">
        <v>860</v>
      </c>
      <c r="E647" s="3" t="s">
        <v>2334</v>
      </c>
      <c r="F647" s="3" t="s">
        <v>1493</v>
      </c>
      <c r="G647" s="3" t="s">
        <v>3859</v>
      </c>
      <c r="H647" s="6">
        <v>43695.135999999999</v>
      </c>
      <c r="I647" s="18"/>
    </row>
    <row r="648" spans="1:9" ht="15.75" customHeight="1" x14ac:dyDescent="0.35">
      <c r="A648" s="15"/>
      <c r="B648" s="3" t="s">
        <v>646</v>
      </c>
      <c r="C648" s="3" t="s">
        <v>3194</v>
      </c>
      <c r="D648" s="3" t="s">
        <v>860</v>
      </c>
      <c r="E648" s="3" t="s">
        <v>2335</v>
      </c>
      <c r="F648" s="3" t="s">
        <v>1494</v>
      </c>
      <c r="G648" s="3" t="s">
        <v>3860</v>
      </c>
      <c r="H648" s="6">
        <v>25953.088</v>
      </c>
      <c r="I648" s="18"/>
    </row>
    <row r="649" spans="1:9" ht="15.75" customHeight="1" x14ac:dyDescent="0.35">
      <c r="A649" s="15"/>
      <c r="B649" s="3" t="s">
        <v>647</v>
      </c>
      <c r="C649" s="3" t="s">
        <v>3195</v>
      </c>
      <c r="D649" s="3" t="s">
        <v>861</v>
      </c>
      <c r="E649" s="3" t="s">
        <v>2336</v>
      </c>
      <c r="F649" s="3" t="s">
        <v>1495</v>
      </c>
      <c r="G649" s="3" t="s">
        <v>3860</v>
      </c>
      <c r="H649" s="6">
        <v>26804.896000000001</v>
      </c>
      <c r="I649" s="18"/>
    </row>
    <row r="650" spans="1:9" ht="15.75" customHeight="1" x14ac:dyDescent="0.35">
      <c r="A650" s="15"/>
      <c r="B650" s="3" t="s">
        <v>648</v>
      </c>
      <c r="C650" s="3" t="s">
        <v>3196</v>
      </c>
      <c r="D650" s="3" t="s">
        <v>861</v>
      </c>
      <c r="E650" s="3" t="s">
        <v>2337</v>
      </c>
      <c r="F650" s="3" t="s">
        <v>1460</v>
      </c>
      <c r="G650" s="3" t="s">
        <v>3860</v>
      </c>
      <c r="H650" s="6">
        <v>14625.44</v>
      </c>
      <c r="I650" s="18"/>
    </row>
    <row r="651" spans="1:9" ht="15.75" customHeight="1" x14ac:dyDescent="0.35">
      <c r="A651" s="15"/>
      <c r="B651" s="3" t="s">
        <v>649</v>
      </c>
      <c r="C651" s="3" t="s">
        <v>3197</v>
      </c>
      <c r="D651" s="3" t="s">
        <v>861</v>
      </c>
      <c r="E651" s="3" t="s">
        <v>2338</v>
      </c>
      <c r="F651" s="3" t="s">
        <v>1496</v>
      </c>
      <c r="G651" s="3" t="s">
        <v>3556</v>
      </c>
      <c r="H651" s="6">
        <v>23581.887999999999</v>
      </c>
      <c r="I651" s="18"/>
    </row>
    <row r="652" spans="1:9" ht="15.75" customHeight="1" x14ac:dyDescent="0.35">
      <c r="A652" s="15"/>
      <c r="B652" s="3" t="s">
        <v>650</v>
      </c>
      <c r="C652" s="3" t="s">
        <v>3198</v>
      </c>
      <c r="D652" s="3" t="s">
        <v>861</v>
      </c>
      <c r="E652" s="3" t="s">
        <v>2339</v>
      </c>
      <c r="F652" s="3" t="s">
        <v>1439</v>
      </c>
      <c r="G652" s="3" t="s">
        <v>6269</v>
      </c>
      <c r="H652" s="6">
        <v>43695.135999999999</v>
      </c>
      <c r="I652" s="18"/>
    </row>
    <row r="653" spans="1:9" ht="15.75" customHeight="1" x14ac:dyDescent="0.35">
      <c r="A653" s="15"/>
      <c r="B653" s="3" t="s">
        <v>651</v>
      </c>
      <c r="C653" s="3" t="s">
        <v>3199</v>
      </c>
      <c r="D653" s="3" t="s">
        <v>860</v>
      </c>
      <c r="E653" s="3" t="s">
        <v>2340</v>
      </c>
      <c r="F653" s="3" t="s">
        <v>1497</v>
      </c>
      <c r="G653" s="3" t="s">
        <v>3861</v>
      </c>
      <c r="H653" s="6">
        <v>24146.719999999998</v>
      </c>
      <c r="I653" s="18"/>
    </row>
    <row r="654" spans="1:9" ht="15.75" customHeight="1" x14ac:dyDescent="0.35">
      <c r="A654" s="15"/>
      <c r="B654" s="3" t="s">
        <v>652</v>
      </c>
      <c r="C654" s="3" t="s">
        <v>3200</v>
      </c>
      <c r="D654" s="3" t="s">
        <v>861</v>
      </c>
      <c r="E654" s="3" t="s">
        <v>2341</v>
      </c>
      <c r="F654" s="3" t="s">
        <v>1498</v>
      </c>
      <c r="G654" s="3" t="s">
        <v>3862</v>
      </c>
      <c r="H654" s="6">
        <v>10644.255999999999</v>
      </c>
      <c r="I654" s="18"/>
    </row>
    <row r="655" spans="1:9" ht="15.75" customHeight="1" x14ac:dyDescent="0.35">
      <c r="A655" s="15"/>
      <c r="B655" s="3" t="s">
        <v>653</v>
      </c>
      <c r="C655" s="3" t="s">
        <v>3201</v>
      </c>
      <c r="D655" s="3" t="s">
        <v>861</v>
      </c>
      <c r="E655" s="3" t="s">
        <v>2342</v>
      </c>
      <c r="F655" s="3" t="s">
        <v>1499</v>
      </c>
      <c r="G655" s="3" t="s">
        <v>6269</v>
      </c>
      <c r="H655" s="6">
        <v>14625.44</v>
      </c>
      <c r="I655" s="18"/>
    </row>
    <row r="656" spans="1:9" ht="15.75" customHeight="1" x14ac:dyDescent="0.35">
      <c r="A656" s="15"/>
      <c r="B656" s="3" t="s">
        <v>654</v>
      </c>
      <c r="C656" s="3" t="s">
        <v>3202</v>
      </c>
      <c r="D656" s="3" t="s">
        <v>860</v>
      </c>
      <c r="E656" s="3" t="s">
        <v>2343</v>
      </c>
      <c r="F656" s="3" t="s">
        <v>1500</v>
      </c>
      <c r="G656" s="3" t="s">
        <v>3871</v>
      </c>
      <c r="H656" s="6">
        <v>17041.023999999998</v>
      </c>
      <c r="I656" s="18"/>
    </row>
    <row r="657" spans="1:9" ht="15.75" customHeight="1" x14ac:dyDescent="0.35">
      <c r="A657" s="15"/>
      <c r="B657" s="3" t="s">
        <v>655</v>
      </c>
      <c r="C657" s="3" t="s">
        <v>3203</v>
      </c>
      <c r="D657" s="3" t="s">
        <v>861</v>
      </c>
      <c r="E657" s="3" t="s">
        <v>2344</v>
      </c>
      <c r="F657" s="3" t="s">
        <v>1501</v>
      </c>
      <c r="G657" s="3" t="s">
        <v>3871</v>
      </c>
      <c r="H657" s="6">
        <v>17041.023999999998</v>
      </c>
      <c r="I657" s="18"/>
    </row>
    <row r="658" spans="1:9" ht="15.75" customHeight="1" x14ac:dyDescent="0.35">
      <c r="A658" s="15"/>
      <c r="B658" s="3" t="s">
        <v>656</v>
      </c>
      <c r="C658" s="3" t="s">
        <v>3204</v>
      </c>
      <c r="D658" s="3" t="s">
        <v>861</v>
      </c>
      <c r="E658" s="3" t="s">
        <v>2345</v>
      </c>
      <c r="F658" s="3" t="s">
        <v>1502</v>
      </c>
      <c r="G658" s="3" t="s">
        <v>5730</v>
      </c>
      <c r="H658" s="6">
        <v>10540.896000000001</v>
      </c>
      <c r="I658" s="18"/>
    </row>
    <row r="659" spans="1:9" ht="15.75" customHeight="1" x14ac:dyDescent="0.35">
      <c r="A659" s="15"/>
      <c r="B659" s="3" t="s">
        <v>657</v>
      </c>
      <c r="C659" s="3" t="s">
        <v>3205</v>
      </c>
      <c r="D659" s="3" t="s">
        <v>860</v>
      </c>
      <c r="E659" s="3" t="s">
        <v>2346</v>
      </c>
      <c r="F659" s="3" t="s">
        <v>1503</v>
      </c>
      <c r="G659" s="3" t="s">
        <v>5730</v>
      </c>
      <c r="H659" s="6">
        <v>34443.807999999997</v>
      </c>
      <c r="I659" s="18"/>
    </row>
    <row r="660" spans="1:9" ht="15.75" customHeight="1" x14ac:dyDescent="0.35">
      <c r="A660" s="15"/>
      <c r="B660" s="3" t="s">
        <v>658</v>
      </c>
      <c r="C660" s="3" t="s">
        <v>3206</v>
      </c>
      <c r="D660" s="3" t="s">
        <v>861</v>
      </c>
      <c r="E660" s="3" t="s">
        <v>2347</v>
      </c>
      <c r="F660" s="3" t="s">
        <v>1504</v>
      </c>
      <c r="G660" s="3" t="s">
        <v>3868</v>
      </c>
      <c r="H660" s="6">
        <v>83610.335999999996</v>
      </c>
      <c r="I660" s="18"/>
    </row>
    <row r="661" spans="1:9" ht="15.75" customHeight="1" x14ac:dyDescent="0.35">
      <c r="A661" s="15"/>
      <c r="B661" s="3" t="s">
        <v>659</v>
      </c>
      <c r="C661" s="3" t="s">
        <v>3207</v>
      </c>
      <c r="D661" s="3" t="s">
        <v>861</v>
      </c>
      <c r="E661" s="3" t="s">
        <v>2348</v>
      </c>
      <c r="F661" s="3" t="s">
        <v>1505</v>
      </c>
      <c r="G661" s="3" t="s">
        <v>5730</v>
      </c>
      <c r="H661" s="6">
        <v>43695.135999999999</v>
      </c>
      <c r="I661" s="18"/>
    </row>
    <row r="662" spans="1:9" ht="15.75" customHeight="1" x14ac:dyDescent="0.35">
      <c r="A662" s="15"/>
      <c r="B662" s="3" t="s">
        <v>660</v>
      </c>
      <c r="C662" s="3" t="s">
        <v>3208</v>
      </c>
      <c r="D662" s="3" t="s">
        <v>861</v>
      </c>
      <c r="E662" s="3" t="s">
        <v>2349</v>
      </c>
      <c r="F662" s="3" t="s">
        <v>1501</v>
      </c>
      <c r="G662" s="3" t="s">
        <v>3869</v>
      </c>
      <c r="H662" s="6">
        <v>53016.991999999998</v>
      </c>
      <c r="I662" s="18"/>
    </row>
    <row r="663" spans="1:9" ht="15.75" customHeight="1" x14ac:dyDescent="0.35">
      <c r="A663" s="15"/>
      <c r="B663" s="3" t="s">
        <v>661</v>
      </c>
      <c r="C663" s="3" t="s">
        <v>3209</v>
      </c>
      <c r="D663" s="3" t="s">
        <v>861</v>
      </c>
      <c r="E663" s="3" t="s">
        <v>2350</v>
      </c>
      <c r="F663" s="3" t="s">
        <v>1506</v>
      </c>
      <c r="G663" s="3" t="s">
        <v>3870</v>
      </c>
      <c r="H663" s="6">
        <v>10644.255999999999</v>
      </c>
      <c r="I663" s="18"/>
    </row>
    <row r="664" spans="1:9" ht="15.75" customHeight="1" x14ac:dyDescent="0.35">
      <c r="A664" s="15"/>
      <c r="B664" s="3" t="s">
        <v>662</v>
      </c>
      <c r="C664" s="3" t="s">
        <v>3210</v>
      </c>
      <c r="D664" s="3" t="s">
        <v>861</v>
      </c>
      <c r="E664" s="3" t="s">
        <v>2351</v>
      </c>
      <c r="F664" s="3" t="s">
        <v>1507</v>
      </c>
      <c r="G664" s="3" t="s">
        <v>6270</v>
      </c>
      <c r="H664" s="6">
        <v>12401.376</v>
      </c>
      <c r="I664" s="18"/>
    </row>
    <row r="665" spans="1:9" ht="15.75" customHeight="1" x14ac:dyDescent="0.35">
      <c r="A665" s="15"/>
      <c r="B665" s="3" t="s">
        <v>663</v>
      </c>
      <c r="C665" s="3" t="s">
        <v>3211</v>
      </c>
      <c r="D665" s="3" t="s">
        <v>861</v>
      </c>
      <c r="E665" s="3" t="s">
        <v>2352</v>
      </c>
      <c r="F665" s="3" t="s">
        <v>1508</v>
      </c>
      <c r="G665" s="3" t="s">
        <v>3871</v>
      </c>
      <c r="H665" s="6">
        <v>38280.288</v>
      </c>
      <c r="I665" s="18"/>
    </row>
    <row r="666" spans="1:9" ht="15.75" customHeight="1" x14ac:dyDescent="0.35">
      <c r="A666" s="15"/>
      <c r="B666" s="3" t="s">
        <v>664</v>
      </c>
      <c r="C666" s="3" t="s">
        <v>3212</v>
      </c>
      <c r="D666" s="3" t="s">
        <v>861</v>
      </c>
      <c r="E666" s="3" t="s">
        <v>2353</v>
      </c>
      <c r="F666" s="3" t="s">
        <v>1509</v>
      </c>
      <c r="G666" s="3" t="s">
        <v>6271</v>
      </c>
      <c r="H666" s="6">
        <v>10644.255999999999</v>
      </c>
      <c r="I666" s="18"/>
    </row>
    <row r="667" spans="1:9" ht="15.75" customHeight="1" x14ac:dyDescent="0.35">
      <c r="A667" s="15"/>
      <c r="B667" s="3" t="s">
        <v>665</v>
      </c>
      <c r="C667" s="3" t="s">
        <v>3213</v>
      </c>
      <c r="D667" s="3" t="s">
        <v>861</v>
      </c>
      <c r="E667" s="3" t="s">
        <v>2354</v>
      </c>
      <c r="F667" s="3" t="s">
        <v>1510</v>
      </c>
      <c r="G667" s="3" t="s">
        <v>3872</v>
      </c>
      <c r="H667" s="6">
        <v>33680.768000000004</v>
      </c>
      <c r="I667" s="18"/>
    </row>
    <row r="668" spans="1:9" ht="15.75" customHeight="1" x14ac:dyDescent="0.35">
      <c r="A668" s="15"/>
      <c r="B668" s="3" t="s">
        <v>666</v>
      </c>
      <c r="C668" s="3" t="s">
        <v>3214</v>
      </c>
      <c r="D668" s="3" t="s">
        <v>860</v>
      </c>
      <c r="E668" s="3" t="s">
        <v>2355</v>
      </c>
      <c r="F668" s="3" t="s">
        <v>1511</v>
      </c>
      <c r="G668" s="3" t="s">
        <v>3874</v>
      </c>
      <c r="H668" s="6">
        <v>23703.488000000001</v>
      </c>
      <c r="I668" s="18"/>
    </row>
    <row r="669" spans="1:9" ht="15.75" customHeight="1" x14ac:dyDescent="0.35">
      <c r="A669" s="15"/>
      <c r="B669" s="3" t="s">
        <v>667</v>
      </c>
      <c r="C669" s="3" t="s">
        <v>3215</v>
      </c>
      <c r="D669" s="3" t="s">
        <v>861</v>
      </c>
      <c r="E669" s="3" t="s">
        <v>2356</v>
      </c>
      <c r="F669" s="3" t="s">
        <v>1512</v>
      </c>
      <c r="G669" s="3" t="s">
        <v>3874</v>
      </c>
      <c r="H669" s="6">
        <v>25549.984</v>
      </c>
      <c r="I669" s="18"/>
    </row>
    <row r="670" spans="1:9" ht="15.75" customHeight="1" x14ac:dyDescent="0.35">
      <c r="A670" s="15"/>
      <c r="B670" s="3" t="s">
        <v>668</v>
      </c>
      <c r="C670" s="3" t="s">
        <v>3216</v>
      </c>
      <c r="D670" s="3" t="s">
        <v>861</v>
      </c>
      <c r="E670" s="3" t="s">
        <v>2357</v>
      </c>
      <c r="F670" s="3" t="s">
        <v>1513</v>
      </c>
      <c r="G670" s="3" t="s">
        <v>5425</v>
      </c>
      <c r="H670" s="6">
        <v>43695.135999999999</v>
      </c>
      <c r="I670" s="18"/>
    </row>
    <row r="671" spans="1:9" ht="15.75" customHeight="1" x14ac:dyDescent="0.35">
      <c r="A671" s="15"/>
      <c r="B671" s="3" t="s">
        <v>669</v>
      </c>
      <c r="C671" s="3" t="s">
        <v>3217</v>
      </c>
      <c r="D671" s="3" t="s">
        <v>860</v>
      </c>
      <c r="E671" s="3" t="s">
        <v>2358</v>
      </c>
      <c r="F671" s="3" t="s">
        <v>1514</v>
      </c>
      <c r="G671" s="3" t="s">
        <v>5797</v>
      </c>
      <c r="H671" s="6">
        <v>19456.608</v>
      </c>
      <c r="I671" s="18"/>
    </row>
    <row r="672" spans="1:9" ht="15.75" customHeight="1" x14ac:dyDescent="0.35">
      <c r="A672" s="15"/>
      <c r="B672" s="3" t="s">
        <v>670</v>
      </c>
      <c r="C672" s="3" t="s">
        <v>3218</v>
      </c>
      <c r="D672" s="3" t="s">
        <v>860</v>
      </c>
      <c r="E672" s="3" t="s">
        <v>2359</v>
      </c>
      <c r="F672" s="3" t="s">
        <v>1515</v>
      </c>
      <c r="G672" s="3" t="s">
        <v>3876</v>
      </c>
      <c r="H672" s="6">
        <v>21847.263999999999</v>
      </c>
      <c r="I672" s="18"/>
    </row>
    <row r="673" spans="1:9" ht="15.75" customHeight="1" x14ac:dyDescent="0.35">
      <c r="A673" s="15"/>
      <c r="B673" s="3" t="s">
        <v>671</v>
      </c>
      <c r="C673" s="3" t="s">
        <v>3219</v>
      </c>
      <c r="D673" s="3" t="s">
        <v>861</v>
      </c>
      <c r="E673" s="3" t="s">
        <v>2360</v>
      </c>
      <c r="F673" s="3" t="s">
        <v>1516</v>
      </c>
      <c r="G673" s="3" t="s">
        <v>6272</v>
      </c>
      <c r="H673" s="6">
        <v>21803.488000000001</v>
      </c>
      <c r="I673" s="18"/>
    </row>
    <row r="674" spans="1:9" ht="15.75" customHeight="1" x14ac:dyDescent="0.35">
      <c r="A674" s="15"/>
      <c r="B674" s="3" t="s">
        <v>672</v>
      </c>
      <c r="C674" s="3" t="s">
        <v>3220</v>
      </c>
      <c r="D674" s="3" t="s">
        <v>860</v>
      </c>
      <c r="E674" s="3" t="s">
        <v>2361</v>
      </c>
      <c r="F674" s="3" t="s">
        <v>1517</v>
      </c>
      <c r="G674" s="3" t="s">
        <v>5425</v>
      </c>
      <c r="H674" s="6">
        <v>20036.031999999999</v>
      </c>
      <c r="I674" s="18"/>
    </row>
    <row r="675" spans="1:9" ht="15.75" customHeight="1" x14ac:dyDescent="0.35">
      <c r="A675" s="15"/>
      <c r="B675" s="3" t="s">
        <v>673</v>
      </c>
      <c r="C675" s="3" t="s">
        <v>3221</v>
      </c>
      <c r="D675" s="3" t="s">
        <v>861</v>
      </c>
      <c r="E675" s="3" t="s">
        <v>2362</v>
      </c>
      <c r="F675" s="3" t="s">
        <v>1518</v>
      </c>
      <c r="G675" s="3" t="s">
        <v>5637</v>
      </c>
      <c r="H675" s="6">
        <v>18964.128000000001</v>
      </c>
      <c r="I675" s="18"/>
    </row>
    <row r="676" spans="1:9" ht="15.75" customHeight="1" x14ac:dyDescent="0.35">
      <c r="A676" s="15"/>
      <c r="B676" s="3" t="s">
        <v>674</v>
      </c>
      <c r="C676" s="3" t="s">
        <v>3222</v>
      </c>
      <c r="D676" s="3" t="s">
        <v>861</v>
      </c>
      <c r="E676" s="3" t="s">
        <v>2363</v>
      </c>
      <c r="F676" s="3" t="s">
        <v>1519</v>
      </c>
      <c r="G676" s="3" t="s">
        <v>6272</v>
      </c>
      <c r="H676" s="6">
        <v>21891.040000000001</v>
      </c>
      <c r="I676" s="18"/>
    </row>
    <row r="677" spans="1:9" ht="15.75" customHeight="1" x14ac:dyDescent="0.35">
      <c r="A677" s="15"/>
      <c r="B677" s="3" t="s">
        <v>675</v>
      </c>
      <c r="C677" s="3" t="s">
        <v>3223</v>
      </c>
      <c r="D677" s="3" t="s">
        <v>860</v>
      </c>
      <c r="E677" s="3" t="s">
        <v>2364</v>
      </c>
      <c r="F677" s="3" t="s">
        <v>1520</v>
      </c>
      <c r="G677" s="3" t="s">
        <v>3875</v>
      </c>
      <c r="H677" s="6">
        <v>24591.167999999998</v>
      </c>
      <c r="I677" s="18"/>
    </row>
    <row r="678" spans="1:9" ht="15.75" customHeight="1" x14ac:dyDescent="0.35">
      <c r="A678" s="15"/>
      <c r="B678" s="3" t="s">
        <v>676</v>
      </c>
      <c r="C678" s="3" t="s">
        <v>3224</v>
      </c>
      <c r="D678" s="3" t="s">
        <v>861</v>
      </c>
      <c r="E678" s="3" t="s">
        <v>2365</v>
      </c>
      <c r="F678" s="3" t="s">
        <v>1521</v>
      </c>
      <c r="G678" s="3" t="s">
        <v>3876</v>
      </c>
      <c r="H678" s="6">
        <v>23815.359999999997</v>
      </c>
      <c r="I678" s="18"/>
    </row>
    <row r="679" spans="1:9" ht="15.75" customHeight="1" x14ac:dyDescent="0.35">
      <c r="A679" s="15"/>
      <c r="B679" s="3" t="s">
        <v>677</v>
      </c>
      <c r="C679" s="3" t="s">
        <v>3225</v>
      </c>
      <c r="D679" s="3" t="s">
        <v>861</v>
      </c>
      <c r="E679" s="3" t="s">
        <v>2366</v>
      </c>
      <c r="F679" s="3" t="s">
        <v>1522</v>
      </c>
      <c r="G679" s="3" t="s">
        <v>3877</v>
      </c>
      <c r="H679" s="6">
        <v>22504.511999999999</v>
      </c>
      <c r="I679" s="18"/>
    </row>
    <row r="680" spans="1:9" ht="15.75" customHeight="1" x14ac:dyDescent="0.35">
      <c r="A680" s="15"/>
      <c r="B680" s="3" t="s">
        <v>678</v>
      </c>
      <c r="C680" s="3" t="s">
        <v>3226</v>
      </c>
      <c r="D680" s="3" t="s">
        <v>861</v>
      </c>
      <c r="E680" s="3" t="s">
        <v>2367</v>
      </c>
      <c r="F680" s="3" t="s">
        <v>1523</v>
      </c>
      <c r="G680" s="3" t="s">
        <v>3877</v>
      </c>
      <c r="H680" s="6">
        <v>54618.464</v>
      </c>
      <c r="I680" s="18"/>
    </row>
    <row r="681" spans="1:9" ht="15.75" customHeight="1" x14ac:dyDescent="0.35">
      <c r="A681" s="15"/>
      <c r="B681" s="3" t="s">
        <v>679</v>
      </c>
      <c r="C681" s="3" t="s">
        <v>3227</v>
      </c>
      <c r="D681" s="3" t="s">
        <v>861</v>
      </c>
      <c r="E681" s="3" t="s">
        <v>2368</v>
      </c>
      <c r="F681" s="3" t="s">
        <v>1524</v>
      </c>
      <c r="G681" s="3" t="s">
        <v>3877</v>
      </c>
      <c r="H681" s="6">
        <v>13178.4</v>
      </c>
      <c r="I681" s="18"/>
    </row>
    <row r="682" spans="1:9" ht="15.75" customHeight="1" x14ac:dyDescent="0.35">
      <c r="A682" s="15"/>
      <c r="B682" s="3" t="s">
        <v>680</v>
      </c>
      <c r="C682" s="3" t="s">
        <v>3228</v>
      </c>
      <c r="D682" s="3" t="s">
        <v>861</v>
      </c>
      <c r="E682" s="3" t="s">
        <v>2369</v>
      </c>
      <c r="F682" s="3" t="s">
        <v>1525</v>
      </c>
      <c r="G682" s="3" t="s">
        <v>3877</v>
      </c>
      <c r="H682" s="6">
        <v>22015.68</v>
      </c>
      <c r="I682" s="18"/>
    </row>
    <row r="683" spans="1:9" ht="15.75" customHeight="1" x14ac:dyDescent="0.35">
      <c r="A683" s="15"/>
      <c r="B683" s="3" t="s">
        <v>681</v>
      </c>
      <c r="C683" s="3" t="s">
        <v>3229</v>
      </c>
      <c r="D683" s="3" t="s">
        <v>861</v>
      </c>
      <c r="E683" s="3" t="s">
        <v>2370</v>
      </c>
      <c r="F683" s="3" t="s">
        <v>1168</v>
      </c>
      <c r="G683" s="3" t="s">
        <v>3878</v>
      </c>
      <c r="H683" s="6">
        <v>19593.407999999999</v>
      </c>
      <c r="I683" s="18"/>
    </row>
    <row r="684" spans="1:9" ht="15.75" customHeight="1" x14ac:dyDescent="0.35">
      <c r="A684" s="15"/>
      <c r="B684" s="3" t="s">
        <v>682</v>
      </c>
      <c r="C684" s="3" t="s">
        <v>3230</v>
      </c>
      <c r="D684" s="3" t="s">
        <v>860</v>
      </c>
      <c r="E684" s="3" t="s">
        <v>2371</v>
      </c>
      <c r="F684" s="3" t="s">
        <v>1526</v>
      </c>
      <c r="G684" s="3" t="s">
        <v>3879</v>
      </c>
      <c r="H684" s="6">
        <v>28401.503999999997</v>
      </c>
      <c r="I684" s="18"/>
    </row>
    <row r="685" spans="1:9" ht="15.75" customHeight="1" x14ac:dyDescent="0.35">
      <c r="A685" s="15"/>
      <c r="B685" s="3" t="s">
        <v>683</v>
      </c>
      <c r="C685" s="3" t="s">
        <v>3231</v>
      </c>
      <c r="D685" s="3" t="s">
        <v>860</v>
      </c>
      <c r="E685" s="3" t="s">
        <v>2372</v>
      </c>
      <c r="F685" s="3" t="s">
        <v>1197</v>
      </c>
      <c r="G685" s="3" t="s">
        <v>6273</v>
      </c>
      <c r="H685" s="6">
        <v>18784.16</v>
      </c>
      <c r="I685" s="18"/>
    </row>
    <row r="686" spans="1:9" ht="15.75" customHeight="1" x14ac:dyDescent="0.35">
      <c r="A686" s="15"/>
      <c r="B686" s="3" t="s">
        <v>684</v>
      </c>
      <c r="C686" s="3" t="s">
        <v>3232</v>
      </c>
      <c r="D686" s="3" t="s">
        <v>860</v>
      </c>
      <c r="E686" s="3" t="s">
        <v>2373</v>
      </c>
      <c r="F686" s="3" t="s">
        <v>1527</v>
      </c>
      <c r="G686" s="3" t="s">
        <v>3879</v>
      </c>
      <c r="H686" s="6">
        <v>93921.407999999996</v>
      </c>
      <c r="I686" s="18"/>
    </row>
    <row r="687" spans="1:9" ht="15.75" customHeight="1" x14ac:dyDescent="0.35">
      <c r="A687" s="15"/>
      <c r="B687" s="3" t="s">
        <v>685</v>
      </c>
      <c r="C687" s="3" t="s">
        <v>3233</v>
      </c>
      <c r="D687" s="3" t="s">
        <v>860</v>
      </c>
      <c r="E687" s="3" t="s">
        <v>2374</v>
      </c>
      <c r="F687" s="3" t="s">
        <v>1528</v>
      </c>
      <c r="G687" s="3" t="s">
        <v>3881</v>
      </c>
      <c r="H687" s="6">
        <v>14768.928</v>
      </c>
      <c r="I687" s="18"/>
    </row>
    <row r="688" spans="1:9" ht="15.75" customHeight="1" x14ac:dyDescent="0.35">
      <c r="A688" s="15"/>
      <c r="B688" s="3" t="s">
        <v>686</v>
      </c>
      <c r="C688" s="3" t="s">
        <v>3234</v>
      </c>
      <c r="D688" s="3" t="s">
        <v>861</v>
      </c>
      <c r="E688" s="3" t="s">
        <v>2375</v>
      </c>
      <c r="F688" s="3" t="s">
        <v>1529</v>
      </c>
      <c r="G688" s="3" t="s">
        <v>3878</v>
      </c>
      <c r="H688" s="6">
        <v>14856.48</v>
      </c>
      <c r="I688" s="18"/>
    </row>
    <row r="689" spans="1:9" ht="15.75" customHeight="1" x14ac:dyDescent="0.35">
      <c r="A689" s="15"/>
      <c r="B689" s="3" t="s">
        <v>687</v>
      </c>
      <c r="C689" s="3" t="s">
        <v>3235</v>
      </c>
      <c r="D689" s="3" t="s">
        <v>861</v>
      </c>
      <c r="E689" s="3" t="s">
        <v>2376</v>
      </c>
      <c r="F689" s="3" t="s">
        <v>1530</v>
      </c>
      <c r="G689" s="3" t="s">
        <v>3882</v>
      </c>
      <c r="H689" s="6">
        <v>10644.255999999999</v>
      </c>
      <c r="I689" s="18"/>
    </row>
    <row r="690" spans="1:9" ht="15.75" customHeight="1" x14ac:dyDescent="0.35">
      <c r="A690" s="15"/>
      <c r="B690" s="3" t="s">
        <v>688</v>
      </c>
      <c r="C690" s="3" t="s">
        <v>3236</v>
      </c>
      <c r="D690" s="3" t="s">
        <v>860</v>
      </c>
      <c r="E690" s="3" t="s">
        <v>2377</v>
      </c>
      <c r="F690" s="3" t="s">
        <v>1531</v>
      </c>
      <c r="G690" s="3" t="s">
        <v>3883</v>
      </c>
      <c r="H690" s="6">
        <v>12645.791999999999</v>
      </c>
      <c r="I690" s="18"/>
    </row>
    <row r="691" spans="1:9" ht="15.75" customHeight="1" x14ac:dyDescent="0.35">
      <c r="A691" s="15"/>
      <c r="B691" s="3" t="s">
        <v>689</v>
      </c>
      <c r="C691" s="3" t="s">
        <v>3237</v>
      </c>
      <c r="D691" s="3" t="s">
        <v>861</v>
      </c>
      <c r="E691" s="3" t="s">
        <v>2378</v>
      </c>
      <c r="F691" s="3" t="s">
        <v>1532</v>
      </c>
      <c r="G691" s="3" t="s">
        <v>5946</v>
      </c>
      <c r="H691" s="6">
        <v>42421.983999999997</v>
      </c>
      <c r="I691" s="18"/>
    </row>
    <row r="692" spans="1:9" ht="15.75" customHeight="1" x14ac:dyDescent="0.35">
      <c r="A692" s="15"/>
      <c r="B692" s="3" t="s">
        <v>690</v>
      </c>
      <c r="C692" s="3" t="s">
        <v>3238</v>
      </c>
      <c r="D692" s="3" t="s">
        <v>860</v>
      </c>
      <c r="E692" s="3" t="s">
        <v>2379</v>
      </c>
      <c r="F692" s="3" t="s">
        <v>1482</v>
      </c>
      <c r="G692" s="3" t="s">
        <v>3884</v>
      </c>
      <c r="H692" s="6">
        <v>12522.975999999999</v>
      </c>
      <c r="I692" s="18"/>
    </row>
    <row r="693" spans="1:9" ht="15.75" customHeight="1" x14ac:dyDescent="0.35">
      <c r="A693" s="15"/>
      <c r="B693" s="3" t="s">
        <v>691</v>
      </c>
      <c r="C693" s="3" t="s">
        <v>3239</v>
      </c>
      <c r="D693" s="3" t="s">
        <v>860</v>
      </c>
      <c r="E693" s="3" t="s">
        <v>2380</v>
      </c>
      <c r="F693" s="3" t="s">
        <v>1533</v>
      </c>
      <c r="G693" s="3" t="s">
        <v>3885</v>
      </c>
      <c r="H693" s="6">
        <v>18784.16</v>
      </c>
      <c r="I693" s="18"/>
    </row>
    <row r="694" spans="1:9" ht="15.75" customHeight="1" x14ac:dyDescent="0.35">
      <c r="A694" s="15"/>
      <c r="B694" s="3" t="s">
        <v>692</v>
      </c>
      <c r="C694" s="3" t="s">
        <v>3240</v>
      </c>
      <c r="D694" s="3" t="s">
        <v>860</v>
      </c>
      <c r="E694" s="3" t="s">
        <v>2381</v>
      </c>
      <c r="F694" s="3" t="s">
        <v>1534</v>
      </c>
      <c r="G694" s="3" t="s">
        <v>3886</v>
      </c>
      <c r="H694" s="6">
        <v>15721.663999999999</v>
      </c>
      <c r="I694" s="18"/>
    </row>
    <row r="695" spans="1:9" ht="15.75" customHeight="1" x14ac:dyDescent="0.35">
      <c r="A695" s="15"/>
      <c r="B695" s="3" t="s">
        <v>693</v>
      </c>
      <c r="C695" s="3" t="s">
        <v>3241</v>
      </c>
      <c r="D695" s="3" t="s">
        <v>861</v>
      </c>
      <c r="E695" s="3" t="s">
        <v>2382</v>
      </c>
      <c r="F695" s="3" t="s">
        <v>1535</v>
      </c>
      <c r="G695" s="3" t="s">
        <v>3887</v>
      </c>
      <c r="H695" s="6">
        <v>32345.599999999999</v>
      </c>
      <c r="I695" s="18"/>
    </row>
    <row r="696" spans="1:9" ht="15.75" customHeight="1" x14ac:dyDescent="0.35">
      <c r="A696" s="15"/>
      <c r="B696" s="3" t="s">
        <v>694</v>
      </c>
      <c r="C696" s="3" t="s">
        <v>3242</v>
      </c>
      <c r="D696" s="3" t="s">
        <v>861</v>
      </c>
      <c r="E696" s="3" t="s">
        <v>2383</v>
      </c>
      <c r="F696" s="3" t="s">
        <v>1536</v>
      </c>
      <c r="G696" s="3" t="s">
        <v>5898</v>
      </c>
      <c r="H696" s="6">
        <v>10810.848</v>
      </c>
      <c r="I696" s="18"/>
    </row>
    <row r="697" spans="1:9" ht="15.75" customHeight="1" x14ac:dyDescent="0.35">
      <c r="A697" s="15"/>
      <c r="B697" s="3" t="s">
        <v>695</v>
      </c>
      <c r="C697" s="3" t="s">
        <v>3243</v>
      </c>
      <c r="D697" s="3" t="s">
        <v>861</v>
      </c>
      <c r="E697" s="3" t="s">
        <v>2384</v>
      </c>
      <c r="F697" s="3" t="s">
        <v>1537</v>
      </c>
      <c r="G697" s="3" t="s">
        <v>3897</v>
      </c>
      <c r="H697" s="6">
        <v>54088.288</v>
      </c>
      <c r="I697" s="18"/>
    </row>
    <row r="698" spans="1:9" ht="15.75" customHeight="1" x14ac:dyDescent="0.35">
      <c r="A698" s="15"/>
      <c r="B698" s="3" t="s">
        <v>696</v>
      </c>
      <c r="C698" s="3" t="s">
        <v>3244</v>
      </c>
      <c r="D698" s="3" t="s">
        <v>860</v>
      </c>
      <c r="E698" s="3" t="s">
        <v>2385</v>
      </c>
      <c r="F698" s="3" t="s">
        <v>1538</v>
      </c>
      <c r="G698" s="3" t="s">
        <v>5842</v>
      </c>
      <c r="H698" s="6">
        <v>33388.32</v>
      </c>
      <c r="I698" s="18"/>
    </row>
    <row r="699" spans="1:9" ht="15.75" customHeight="1" x14ac:dyDescent="0.35">
      <c r="A699" s="15"/>
      <c r="B699" s="3" t="s">
        <v>697</v>
      </c>
      <c r="C699" s="3" t="s">
        <v>3245</v>
      </c>
      <c r="D699" s="3" t="s">
        <v>861</v>
      </c>
      <c r="E699" s="3" t="s">
        <v>2386</v>
      </c>
      <c r="F699" s="3" t="s">
        <v>1539</v>
      </c>
      <c r="G699" s="3" t="s">
        <v>3898</v>
      </c>
      <c r="H699" s="6">
        <v>66178.368000000002</v>
      </c>
      <c r="I699" s="18"/>
    </row>
    <row r="700" spans="1:9" ht="15.75" customHeight="1" x14ac:dyDescent="0.35">
      <c r="A700" s="15"/>
      <c r="B700" s="3" t="s">
        <v>698</v>
      </c>
      <c r="C700" s="3" t="s">
        <v>3246</v>
      </c>
      <c r="D700" s="3" t="s">
        <v>861</v>
      </c>
      <c r="E700" s="3" t="s">
        <v>2387</v>
      </c>
      <c r="F700" s="3" t="s">
        <v>1540</v>
      </c>
      <c r="G700" s="3" t="s">
        <v>6274</v>
      </c>
      <c r="H700" s="6">
        <v>23763.68</v>
      </c>
      <c r="I700" s="18"/>
    </row>
    <row r="701" spans="1:9" ht="15.75" customHeight="1" x14ac:dyDescent="0.35">
      <c r="A701" s="15"/>
      <c r="B701" s="3" t="s">
        <v>699</v>
      </c>
      <c r="C701" s="3" t="s">
        <v>3247</v>
      </c>
      <c r="D701" s="3" t="s">
        <v>860</v>
      </c>
      <c r="E701" s="3" t="s">
        <v>2388</v>
      </c>
      <c r="F701" s="3" t="s">
        <v>1541</v>
      </c>
      <c r="G701" s="3" t="s">
        <v>3900</v>
      </c>
      <c r="H701" s="6">
        <v>12158.175999999999</v>
      </c>
      <c r="I701" s="18"/>
    </row>
    <row r="702" spans="1:9" ht="15.75" customHeight="1" x14ac:dyDescent="0.35">
      <c r="A702" s="15"/>
      <c r="B702" s="3" t="s">
        <v>700</v>
      </c>
      <c r="C702" s="3" t="s">
        <v>3248</v>
      </c>
      <c r="D702" s="3" t="s">
        <v>861</v>
      </c>
      <c r="E702" s="3" t="s">
        <v>2389</v>
      </c>
      <c r="F702" s="3" t="s">
        <v>1542</v>
      </c>
      <c r="G702" s="3" t="s">
        <v>3899</v>
      </c>
      <c r="H702" s="6">
        <v>33388.32</v>
      </c>
      <c r="I702" s="18"/>
    </row>
    <row r="703" spans="1:9" ht="15.75" customHeight="1" x14ac:dyDescent="0.35">
      <c r="A703" s="15"/>
      <c r="B703" s="3" t="s">
        <v>701</v>
      </c>
      <c r="C703" s="3" t="s">
        <v>3249</v>
      </c>
      <c r="D703" s="3" t="s">
        <v>861</v>
      </c>
      <c r="E703" s="3" t="s">
        <v>2390</v>
      </c>
      <c r="F703" s="3" t="s">
        <v>1543</v>
      </c>
      <c r="G703" s="3" t="s">
        <v>3899</v>
      </c>
      <c r="H703" s="6">
        <v>42421.983999999997</v>
      </c>
      <c r="I703" s="18"/>
    </row>
    <row r="704" spans="1:9" ht="15.75" customHeight="1" x14ac:dyDescent="0.35">
      <c r="A704" s="15"/>
      <c r="B704" s="3" t="s">
        <v>702</v>
      </c>
      <c r="C704" s="3" t="s">
        <v>3250</v>
      </c>
      <c r="D704" s="3" t="s">
        <v>861</v>
      </c>
      <c r="E704" s="3" t="s">
        <v>2391</v>
      </c>
      <c r="F704" s="3" t="s">
        <v>1544</v>
      </c>
      <c r="G704" s="3" t="s">
        <v>3899</v>
      </c>
      <c r="H704" s="6">
        <v>33388.32</v>
      </c>
      <c r="I704" s="18"/>
    </row>
    <row r="705" spans="1:9" ht="15.75" customHeight="1" x14ac:dyDescent="0.35">
      <c r="A705" s="15"/>
      <c r="B705" s="3" t="s">
        <v>703</v>
      </c>
      <c r="C705" s="3" t="s">
        <v>3251</v>
      </c>
      <c r="D705" s="3" t="s">
        <v>861</v>
      </c>
      <c r="E705" s="3" t="s">
        <v>2392</v>
      </c>
      <c r="F705" s="3" t="s">
        <v>1545</v>
      </c>
      <c r="G705" s="3" t="s">
        <v>3900</v>
      </c>
      <c r="H705" s="6">
        <v>14338.464</v>
      </c>
      <c r="I705" s="18"/>
    </row>
    <row r="706" spans="1:9" ht="15.75" customHeight="1" x14ac:dyDescent="0.35">
      <c r="A706" s="15"/>
      <c r="B706" s="3" t="s">
        <v>704</v>
      </c>
      <c r="C706" s="3" t="s">
        <v>3252</v>
      </c>
      <c r="D706" s="3" t="s">
        <v>861</v>
      </c>
      <c r="E706" s="3" t="s">
        <v>2393</v>
      </c>
      <c r="F706" s="3" t="s">
        <v>1546</v>
      </c>
      <c r="G706" s="3" t="s">
        <v>6275</v>
      </c>
      <c r="H706" s="6">
        <v>10334.175999999999</v>
      </c>
      <c r="I706" s="18"/>
    </row>
    <row r="707" spans="1:9" ht="15.75" customHeight="1" x14ac:dyDescent="0.35">
      <c r="A707" s="15"/>
      <c r="B707" s="3" t="s">
        <v>705</v>
      </c>
      <c r="C707" s="3" t="s">
        <v>3253</v>
      </c>
      <c r="D707" s="3" t="s">
        <v>861</v>
      </c>
      <c r="E707" s="3" t="s">
        <v>2394</v>
      </c>
      <c r="F707" s="3" t="s">
        <v>1547</v>
      </c>
      <c r="G707" s="3" t="s">
        <v>3899</v>
      </c>
      <c r="H707" s="6">
        <v>25453.311999999998</v>
      </c>
      <c r="I707" s="18"/>
    </row>
    <row r="708" spans="1:9" ht="15.75" customHeight="1" x14ac:dyDescent="0.35">
      <c r="A708" s="15"/>
      <c r="B708" s="3" t="s">
        <v>706</v>
      </c>
      <c r="C708" s="3" t="s">
        <v>3254</v>
      </c>
      <c r="D708" s="3" t="s">
        <v>860</v>
      </c>
      <c r="E708" s="3" t="s">
        <v>2395</v>
      </c>
      <c r="F708" s="3" t="s">
        <v>1548</v>
      </c>
      <c r="G708" s="3" t="s">
        <v>3898</v>
      </c>
      <c r="H708" s="6">
        <v>12158.175999999999</v>
      </c>
      <c r="I708" s="18"/>
    </row>
    <row r="709" spans="1:9" ht="15.75" customHeight="1" x14ac:dyDescent="0.35">
      <c r="A709" s="15"/>
      <c r="B709" s="3" t="s">
        <v>707</v>
      </c>
      <c r="C709" s="3" t="s">
        <v>3255</v>
      </c>
      <c r="D709" s="3" t="s">
        <v>860</v>
      </c>
      <c r="E709" s="3" t="s">
        <v>2396</v>
      </c>
      <c r="F709" s="3" t="s">
        <v>1549</v>
      </c>
      <c r="G709" s="3" t="s">
        <v>3902</v>
      </c>
      <c r="H709" s="6">
        <v>19359.328000000001</v>
      </c>
      <c r="I709" s="18"/>
    </row>
    <row r="710" spans="1:9" ht="15.75" customHeight="1" x14ac:dyDescent="0.35">
      <c r="A710" s="15"/>
      <c r="B710" s="3" t="s">
        <v>708</v>
      </c>
      <c r="C710" s="3" t="s">
        <v>3256</v>
      </c>
      <c r="D710" s="3" t="s">
        <v>861</v>
      </c>
      <c r="E710" s="3" t="s">
        <v>2397</v>
      </c>
      <c r="F710" s="3" t="s">
        <v>1550</v>
      </c>
      <c r="G710" s="3" t="s">
        <v>3902</v>
      </c>
      <c r="H710" s="6">
        <v>24994.880000000001</v>
      </c>
      <c r="I710" s="18"/>
    </row>
    <row r="711" spans="1:9" ht="15.75" customHeight="1" x14ac:dyDescent="0.35">
      <c r="A711" s="15"/>
      <c r="B711" s="3" t="s">
        <v>709</v>
      </c>
      <c r="C711" s="3" t="s">
        <v>3257</v>
      </c>
      <c r="D711" s="3" t="s">
        <v>861</v>
      </c>
      <c r="E711" s="3" t="s">
        <v>2398</v>
      </c>
      <c r="F711" s="3" t="s">
        <v>1551</v>
      </c>
      <c r="G711" s="3" t="s">
        <v>3902</v>
      </c>
      <c r="H711" s="6">
        <v>21543.871999999996</v>
      </c>
      <c r="I711" s="18"/>
    </row>
    <row r="712" spans="1:9" ht="15.75" customHeight="1" x14ac:dyDescent="0.35">
      <c r="A712" s="15"/>
      <c r="B712" s="3" t="s">
        <v>710</v>
      </c>
      <c r="C712" s="3" t="s">
        <v>3258</v>
      </c>
      <c r="D712" s="3" t="s">
        <v>861</v>
      </c>
      <c r="E712" s="3" t="s">
        <v>2399</v>
      </c>
      <c r="F712" s="3" t="s">
        <v>1552</v>
      </c>
      <c r="G712" s="3" t="s">
        <v>3899</v>
      </c>
      <c r="H712" s="6">
        <v>20020.831999999999</v>
      </c>
      <c r="I712" s="18"/>
    </row>
    <row r="713" spans="1:9" ht="15.75" customHeight="1" x14ac:dyDescent="0.35">
      <c r="A713" s="15"/>
      <c r="B713" s="3" t="s">
        <v>711</v>
      </c>
      <c r="C713" s="3" t="s">
        <v>3259</v>
      </c>
      <c r="D713" s="3" t="s">
        <v>860</v>
      </c>
      <c r="E713" s="3" t="s">
        <v>2400</v>
      </c>
      <c r="F713" s="3" t="s">
        <v>1553</v>
      </c>
      <c r="G713" s="3" t="s">
        <v>6276</v>
      </c>
      <c r="H713" s="6">
        <v>16177.663999999999</v>
      </c>
      <c r="I713" s="18"/>
    </row>
    <row r="714" spans="1:9" ht="15.75" customHeight="1" x14ac:dyDescent="0.35">
      <c r="A714" s="15"/>
      <c r="B714" s="3" t="s">
        <v>712</v>
      </c>
      <c r="C714" s="3" t="s">
        <v>3260</v>
      </c>
      <c r="D714" s="3" t="s">
        <v>861</v>
      </c>
      <c r="E714" s="3" t="s">
        <v>2401</v>
      </c>
      <c r="F714" s="3" t="s">
        <v>1554</v>
      </c>
      <c r="G714" s="3" t="s">
        <v>3899</v>
      </c>
      <c r="H714" s="6">
        <v>33388.32</v>
      </c>
      <c r="I714" s="18"/>
    </row>
    <row r="715" spans="1:9" ht="15.75" customHeight="1" x14ac:dyDescent="0.35">
      <c r="A715" s="15"/>
      <c r="B715" s="3" t="s">
        <v>713</v>
      </c>
      <c r="C715" s="3" t="s">
        <v>3261</v>
      </c>
      <c r="D715" s="3" t="s">
        <v>861</v>
      </c>
      <c r="E715" s="3" t="s">
        <v>2402</v>
      </c>
      <c r="F715" s="3" t="s">
        <v>1250</v>
      </c>
      <c r="G715" s="3" t="s">
        <v>6254</v>
      </c>
      <c r="H715" s="6">
        <v>31816.943999999996</v>
      </c>
      <c r="I715" s="18"/>
    </row>
    <row r="716" spans="1:9" ht="15.75" customHeight="1" x14ac:dyDescent="0.35">
      <c r="A716" s="15"/>
      <c r="B716" s="3" t="s">
        <v>714</v>
      </c>
      <c r="C716" s="3" t="s">
        <v>3262</v>
      </c>
      <c r="D716" s="3" t="s">
        <v>861</v>
      </c>
      <c r="E716" s="3" t="s">
        <v>2403</v>
      </c>
      <c r="F716" s="3" t="s">
        <v>1555</v>
      </c>
      <c r="G716" s="3" t="s">
        <v>5726</v>
      </c>
      <c r="H716" s="6">
        <v>19590.976000000002</v>
      </c>
      <c r="I716" s="18"/>
    </row>
    <row r="717" spans="1:9" ht="15.75" customHeight="1" x14ac:dyDescent="0.35">
      <c r="A717" s="15"/>
      <c r="B717" s="3" t="s">
        <v>715</v>
      </c>
      <c r="C717" s="3" t="s">
        <v>3263</v>
      </c>
      <c r="D717" s="3" t="s">
        <v>861</v>
      </c>
      <c r="E717" s="3" t="s">
        <v>2404</v>
      </c>
      <c r="F717" s="3" t="s">
        <v>1556</v>
      </c>
      <c r="G717" s="3" t="s">
        <v>5466</v>
      </c>
      <c r="H717" s="6">
        <v>50584.08</v>
      </c>
      <c r="I717" s="18"/>
    </row>
    <row r="718" spans="1:9" ht="15.75" customHeight="1" x14ac:dyDescent="0.35">
      <c r="A718" s="15"/>
      <c r="B718" s="3" t="s">
        <v>716</v>
      </c>
      <c r="C718" s="3" t="s">
        <v>3264</v>
      </c>
      <c r="D718" s="3" t="s">
        <v>861</v>
      </c>
      <c r="E718" s="3" t="s">
        <v>2405</v>
      </c>
      <c r="F718" s="3" t="s">
        <v>1557</v>
      </c>
      <c r="G718" s="3" t="s">
        <v>3903</v>
      </c>
      <c r="H718" s="6">
        <v>77319.360000000001</v>
      </c>
      <c r="I718" s="18"/>
    </row>
    <row r="719" spans="1:9" ht="15.75" customHeight="1" x14ac:dyDescent="0.35">
      <c r="A719" s="15"/>
      <c r="B719" s="3" t="s">
        <v>717</v>
      </c>
      <c r="C719" s="3" t="s">
        <v>3265</v>
      </c>
      <c r="D719" s="3" t="s">
        <v>860</v>
      </c>
      <c r="E719" s="3" t="s">
        <v>2406</v>
      </c>
      <c r="F719" s="3" t="s">
        <v>1558</v>
      </c>
      <c r="G719" s="3" t="s">
        <v>3909</v>
      </c>
      <c r="H719" s="6">
        <v>22477.759999999998</v>
      </c>
      <c r="I719" s="18"/>
    </row>
    <row r="720" spans="1:9" ht="15.75" customHeight="1" x14ac:dyDescent="0.35">
      <c r="A720" s="15"/>
      <c r="B720" s="3" t="s">
        <v>718</v>
      </c>
      <c r="C720" s="3" t="s">
        <v>3266</v>
      </c>
      <c r="D720" s="3" t="s">
        <v>861</v>
      </c>
      <c r="E720" s="3" t="s">
        <v>2407</v>
      </c>
      <c r="F720" s="3" t="s">
        <v>985</v>
      </c>
      <c r="G720" s="3" t="s">
        <v>6277</v>
      </c>
      <c r="H720" s="6">
        <v>19452.96</v>
      </c>
      <c r="I720" s="18"/>
    </row>
    <row r="721" spans="1:9" ht="15.75" customHeight="1" x14ac:dyDescent="0.35">
      <c r="A721" s="15"/>
      <c r="B721" s="3" t="s">
        <v>719</v>
      </c>
      <c r="C721" s="3" t="s">
        <v>3267</v>
      </c>
      <c r="D721" s="3" t="s">
        <v>861</v>
      </c>
      <c r="E721" s="3" t="s">
        <v>2408</v>
      </c>
      <c r="F721" s="3" t="s">
        <v>1559</v>
      </c>
      <c r="G721" s="3" t="s">
        <v>3910</v>
      </c>
      <c r="H721" s="6">
        <v>10334.175999999999</v>
      </c>
      <c r="I721" s="18"/>
    </row>
    <row r="722" spans="1:9" ht="15.75" customHeight="1" x14ac:dyDescent="0.35">
      <c r="A722" s="15"/>
      <c r="B722" s="3" t="s">
        <v>720</v>
      </c>
      <c r="C722" s="3" t="s">
        <v>3268</v>
      </c>
      <c r="D722" s="3" t="s">
        <v>861</v>
      </c>
      <c r="E722" s="3" t="s">
        <v>2409</v>
      </c>
      <c r="F722" s="3" t="s">
        <v>1560</v>
      </c>
      <c r="G722" s="3" t="s">
        <v>5675</v>
      </c>
      <c r="H722" s="6">
        <v>21211.295999999998</v>
      </c>
      <c r="I722" s="18"/>
    </row>
    <row r="723" spans="1:9" ht="15.75" customHeight="1" x14ac:dyDescent="0.35">
      <c r="A723" s="15"/>
      <c r="B723" s="3" t="s">
        <v>721</v>
      </c>
      <c r="C723" s="3" t="s">
        <v>3269</v>
      </c>
      <c r="D723" s="3" t="s">
        <v>861</v>
      </c>
      <c r="E723" s="3" t="s">
        <v>2410</v>
      </c>
      <c r="F723" s="3" t="s">
        <v>1561</v>
      </c>
      <c r="G723" s="3" t="s">
        <v>6278</v>
      </c>
      <c r="H723" s="6">
        <v>14338.464</v>
      </c>
      <c r="I723" s="18"/>
    </row>
    <row r="724" spans="1:9" ht="15.75" customHeight="1" x14ac:dyDescent="0.35">
      <c r="A724" s="15"/>
      <c r="B724" s="3" t="s">
        <v>722</v>
      </c>
      <c r="C724" s="3" t="s">
        <v>3270</v>
      </c>
      <c r="D724" s="3" t="s">
        <v>861</v>
      </c>
      <c r="E724" s="3" t="s">
        <v>2411</v>
      </c>
      <c r="F724" s="3" t="s">
        <v>1562</v>
      </c>
      <c r="G724" s="3" t="s">
        <v>3915</v>
      </c>
      <c r="H724" s="6">
        <v>36202.752</v>
      </c>
      <c r="I724" s="18"/>
    </row>
    <row r="725" spans="1:9" ht="15.75" customHeight="1" x14ac:dyDescent="0.35">
      <c r="A725" s="15"/>
      <c r="B725" s="3" t="s">
        <v>723</v>
      </c>
      <c r="C725" s="3" t="s">
        <v>3271</v>
      </c>
      <c r="D725" s="3" t="s">
        <v>861</v>
      </c>
      <c r="E725" s="3" t="s">
        <v>2412</v>
      </c>
      <c r="F725" s="3" t="s">
        <v>1563</v>
      </c>
      <c r="G725" s="3" t="s">
        <v>6279</v>
      </c>
      <c r="H725" s="6">
        <v>16968.671999999999</v>
      </c>
      <c r="I725" s="18"/>
    </row>
    <row r="726" spans="1:9" ht="15.75" customHeight="1" x14ac:dyDescent="0.35">
      <c r="A726" s="15"/>
      <c r="B726" s="3" t="s">
        <v>724</v>
      </c>
      <c r="C726" s="3" t="s">
        <v>3272</v>
      </c>
      <c r="D726" s="3" t="s">
        <v>861</v>
      </c>
      <c r="E726" s="3" t="s">
        <v>2413</v>
      </c>
      <c r="F726" s="3" t="s">
        <v>1564</v>
      </c>
      <c r="G726" s="3" t="s">
        <v>3917</v>
      </c>
      <c r="H726" s="6">
        <v>33768.32</v>
      </c>
      <c r="I726" s="18"/>
    </row>
    <row r="727" spans="1:9" ht="15.75" customHeight="1" x14ac:dyDescent="0.35">
      <c r="A727" s="15"/>
      <c r="B727" s="3" t="s">
        <v>725</v>
      </c>
      <c r="C727" s="3" t="s">
        <v>3273</v>
      </c>
      <c r="D727" s="3" t="s">
        <v>861</v>
      </c>
      <c r="E727" s="3" t="s">
        <v>2414</v>
      </c>
      <c r="F727" s="3" t="s">
        <v>1486</v>
      </c>
      <c r="G727" s="3" t="s">
        <v>3916</v>
      </c>
      <c r="H727" s="6">
        <v>84844.576000000001</v>
      </c>
      <c r="I727" s="18"/>
    </row>
    <row r="728" spans="1:9" ht="15.75" customHeight="1" x14ac:dyDescent="0.35">
      <c r="A728" s="15"/>
      <c r="B728" s="3" t="s">
        <v>726</v>
      </c>
      <c r="C728" s="3" t="s">
        <v>3274</v>
      </c>
      <c r="D728" s="3" t="s">
        <v>861</v>
      </c>
      <c r="E728" s="3" t="s">
        <v>2415</v>
      </c>
      <c r="F728" s="3" t="s">
        <v>1013</v>
      </c>
      <c r="G728" s="3" t="s">
        <v>3916</v>
      </c>
      <c r="H728" s="6">
        <v>10334.175999999999</v>
      </c>
      <c r="I728" s="18"/>
    </row>
    <row r="729" spans="1:9" ht="15.75" customHeight="1" x14ac:dyDescent="0.35">
      <c r="A729" s="15"/>
      <c r="B729" s="3" t="s">
        <v>727</v>
      </c>
      <c r="C729" s="3" t="s">
        <v>3275</v>
      </c>
      <c r="D729" s="3" t="s">
        <v>861</v>
      </c>
      <c r="E729" s="3" t="s">
        <v>2416</v>
      </c>
      <c r="F729" s="3" t="s">
        <v>1565</v>
      </c>
      <c r="G729" s="3" t="s">
        <v>3917</v>
      </c>
      <c r="H729" s="6">
        <v>10334.175999999999</v>
      </c>
      <c r="I729" s="18"/>
    </row>
    <row r="730" spans="1:9" ht="15.75" customHeight="1" x14ac:dyDescent="0.35">
      <c r="A730" s="15"/>
      <c r="B730" s="3" t="s">
        <v>728</v>
      </c>
      <c r="C730" s="3" t="s">
        <v>3276</v>
      </c>
      <c r="D730" s="3" t="s">
        <v>861</v>
      </c>
      <c r="E730" s="3" t="s">
        <v>2417</v>
      </c>
      <c r="F730" s="3" t="s">
        <v>1566</v>
      </c>
      <c r="G730" s="3" t="s">
        <v>3608</v>
      </c>
      <c r="H730" s="6">
        <v>43589.343999999997</v>
      </c>
      <c r="I730" s="18"/>
    </row>
    <row r="731" spans="1:9" ht="15.75" customHeight="1" x14ac:dyDescent="0.35">
      <c r="A731" s="15"/>
      <c r="B731" s="3" t="s">
        <v>729</v>
      </c>
      <c r="C731" s="3" t="s">
        <v>3277</v>
      </c>
      <c r="D731" s="3" t="s">
        <v>861</v>
      </c>
      <c r="E731" s="3" t="s">
        <v>2418</v>
      </c>
      <c r="F731" s="3" t="s">
        <v>1567</v>
      </c>
      <c r="G731" s="3" t="s">
        <v>3918</v>
      </c>
      <c r="H731" s="6">
        <v>25453.311999999998</v>
      </c>
      <c r="I731" s="18"/>
    </row>
    <row r="732" spans="1:9" ht="15.75" customHeight="1" x14ac:dyDescent="0.35">
      <c r="A732" s="15"/>
      <c r="B732" s="3" t="s">
        <v>730</v>
      </c>
      <c r="C732" s="3" t="s">
        <v>3278</v>
      </c>
      <c r="D732" s="3" t="s">
        <v>860</v>
      </c>
      <c r="E732" s="3" t="s">
        <v>2419</v>
      </c>
      <c r="F732" s="3" t="s">
        <v>1568</v>
      </c>
      <c r="G732" s="3" t="s">
        <v>3919</v>
      </c>
      <c r="H732" s="6">
        <v>12158.175999999999</v>
      </c>
      <c r="I732" s="18"/>
    </row>
    <row r="733" spans="1:9" ht="15.75" customHeight="1" x14ac:dyDescent="0.35">
      <c r="A733" s="15"/>
      <c r="B733" s="3" t="s">
        <v>731</v>
      </c>
      <c r="C733" s="3" t="s">
        <v>3279</v>
      </c>
      <c r="D733" s="3" t="s">
        <v>860</v>
      </c>
      <c r="E733" s="3" t="s">
        <v>2420</v>
      </c>
      <c r="F733" s="3" t="s">
        <v>1569</v>
      </c>
      <c r="G733" s="3" t="s">
        <v>3920</v>
      </c>
      <c r="H733" s="6">
        <v>10334.175999999999</v>
      </c>
      <c r="I733" s="18"/>
    </row>
    <row r="734" spans="1:9" ht="15.75" customHeight="1" x14ac:dyDescent="0.35">
      <c r="A734" s="15"/>
      <c r="B734" s="3" t="s">
        <v>732</v>
      </c>
      <c r="C734" s="3" t="s">
        <v>3280</v>
      </c>
      <c r="D734" s="3" t="s">
        <v>861</v>
      </c>
      <c r="E734" s="3" t="s">
        <v>2421</v>
      </c>
      <c r="F734" s="3" t="s">
        <v>1570</v>
      </c>
      <c r="G734" s="3" t="s">
        <v>5636</v>
      </c>
      <c r="H734" s="6">
        <v>26471.712</v>
      </c>
      <c r="I734" s="18"/>
    </row>
    <row r="735" spans="1:9" ht="15.75" customHeight="1" x14ac:dyDescent="0.35">
      <c r="A735" s="15"/>
      <c r="B735" s="3" t="s">
        <v>733</v>
      </c>
      <c r="C735" s="3" t="s">
        <v>3281</v>
      </c>
      <c r="D735" s="3" t="s">
        <v>861</v>
      </c>
      <c r="E735" s="3" t="s">
        <v>2422</v>
      </c>
      <c r="F735" s="3" t="s">
        <v>1571</v>
      </c>
      <c r="G735" s="3" t="s">
        <v>3921</v>
      </c>
      <c r="H735" s="6">
        <v>21576.095999999998</v>
      </c>
      <c r="I735" s="18"/>
    </row>
    <row r="736" spans="1:9" ht="15.75" customHeight="1" x14ac:dyDescent="0.35">
      <c r="A736" s="15"/>
      <c r="B736" s="3" t="s">
        <v>734</v>
      </c>
      <c r="C736" s="3" t="s">
        <v>3282</v>
      </c>
      <c r="D736" s="3" t="s">
        <v>860</v>
      </c>
      <c r="E736" s="3" t="s">
        <v>2423</v>
      </c>
      <c r="F736" s="3" t="s">
        <v>1572</v>
      </c>
      <c r="G736" s="3" t="s">
        <v>3922</v>
      </c>
      <c r="H736" s="6">
        <v>82723.263999999996</v>
      </c>
      <c r="I736" s="18"/>
    </row>
    <row r="737" spans="1:9" ht="15.75" customHeight="1" x14ac:dyDescent="0.35">
      <c r="A737" s="15"/>
      <c r="B737" s="3" t="s">
        <v>735</v>
      </c>
      <c r="C737" s="3" t="s">
        <v>3283</v>
      </c>
      <c r="D737" s="3" t="s">
        <v>861</v>
      </c>
      <c r="E737" s="3" t="s">
        <v>2424</v>
      </c>
      <c r="F737" s="3" t="s">
        <v>1573</v>
      </c>
      <c r="G737" s="3" t="s">
        <v>3923</v>
      </c>
      <c r="H737" s="6">
        <v>15251.375999999998</v>
      </c>
      <c r="I737" s="18"/>
    </row>
    <row r="738" spans="1:9" ht="15.75" customHeight="1" x14ac:dyDescent="0.35">
      <c r="A738" s="15"/>
      <c r="B738" s="3" t="s">
        <v>736</v>
      </c>
      <c r="C738" s="3" t="s">
        <v>3284</v>
      </c>
      <c r="D738" s="3" t="s">
        <v>860</v>
      </c>
      <c r="E738" s="3" t="s">
        <v>2425</v>
      </c>
      <c r="F738" s="3" t="s">
        <v>1574</v>
      </c>
      <c r="G738" s="3" t="s">
        <v>3923</v>
      </c>
      <c r="H738" s="6">
        <v>23017.967999999997</v>
      </c>
      <c r="I738" s="18"/>
    </row>
    <row r="739" spans="1:9" ht="15.75" customHeight="1" x14ac:dyDescent="0.35">
      <c r="A739" s="15"/>
      <c r="B739" s="3" t="s">
        <v>737</v>
      </c>
      <c r="C739" s="3" t="s">
        <v>3285</v>
      </c>
      <c r="D739" s="3" t="s">
        <v>860</v>
      </c>
      <c r="E739" s="3" t="s">
        <v>2426</v>
      </c>
      <c r="F739" s="3" t="s">
        <v>1575</v>
      </c>
      <c r="G739" s="3" t="s">
        <v>3923</v>
      </c>
      <c r="H739" s="6">
        <v>25234.736000000001</v>
      </c>
      <c r="I739" s="18"/>
    </row>
    <row r="740" spans="1:9" ht="15.75" customHeight="1" x14ac:dyDescent="0.35">
      <c r="A740" s="15"/>
      <c r="B740" s="3" t="s">
        <v>738</v>
      </c>
      <c r="C740" s="3" t="s">
        <v>3286</v>
      </c>
      <c r="D740" s="3" t="s">
        <v>861</v>
      </c>
      <c r="E740" s="3" t="s">
        <v>2427</v>
      </c>
      <c r="F740" s="3" t="s">
        <v>1576</v>
      </c>
      <c r="G740" s="3" t="s">
        <v>3923</v>
      </c>
      <c r="H740" s="6">
        <v>24907.632000000001</v>
      </c>
      <c r="I740" s="18"/>
    </row>
    <row r="741" spans="1:9" ht="15.75" customHeight="1" x14ac:dyDescent="0.35">
      <c r="A741" s="15"/>
      <c r="B741" s="3" t="s">
        <v>739</v>
      </c>
      <c r="C741" s="3" t="s">
        <v>3287</v>
      </c>
      <c r="D741" s="3" t="s">
        <v>861</v>
      </c>
      <c r="E741" s="3" t="s">
        <v>2428</v>
      </c>
      <c r="F741" s="3" t="s">
        <v>1577</v>
      </c>
      <c r="G741" s="3" t="s">
        <v>3923</v>
      </c>
      <c r="H741" s="6">
        <v>22127.856</v>
      </c>
      <c r="I741" s="18"/>
    </row>
    <row r="742" spans="1:9" ht="15.75" customHeight="1" x14ac:dyDescent="0.35">
      <c r="A742" s="15"/>
      <c r="B742" s="3" t="s">
        <v>740</v>
      </c>
      <c r="C742" s="3" t="s">
        <v>3288</v>
      </c>
      <c r="D742" s="3" t="s">
        <v>861</v>
      </c>
      <c r="E742" s="3" t="s">
        <v>2429</v>
      </c>
      <c r="F742" s="3" t="s">
        <v>1578</v>
      </c>
      <c r="G742" s="3" t="s">
        <v>6280</v>
      </c>
      <c r="H742" s="6">
        <v>23225.295999999998</v>
      </c>
      <c r="I742" s="18"/>
    </row>
    <row r="743" spans="1:9" ht="15.75" customHeight="1" x14ac:dyDescent="0.35">
      <c r="A743" s="15"/>
      <c r="B743" s="3" t="s">
        <v>741</v>
      </c>
      <c r="C743" s="3" t="s">
        <v>3289</v>
      </c>
      <c r="D743" s="3" t="s">
        <v>861</v>
      </c>
      <c r="E743" s="3" t="s">
        <v>2430</v>
      </c>
      <c r="F743" s="3" t="s">
        <v>1579</v>
      </c>
      <c r="G743" s="3" t="s">
        <v>6280</v>
      </c>
      <c r="H743" s="6">
        <v>24022.383999999998</v>
      </c>
      <c r="I743" s="18"/>
    </row>
    <row r="744" spans="1:9" ht="15.75" customHeight="1" x14ac:dyDescent="0.35">
      <c r="A744" s="15"/>
      <c r="B744" s="3" t="s">
        <v>742</v>
      </c>
      <c r="C744" s="3" t="s">
        <v>3290</v>
      </c>
      <c r="D744" s="3" t="s">
        <v>861</v>
      </c>
      <c r="E744" s="3" t="s">
        <v>2431</v>
      </c>
      <c r="F744" s="3" t="s">
        <v>1580</v>
      </c>
      <c r="G744" s="3" t="s">
        <v>3929</v>
      </c>
      <c r="H744" s="6">
        <v>15480.288</v>
      </c>
      <c r="I744" s="18"/>
    </row>
    <row r="745" spans="1:9" ht="15.75" customHeight="1" x14ac:dyDescent="0.35">
      <c r="A745" s="15"/>
      <c r="B745" s="3" t="s">
        <v>743</v>
      </c>
      <c r="C745" s="3" t="s">
        <v>3291</v>
      </c>
      <c r="D745" s="3" t="s">
        <v>860</v>
      </c>
      <c r="E745" s="3" t="s">
        <v>2432</v>
      </c>
      <c r="F745" s="3" t="s">
        <v>1581</v>
      </c>
      <c r="G745" s="3" t="s">
        <v>3929</v>
      </c>
      <c r="H745" s="6">
        <v>28089.599999999999</v>
      </c>
      <c r="I745" s="18"/>
    </row>
    <row r="746" spans="1:9" ht="15.75" customHeight="1" x14ac:dyDescent="0.35">
      <c r="A746" s="15"/>
      <c r="B746" s="3" t="s">
        <v>744</v>
      </c>
      <c r="C746" s="3" t="s">
        <v>3292</v>
      </c>
      <c r="D746" s="3" t="s">
        <v>860</v>
      </c>
      <c r="E746" s="3" t="s">
        <v>2433</v>
      </c>
      <c r="F746" s="3" t="s">
        <v>1582</v>
      </c>
      <c r="G746" s="3" t="s">
        <v>3930</v>
      </c>
      <c r="H746" s="6">
        <v>24122.399999999998</v>
      </c>
      <c r="I746" s="18"/>
    </row>
    <row r="747" spans="1:9" ht="15.75" customHeight="1" x14ac:dyDescent="0.35">
      <c r="A747" s="15"/>
      <c r="B747" s="3" t="s">
        <v>745</v>
      </c>
      <c r="C747" s="3" t="s">
        <v>3293</v>
      </c>
      <c r="D747" s="3" t="s">
        <v>861</v>
      </c>
      <c r="E747" s="3" t="s">
        <v>2434</v>
      </c>
      <c r="F747" s="3" t="s">
        <v>1583</v>
      </c>
      <c r="G747" s="3" t="s">
        <v>3931</v>
      </c>
      <c r="H747" s="6">
        <v>120741.504</v>
      </c>
      <c r="I747" s="18"/>
    </row>
    <row r="748" spans="1:9" ht="15.75" customHeight="1" x14ac:dyDescent="0.35">
      <c r="A748" s="15"/>
      <c r="B748" s="3" t="s">
        <v>746</v>
      </c>
      <c r="C748" s="3" t="s">
        <v>3294</v>
      </c>
      <c r="D748" s="3" t="s">
        <v>861</v>
      </c>
      <c r="E748" s="3" t="s">
        <v>2435</v>
      </c>
      <c r="F748" s="3" t="s">
        <v>1584</v>
      </c>
      <c r="G748" s="3" t="s">
        <v>6281</v>
      </c>
      <c r="H748" s="6">
        <v>21854.255999999998</v>
      </c>
      <c r="I748" s="18"/>
    </row>
    <row r="749" spans="1:9" ht="15.75" customHeight="1" x14ac:dyDescent="0.35">
      <c r="A749" s="15"/>
      <c r="B749" s="3" t="s">
        <v>747</v>
      </c>
      <c r="C749" s="3" t="s">
        <v>3295</v>
      </c>
      <c r="D749" s="3" t="s">
        <v>861</v>
      </c>
      <c r="E749" s="3" t="s">
        <v>2436</v>
      </c>
      <c r="F749" s="3" t="s">
        <v>1585</v>
      </c>
      <c r="G749" s="3" t="s">
        <v>6282</v>
      </c>
      <c r="H749" s="6">
        <v>63548.159999999996</v>
      </c>
      <c r="I749" s="18"/>
    </row>
    <row r="750" spans="1:9" ht="15.75" customHeight="1" x14ac:dyDescent="0.35">
      <c r="A750" s="15"/>
      <c r="B750" s="3" t="s">
        <v>748</v>
      </c>
      <c r="C750" s="3" t="s">
        <v>3296</v>
      </c>
      <c r="D750" s="3" t="s">
        <v>861</v>
      </c>
      <c r="E750" s="3" t="s">
        <v>2437</v>
      </c>
      <c r="F750" s="3" t="s">
        <v>1586</v>
      </c>
      <c r="G750" s="3" t="s">
        <v>6283</v>
      </c>
      <c r="H750" s="6">
        <v>25878.304</v>
      </c>
      <c r="I750" s="18"/>
    </row>
    <row r="751" spans="1:9" ht="15.75" customHeight="1" x14ac:dyDescent="0.35">
      <c r="A751" s="15"/>
      <c r="B751" s="3" t="s">
        <v>749</v>
      </c>
      <c r="C751" s="3" t="s">
        <v>3297</v>
      </c>
      <c r="D751" s="3" t="s">
        <v>861</v>
      </c>
      <c r="E751" s="3" t="s">
        <v>2438</v>
      </c>
      <c r="F751" s="3" t="s">
        <v>1587</v>
      </c>
      <c r="G751" s="3" t="s">
        <v>6283</v>
      </c>
      <c r="H751" s="6">
        <v>28250.111999999997</v>
      </c>
      <c r="I751" s="18"/>
    </row>
    <row r="752" spans="1:9" ht="15.75" customHeight="1" x14ac:dyDescent="0.35">
      <c r="A752" s="15"/>
      <c r="B752" s="3" t="s">
        <v>750</v>
      </c>
      <c r="C752" s="3" t="s">
        <v>3298</v>
      </c>
      <c r="D752" s="3" t="s">
        <v>860</v>
      </c>
      <c r="E752" s="3" t="s">
        <v>2439</v>
      </c>
      <c r="F752" s="3" t="s">
        <v>1588</v>
      </c>
      <c r="G752" s="3" t="s">
        <v>3937</v>
      </c>
      <c r="H752" s="6">
        <v>24221.807999999997</v>
      </c>
      <c r="I752" s="18"/>
    </row>
    <row r="753" spans="1:9" ht="15.75" customHeight="1" x14ac:dyDescent="0.35">
      <c r="A753" s="15"/>
      <c r="B753" s="3" t="s">
        <v>751</v>
      </c>
      <c r="C753" s="3" t="s">
        <v>3299</v>
      </c>
      <c r="D753" s="3" t="s">
        <v>861</v>
      </c>
      <c r="E753" s="3" t="s">
        <v>2440</v>
      </c>
      <c r="F753" s="3" t="s">
        <v>1589</v>
      </c>
      <c r="G753" s="3" t="s">
        <v>3938</v>
      </c>
      <c r="H753" s="6">
        <v>15480.288</v>
      </c>
      <c r="I753" s="18"/>
    </row>
    <row r="754" spans="1:9" ht="15.75" customHeight="1" x14ac:dyDescent="0.35">
      <c r="A754" s="15"/>
      <c r="B754" s="3" t="s">
        <v>752</v>
      </c>
      <c r="C754" s="3" t="s">
        <v>3300</v>
      </c>
      <c r="D754" s="3" t="s">
        <v>861</v>
      </c>
      <c r="E754" s="3" t="s">
        <v>2441</v>
      </c>
      <c r="F754" s="3" t="s">
        <v>1590</v>
      </c>
      <c r="G754" s="3" t="s">
        <v>3680</v>
      </c>
      <c r="H754" s="6">
        <v>20766.543999999998</v>
      </c>
      <c r="I754" s="18"/>
    </row>
    <row r="755" spans="1:9" ht="15.75" customHeight="1" x14ac:dyDescent="0.35">
      <c r="A755" s="15"/>
      <c r="B755" s="3" t="s">
        <v>753</v>
      </c>
      <c r="C755" s="3" t="s">
        <v>3301</v>
      </c>
      <c r="D755" s="3" t="s">
        <v>860</v>
      </c>
      <c r="E755" s="3" t="s">
        <v>2442</v>
      </c>
      <c r="F755" s="3" t="s">
        <v>1591</v>
      </c>
      <c r="G755" s="3" t="s">
        <v>3939</v>
      </c>
      <c r="H755" s="6">
        <v>70218.831999999995</v>
      </c>
      <c r="I755" s="18"/>
    </row>
    <row r="756" spans="1:9" ht="15.75" customHeight="1" x14ac:dyDescent="0.35">
      <c r="A756" s="15"/>
      <c r="B756" s="3" t="s">
        <v>754</v>
      </c>
      <c r="C756" s="3" t="s">
        <v>3302</v>
      </c>
      <c r="D756" s="3" t="s">
        <v>860</v>
      </c>
      <c r="E756" s="3" t="s">
        <v>2443</v>
      </c>
      <c r="F756" s="3" t="s">
        <v>1592</v>
      </c>
      <c r="G756" s="3" t="s">
        <v>3680</v>
      </c>
      <c r="H756" s="6">
        <v>29803.552</v>
      </c>
      <c r="I756" s="18"/>
    </row>
    <row r="757" spans="1:9" ht="15.75" customHeight="1" x14ac:dyDescent="0.35">
      <c r="A757" s="15"/>
      <c r="B757" s="3" t="s">
        <v>755</v>
      </c>
      <c r="C757" s="3" t="s">
        <v>3303</v>
      </c>
      <c r="D757" s="3" t="s">
        <v>861</v>
      </c>
      <c r="E757" s="3" t="s">
        <v>2444</v>
      </c>
      <c r="F757" s="3" t="s">
        <v>1593</v>
      </c>
      <c r="G757" s="3" t="s">
        <v>5466</v>
      </c>
      <c r="H757" s="6">
        <v>21854.255999999998</v>
      </c>
      <c r="I757" s="18"/>
    </row>
    <row r="758" spans="1:9" ht="15.75" customHeight="1" x14ac:dyDescent="0.35">
      <c r="A758" s="15"/>
      <c r="B758" s="3" t="s">
        <v>756</v>
      </c>
      <c r="C758" s="3" t="s">
        <v>3304</v>
      </c>
      <c r="D758" s="3" t="s">
        <v>860</v>
      </c>
      <c r="E758" s="3" t="s">
        <v>2445</v>
      </c>
      <c r="F758" s="3" t="s">
        <v>1594</v>
      </c>
      <c r="G758" s="3" t="s">
        <v>5466</v>
      </c>
      <c r="H758" s="6">
        <v>31774.079999999998</v>
      </c>
      <c r="I758" s="18"/>
    </row>
    <row r="759" spans="1:9" ht="15.75" customHeight="1" x14ac:dyDescent="0.35">
      <c r="A759" s="15"/>
      <c r="B759" s="3" t="s">
        <v>757</v>
      </c>
      <c r="C759" s="3" t="s">
        <v>3305</v>
      </c>
      <c r="D759" s="3" t="s">
        <v>861</v>
      </c>
      <c r="E759" s="3" t="s">
        <v>2446</v>
      </c>
      <c r="F759" s="3" t="s">
        <v>1135</v>
      </c>
      <c r="G759" s="3" t="s">
        <v>5466</v>
      </c>
      <c r="H759" s="6">
        <v>21854.255999999998</v>
      </c>
      <c r="I759" s="18"/>
    </row>
    <row r="760" spans="1:9" ht="15.75" customHeight="1" x14ac:dyDescent="0.35">
      <c r="A760" s="15"/>
      <c r="B760" s="3" t="s">
        <v>758</v>
      </c>
      <c r="C760" s="3" t="s">
        <v>3306</v>
      </c>
      <c r="D760" s="3" t="s">
        <v>861</v>
      </c>
      <c r="E760" s="3" t="s">
        <v>2447</v>
      </c>
      <c r="F760" s="3" t="s">
        <v>1595</v>
      </c>
      <c r="G760" s="3" t="s">
        <v>3938</v>
      </c>
      <c r="H760" s="6">
        <v>50584.08</v>
      </c>
      <c r="I760" s="18"/>
    </row>
    <row r="761" spans="1:9" ht="15.75" customHeight="1" x14ac:dyDescent="0.35">
      <c r="A761" s="15"/>
      <c r="B761" s="3" t="s">
        <v>759</v>
      </c>
      <c r="C761" s="3" t="s">
        <v>3307</v>
      </c>
      <c r="D761" s="3" t="s">
        <v>861</v>
      </c>
      <c r="E761" s="3" t="s">
        <v>2448</v>
      </c>
      <c r="F761" s="3" t="s">
        <v>1596</v>
      </c>
      <c r="G761" s="3" t="s">
        <v>3940</v>
      </c>
      <c r="H761" s="6">
        <v>21479.423999999999</v>
      </c>
      <c r="I761" s="18"/>
    </row>
    <row r="762" spans="1:9" ht="15.75" customHeight="1" x14ac:dyDescent="0.35">
      <c r="A762" s="15"/>
      <c r="B762" s="3" t="s">
        <v>760</v>
      </c>
      <c r="C762" s="3" t="s">
        <v>3308</v>
      </c>
      <c r="D762" s="3" t="s">
        <v>860</v>
      </c>
      <c r="E762" s="3" t="s">
        <v>2449</v>
      </c>
      <c r="F762" s="3" t="s">
        <v>1597</v>
      </c>
      <c r="G762" s="3" t="s">
        <v>6284</v>
      </c>
      <c r="H762" s="6">
        <v>18212.64</v>
      </c>
      <c r="I762" s="18"/>
    </row>
    <row r="763" spans="1:9" ht="15.75" customHeight="1" x14ac:dyDescent="0.35">
      <c r="A763" s="15"/>
      <c r="B763" s="3" t="s">
        <v>761</v>
      </c>
      <c r="C763" s="3" t="s">
        <v>3309</v>
      </c>
      <c r="D763" s="3" t="s">
        <v>860</v>
      </c>
      <c r="E763" s="3" t="s">
        <v>2450</v>
      </c>
      <c r="F763" s="3" t="s">
        <v>1598</v>
      </c>
      <c r="G763" s="3" t="s">
        <v>3943</v>
      </c>
      <c r="H763" s="6">
        <v>19165.68</v>
      </c>
      <c r="I763" s="18"/>
    </row>
    <row r="764" spans="1:9" ht="15.75" customHeight="1" x14ac:dyDescent="0.35">
      <c r="A764" s="15"/>
      <c r="B764" s="3" t="s">
        <v>762</v>
      </c>
      <c r="C764" s="3" t="s">
        <v>3310</v>
      </c>
      <c r="D764" s="3" t="s">
        <v>861</v>
      </c>
      <c r="E764" s="3" t="s">
        <v>2451</v>
      </c>
      <c r="F764" s="3" t="s">
        <v>1599</v>
      </c>
      <c r="G764" s="3" t="s">
        <v>3943</v>
      </c>
      <c r="H764" s="6">
        <v>198086.39999999999</v>
      </c>
      <c r="I764" s="18"/>
    </row>
    <row r="765" spans="1:9" ht="15.75" customHeight="1" x14ac:dyDescent="0.35">
      <c r="A765" s="15"/>
      <c r="B765" s="3" t="s">
        <v>763</v>
      </c>
      <c r="C765" s="3" t="s">
        <v>3311</v>
      </c>
      <c r="D765" s="3" t="s">
        <v>861</v>
      </c>
      <c r="E765" s="3" t="s">
        <v>2452</v>
      </c>
      <c r="F765" s="3" t="s">
        <v>1600</v>
      </c>
      <c r="G765" s="3" t="s">
        <v>3941</v>
      </c>
      <c r="H765" s="6">
        <v>16248.495999999999</v>
      </c>
      <c r="I765" s="18"/>
    </row>
    <row r="766" spans="1:9" ht="15.75" customHeight="1" x14ac:dyDescent="0.35">
      <c r="A766" s="15"/>
      <c r="B766" s="3" t="s">
        <v>764</v>
      </c>
      <c r="C766" s="3" t="s">
        <v>3312</v>
      </c>
      <c r="D766" s="3" t="s">
        <v>861</v>
      </c>
      <c r="E766" s="3" t="s">
        <v>2453</v>
      </c>
      <c r="F766" s="3" t="s">
        <v>1601</v>
      </c>
      <c r="G766" s="3" t="s">
        <v>3943</v>
      </c>
      <c r="H766" s="6">
        <v>21867.023999999998</v>
      </c>
      <c r="I766" s="18"/>
    </row>
    <row r="767" spans="1:9" ht="15.75" customHeight="1" x14ac:dyDescent="0.35">
      <c r="A767" s="15"/>
      <c r="B767" s="3" t="s">
        <v>765</v>
      </c>
      <c r="C767" s="3" t="s">
        <v>3313</v>
      </c>
      <c r="D767" s="3" t="s">
        <v>860</v>
      </c>
      <c r="E767" s="3" t="s">
        <v>2454</v>
      </c>
      <c r="F767" s="3" t="s">
        <v>1602</v>
      </c>
      <c r="G767" s="3" t="s">
        <v>3942</v>
      </c>
      <c r="H767" s="6">
        <v>35764.991999999998</v>
      </c>
      <c r="I767" s="18"/>
    </row>
    <row r="768" spans="1:9" ht="15.75" customHeight="1" x14ac:dyDescent="0.35">
      <c r="A768" s="15"/>
      <c r="B768" s="3" t="s">
        <v>766</v>
      </c>
      <c r="C768" s="3" t="s">
        <v>3314</v>
      </c>
      <c r="D768" s="3" t="s">
        <v>861</v>
      </c>
      <c r="E768" s="3" t="s">
        <v>2455</v>
      </c>
      <c r="F768" s="3" t="s">
        <v>1603</v>
      </c>
      <c r="G768" s="3" t="s">
        <v>3943</v>
      </c>
      <c r="H768" s="6">
        <v>21479.423999999999</v>
      </c>
      <c r="I768" s="18"/>
    </row>
    <row r="769" spans="1:9" ht="15.75" customHeight="1" x14ac:dyDescent="0.35">
      <c r="A769" s="15"/>
      <c r="B769" s="3" t="s">
        <v>767</v>
      </c>
      <c r="C769" s="3" t="s">
        <v>3315</v>
      </c>
      <c r="D769" s="3" t="s">
        <v>861</v>
      </c>
      <c r="E769" s="3" t="s">
        <v>2456</v>
      </c>
      <c r="F769" s="3" t="s">
        <v>1604</v>
      </c>
      <c r="G769" s="3" t="s">
        <v>3943</v>
      </c>
      <c r="H769" s="6">
        <v>57193.343999999997</v>
      </c>
      <c r="I769" s="18"/>
    </row>
    <row r="770" spans="1:9" ht="15.75" customHeight="1" x14ac:dyDescent="0.35">
      <c r="A770" s="15"/>
      <c r="B770" s="3" t="s">
        <v>768</v>
      </c>
      <c r="C770" s="3" t="s">
        <v>3316</v>
      </c>
      <c r="D770" s="3" t="s">
        <v>861</v>
      </c>
      <c r="E770" s="3" t="s">
        <v>2457</v>
      </c>
      <c r="F770" s="3" t="s">
        <v>1605</v>
      </c>
      <c r="G770" s="3" t="s">
        <v>3942</v>
      </c>
      <c r="H770" s="6">
        <v>15480.288</v>
      </c>
      <c r="I770" s="18"/>
    </row>
    <row r="771" spans="1:9" ht="15.75" customHeight="1" x14ac:dyDescent="0.35">
      <c r="A771" s="15"/>
      <c r="B771" s="3" t="s">
        <v>769</v>
      </c>
      <c r="C771" s="3" t="s">
        <v>3317</v>
      </c>
      <c r="D771" s="3" t="s">
        <v>861</v>
      </c>
      <c r="E771" s="3" t="s">
        <v>2458</v>
      </c>
      <c r="F771" s="3" t="s">
        <v>1606</v>
      </c>
      <c r="G771" s="3" t="s">
        <v>6285</v>
      </c>
      <c r="H771" s="6">
        <v>29335.392</v>
      </c>
      <c r="I771" s="18"/>
    </row>
    <row r="772" spans="1:9" ht="15.75" customHeight="1" x14ac:dyDescent="0.35">
      <c r="A772" s="15"/>
      <c r="B772" s="3" t="s">
        <v>770</v>
      </c>
      <c r="C772" s="3" t="s">
        <v>3318</v>
      </c>
      <c r="D772" s="3" t="s">
        <v>861</v>
      </c>
      <c r="E772" s="3" t="s">
        <v>2459</v>
      </c>
      <c r="F772" s="3" t="s">
        <v>1607</v>
      </c>
      <c r="G772" s="3" t="s">
        <v>3948</v>
      </c>
      <c r="H772" s="6">
        <v>19960.031999999999</v>
      </c>
      <c r="I772" s="18"/>
    </row>
    <row r="773" spans="1:9" ht="15.75" customHeight="1" x14ac:dyDescent="0.35">
      <c r="A773" s="15"/>
      <c r="B773" s="3" t="s">
        <v>771</v>
      </c>
      <c r="C773" s="3" t="s">
        <v>3319</v>
      </c>
      <c r="D773" s="3" t="s">
        <v>860</v>
      </c>
      <c r="E773" s="3" t="s">
        <v>2460</v>
      </c>
      <c r="F773" s="3" t="s">
        <v>1608</v>
      </c>
      <c r="G773" s="3" t="s">
        <v>6286</v>
      </c>
      <c r="H773" s="6">
        <v>46072.415999999997</v>
      </c>
      <c r="I773" s="18"/>
    </row>
    <row r="774" spans="1:9" ht="15.75" customHeight="1" x14ac:dyDescent="0.35">
      <c r="A774" s="15"/>
      <c r="B774" s="3" t="s">
        <v>772</v>
      </c>
      <c r="C774" s="3" t="s">
        <v>3320</v>
      </c>
      <c r="D774" s="3" t="s">
        <v>860</v>
      </c>
      <c r="E774" s="3" t="s">
        <v>2461</v>
      </c>
      <c r="F774" s="3" t="s">
        <v>1609</v>
      </c>
      <c r="G774" s="3" t="s">
        <v>5536</v>
      </c>
      <c r="H774" s="6">
        <v>18074.319999999996</v>
      </c>
      <c r="I774" s="18"/>
    </row>
    <row r="775" spans="1:9" ht="15.75" customHeight="1" x14ac:dyDescent="0.35">
      <c r="A775" s="15"/>
      <c r="B775" s="3" t="s">
        <v>773</v>
      </c>
      <c r="C775" s="3" t="s">
        <v>3321</v>
      </c>
      <c r="D775" s="3" t="s">
        <v>860</v>
      </c>
      <c r="E775" s="3" t="s">
        <v>2462</v>
      </c>
      <c r="F775" s="3" t="s">
        <v>1499</v>
      </c>
      <c r="G775" s="3" t="s">
        <v>3949</v>
      </c>
      <c r="H775" s="6">
        <v>25112.223999999998</v>
      </c>
      <c r="I775" s="18"/>
    </row>
    <row r="776" spans="1:9" ht="15.75" customHeight="1" x14ac:dyDescent="0.35">
      <c r="A776" s="15"/>
      <c r="B776" s="3" t="s">
        <v>774</v>
      </c>
      <c r="C776" s="3" t="s">
        <v>3322</v>
      </c>
      <c r="D776" s="3" t="s">
        <v>860</v>
      </c>
      <c r="E776" s="3" t="s">
        <v>2463</v>
      </c>
      <c r="F776" s="3" t="s">
        <v>1610</v>
      </c>
      <c r="G776" s="3" t="s">
        <v>5536</v>
      </c>
      <c r="H776" s="6">
        <v>70167.759999999995</v>
      </c>
      <c r="I776" s="18"/>
    </row>
    <row r="777" spans="1:9" ht="15.75" customHeight="1" x14ac:dyDescent="0.35">
      <c r="A777" s="15"/>
      <c r="B777" s="3" t="s">
        <v>775</v>
      </c>
      <c r="C777" s="3" t="s">
        <v>3323</v>
      </c>
      <c r="D777" s="3" t="s">
        <v>861</v>
      </c>
      <c r="E777" s="3" t="s">
        <v>2464</v>
      </c>
      <c r="F777" s="3" t="s">
        <v>1611</v>
      </c>
      <c r="G777" s="3" t="s">
        <v>3950</v>
      </c>
      <c r="H777" s="6">
        <v>198086.39999999999</v>
      </c>
      <c r="I777" s="18"/>
    </row>
    <row r="778" spans="1:9" ht="15.75" customHeight="1" x14ac:dyDescent="0.35">
      <c r="A778" s="15"/>
      <c r="B778" s="3" t="s">
        <v>776</v>
      </c>
      <c r="C778" s="3" t="s">
        <v>3324</v>
      </c>
      <c r="D778" s="3" t="s">
        <v>860</v>
      </c>
      <c r="E778" s="3" t="s">
        <v>2465</v>
      </c>
      <c r="F778" s="3" t="s">
        <v>1612</v>
      </c>
      <c r="G778" s="3" t="s">
        <v>3824</v>
      </c>
      <c r="H778" s="6">
        <v>22426.687999999998</v>
      </c>
      <c r="I778" s="18"/>
    </row>
    <row r="779" spans="1:9" ht="15.75" customHeight="1" x14ac:dyDescent="0.35">
      <c r="A779" s="15"/>
      <c r="B779" s="3" t="s">
        <v>777</v>
      </c>
      <c r="C779" s="3" t="s">
        <v>3325</v>
      </c>
      <c r="D779" s="3" t="s">
        <v>861</v>
      </c>
      <c r="E779" s="3" t="s">
        <v>2466</v>
      </c>
      <c r="F779" s="3" t="s">
        <v>1613</v>
      </c>
      <c r="G779" s="3" t="s">
        <v>6287</v>
      </c>
      <c r="H779" s="6">
        <v>26744.095999999998</v>
      </c>
      <c r="I779" s="18"/>
    </row>
    <row r="780" spans="1:9" ht="15.75" customHeight="1" x14ac:dyDescent="0.35">
      <c r="A780" s="15"/>
      <c r="B780" s="3" t="s">
        <v>778</v>
      </c>
      <c r="C780" s="3" t="s">
        <v>3326</v>
      </c>
      <c r="D780" s="3" t="s">
        <v>861</v>
      </c>
      <c r="E780" s="3" t="s">
        <v>2467</v>
      </c>
      <c r="F780" s="3" t="s">
        <v>1614</v>
      </c>
      <c r="G780" s="3" t="s">
        <v>3951</v>
      </c>
      <c r="H780" s="6">
        <v>30757.503999999997</v>
      </c>
      <c r="I780" s="18"/>
    </row>
    <row r="781" spans="1:9" ht="15.75" customHeight="1" x14ac:dyDescent="0.35">
      <c r="A781" s="15"/>
      <c r="B781" s="3" t="s">
        <v>779</v>
      </c>
      <c r="C781" s="3" t="s">
        <v>3327</v>
      </c>
      <c r="D781" s="3" t="s">
        <v>860</v>
      </c>
      <c r="E781" s="3" t="s">
        <v>2468</v>
      </c>
      <c r="F781" s="3" t="s">
        <v>1615</v>
      </c>
      <c r="G781" s="3" t="s">
        <v>3951</v>
      </c>
      <c r="H781" s="6">
        <v>33996.928</v>
      </c>
      <c r="I781" s="18"/>
    </row>
    <row r="782" spans="1:9" ht="15.75" customHeight="1" x14ac:dyDescent="0.35">
      <c r="A782" s="15"/>
      <c r="B782" s="3" t="s">
        <v>780</v>
      </c>
      <c r="C782" s="3" t="s">
        <v>3328</v>
      </c>
      <c r="D782" s="3" t="s">
        <v>861</v>
      </c>
      <c r="E782" s="3" t="s">
        <v>2469</v>
      </c>
      <c r="F782" s="3" t="s">
        <v>1616</v>
      </c>
      <c r="G782" s="3" t="s">
        <v>3951</v>
      </c>
      <c r="H782" s="6">
        <v>30448.639999999999</v>
      </c>
      <c r="I782" s="18"/>
    </row>
    <row r="783" spans="1:9" ht="15.75" customHeight="1" x14ac:dyDescent="0.35">
      <c r="A783" s="15"/>
      <c r="B783" s="3" t="s">
        <v>781</v>
      </c>
      <c r="C783" s="3" t="s">
        <v>3329</v>
      </c>
      <c r="D783" s="3" t="s">
        <v>860</v>
      </c>
      <c r="E783" s="3" t="s">
        <v>2470</v>
      </c>
      <c r="F783" s="3" t="s">
        <v>1617</v>
      </c>
      <c r="G783" s="3" t="s">
        <v>3951</v>
      </c>
      <c r="H783" s="6">
        <v>22923.423999999999</v>
      </c>
      <c r="I783" s="18"/>
    </row>
    <row r="784" spans="1:9" ht="15.75" customHeight="1" x14ac:dyDescent="0.35">
      <c r="A784" s="15"/>
      <c r="B784" s="3" t="s">
        <v>782</v>
      </c>
      <c r="C784" s="3" t="s">
        <v>3330</v>
      </c>
      <c r="D784" s="3" t="s">
        <v>860</v>
      </c>
      <c r="E784" s="3" t="s">
        <v>2471</v>
      </c>
      <c r="F784" s="3" t="s">
        <v>1618</v>
      </c>
      <c r="G784" s="3" t="s">
        <v>3951</v>
      </c>
      <c r="H784" s="6">
        <v>28379.615999999998</v>
      </c>
      <c r="I784" s="18"/>
    </row>
    <row r="785" spans="1:9" ht="15.75" customHeight="1" x14ac:dyDescent="0.35">
      <c r="A785" s="15"/>
      <c r="B785" s="3" t="s">
        <v>783</v>
      </c>
      <c r="C785" s="3" t="s">
        <v>3331</v>
      </c>
      <c r="D785" s="3" t="s">
        <v>861</v>
      </c>
      <c r="E785" s="3" t="s">
        <v>2472</v>
      </c>
      <c r="F785" s="3" t="s">
        <v>1619</v>
      </c>
      <c r="G785" s="3" t="s">
        <v>5801</v>
      </c>
      <c r="H785" s="6">
        <v>29394.975999999999</v>
      </c>
      <c r="I785" s="18"/>
    </row>
    <row r="786" spans="1:9" ht="15.75" customHeight="1" x14ac:dyDescent="0.35">
      <c r="A786" s="15"/>
      <c r="B786" s="3" t="s">
        <v>784</v>
      </c>
      <c r="C786" s="3" t="s">
        <v>3332</v>
      </c>
      <c r="D786" s="3" t="s">
        <v>860</v>
      </c>
      <c r="E786" s="3" t="s">
        <v>2473</v>
      </c>
      <c r="F786" s="3" t="s">
        <v>1620</v>
      </c>
      <c r="G786" s="3" t="s">
        <v>6288</v>
      </c>
      <c r="H786" s="6">
        <v>27822.080000000002</v>
      </c>
      <c r="I786" s="18"/>
    </row>
    <row r="787" spans="1:9" ht="15.75" customHeight="1" x14ac:dyDescent="0.35">
      <c r="A787" s="15"/>
      <c r="B787" s="3" t="s">
        <v>785</v>
      </c>
      <c r="C787" s="3" t="s">
        <v>3333</v>
      </c>
      <c r="D787" s="3" t="s">
        <v>861</v>
      </c>
      <c r="E787" s="3" t="s">
        <v>2474</v>
      </c>
      <c r="F787" s="3" t="s">
        <v>1621</v>
      </c>
      <c r="G787" s="3" t="s">
        <v>6289</v>
      </c>
      <c r="H787" s="6">
        <v>23586.144</v>
      </c>
      <c r="I787" s="18"/>
    </row>
    <row r="788" spans="1:9" ht="15.75" customHeight="1" x14ac:dyDescent="0.35">
      <c r="A788" s="15"/>
      <c r="B788" s="3" t="s">
        <v>786</v>
      </c>
      <c r="C788" s="3" t="s">
        <v>3334</v>
      </c>
      <c r="D788" s="3" t="s">
        <v>860</v>
      </c>
      <c r="E788" s="3" t="s">
        <v>2475</v>
      </c>
      <c r="F788" s="3" t="s">
        <v>1622</v>
      </c>
      <c r="G788" s="3" t="s">
        <v>6290</v>
      </c>
      <c r="H788" s="6">
        <v>26504.543999999998</v>
      </c>
      <c r="I788" s="18"/>
    </row>
    <row r="789" spans="1:9" ht="15.75" customHeight="1" x14ac:dyDescent="0.35">
      <c r="A789" s="15"/>
      <c r="B789" s="3" t="s">
        <v>787</v>
      </c>
      <c r="C789" s="3" t="s">
        <v>3335</v>
      </c>
      <c r="D789" s="3" t="s">
        <v>861</v>
      </c>
      <c r="E789" s="3" t="s">
        <v>2476</v>
      </c>
      <c r="F789" s="3" t="s">
        <v>1623</v>
      </c>
      <c r="G789" s="3" t="s">
        <v>3953</v>
      </c>
      <c r="H789" s="6">
        <v>16248.495999999999</v>
      </c>
      <c r="I789" s="18"/>
    </row>
    <row r="790" spans="1:9" ht="15.75" customHeight="1" x14ac:dyDescent="0.35">
      <c r="A790" s="15"/>
      <c r="B790" s="3" t="s">
        <v>788</v>
      </c>
      <c r="C790" s="3" t="s">
        <v>3336</v>
      </c>
      <c r="D790" s="3" t="s">
        <v>861</v>
      </c>
      <c r="E790" s="3" t="s">
        <v>2477</v>
      </c>
      <c r="F790" s="3" t="s">
        <v>1624</v>
      </c>
      <c r="G790" s="3" t="s">
        <v>3953</v>
      </c>
      <c r="H790" s="6">
        <v>16248.495999999999</v>
      </c>
      <c r="I790" s="18"/>
    </row>
    <row r="791" spans="1:9" ht="15.75" customHeight="1" x14ac:dyDescent="0.35">
      <c r="A791" s="15"/>
      <c r="B791" s="3" t="s">
        <v>789</v>
      </c>
      <c r="C791" s="3" t="s">
        <v>3337</v>
      </c>
      <c r="D791" s="3" t="s">
        <v>861</v>
      </c>
      <c r="E791" s="3" t="s">
        <v>2478</v>
      </c>
      <c r="F791" s="3" t="s">
        <v>1625</v>
      </c>
      <c r="G791" s="3" t="s">
        <v>3953</v>
      </c>
      <c r="H791" s="6">
        <v>20272.847999999998</v>
      </c>
      <c r="I791" s="18"/>
    </row>
    <row r="792" spans="1:9" ht="15.75" customHeight="1" x14ac:dyDescent="0.35">
      <c r="A792" s="15"/>
      <c r="B792" s="3" t="s">
        <v>790</v>
      </c>
      <c r="C792" s="3" t="s">
        <v>3338</v>
      </c>
      <c r="D792" s="3" t="s">
        <v>860</v>
      </c>
      <c r="E792" s="3" t="s">
        <v>2479</v>
      </c>
      <c r="F792" s="3" t="s">
        <v>1626</v>
      </c>
      <c r="G792" s="3" t="s">
        <v>3953</v>
      </c>
      <c r="H792" s="6">
        <v>16248.495999999999</v>
      </c>
      <c r="I792" s="18"/>
    </row>
    <row r="793" spans="1:9" ht="15.75" customHeight="1" x14ac:dyDescent="0.35">
      <c r="A793" s="15"/>
      <c r="B793" s="3" t="s">
        <v>791</v>
      </c>
      <c r="C793" s="3" t="s">
        <v>3339</v>
      </c>
      <c r="D793" s="3" t="s">
        <v>861</v>
      </c>
      <c r="E793" s="3" t="s">
        <v>2480</v>
      </c>
      <c r="F793" s="3" t="s">
        <v>1627</v>
      </c>
      <c r="G793" s="3" t="s">
        <v>3954</v>
      </c>
      <c r="H793" s="6">
        <v>16248.495999999999</v>
      </c>
      <c r="I793" s="18"/>
    </row>
    <row r="794" spans="1:9" ht="15.75" customHeight="1" x14ac:dyDescent="0.35">
      <c r="A794" s="15"/>
      <c r="B794" s="3" t="s">
        <v>792</v>
      </c>
      <c r="C794" s="3" t="s">
        <v>3340</v>
      </c>
      <c r="D794" s="3" t="s">
        <v>860</v>
      </c>
      <c r="E794" s="3" t="s">
        <v>2481</v>
      </c>
      <c r="F794" s="3" t="s">
        <v>1628</v>
      </c>
      <c r="G794" s="3" t="s">
        <v>3955</v>
      </c>
      <c r="H794" s="6">
        <v>21530.799999999999</v>
      </c>
      <c r="I794" s="18"/>
    </row>
    <row r="795" spans="1:9" ht="15.75" customHeight="1" x14ac:dyDescent="0.35">
      <c r="A795" s="15"/>
      <c r="B795" s="3" t="s">
        <v>793</v>
      </c>
      <c r="C795" s="3" t="s">
        <v>3341</v>
      </c>
      <c r="D795" s="3" t="s">
        <v>861</v>
      </c>
      <c r="E795" s="3" t="s">
        <v>2482</v>
      </c>
      <c r="F795" s="3" t="s">
        <v>1629</v>
      </c>
      <c r="G795" s="3" t="s">
        <v>3955</v>
      </c>
      <c r="H795" s="6">
        <v>24834.671999999999</v>
      </c>
      <c r="I795" s="18"/>
    </row>
    <row r="796" spans="1:9" ht="15.75" customHeight="1" x14ac:dyDescent="0.35">
      <c r="A796" s="15"/>
      <c r="B796" s="3" t="s">
        <v>794</v>
      </c>
      <c r="C796" s="3" t="s">
        <v>3342</v>
      </c>
      <c r="D796" s="3" t="s">
        <v>861</v>
      </c>
      <c r="E796" s="3" t="s">
        <v>2483</v>
      </c>
      <c r="F796" s="3" t="s">
        <v>1630</v>
      </c>
      <c r="G796" s="3" t="s">
        <v>3955</v>
      </c>
      <c r="H796" s="6">
        <v>32719.215999999997</v>
      </c>
      <c r="I796" s="18"/>
    </row>
    <row r="797" spans="1:9" ht="15.75" customHeight="1" x14ac:dyDescent="0.35">
      <c r="A797" s="15"/>
      <c r="B797" s="3" t="s">
        <v>795</v>
      </c>
      <c r="C797" s="3" t="s">
        <v>3343</v>
      </c>
      <c r="D797" s="3" t="s">
        <v>860</v>
      </c>
      <c r="E797" s="3" t="s">
        <v>2484</v>
      </c>
      <c r="F797" s="3" t="s">
        <v>1631</v>
      </c>
      <c r="G797" s="3" t="s">
        <v>6291</v>
      </c>
      <c r="H797" s="6">
        <v>27292.511999999999</v>
      </c>
      <c r="I797" s="18"/>
    </row>
    <row r="798" spans="1:9" ht="15.75" customHeight="1" x14ac:dyDescent="0.35">
      <c r="A798" s="15"/>
      <c r="B798" s="3" t="s">
        <v>796</v>
      </c>
      <c r="C798" s="3" t="s">
        <v>3344</v>
      </c>
      <c r="D798" s="3" t="s">
        <v>861</v>
      </c>
      <c r="E798" s="3" t="s">
        <v>2485</v>
      </c>
      <c r="F798" s="3" t="s">
        <v>1632</v>
      </c>
      <c r="G798" s="3" t="s">
        <v>6292</v>
      </c>
      <c r="H798" s="6">
        <v>30074.111999999997</v>
      </c>
      <c r="I798" s="18"/>
    </row>
    <row r="799" spans="1:9" ht="15.75" customHeight="1" x14ac:dyDescent="0.35">
      <c r="A799" s="15"/>
      <c r="B799" s="3" t="s">
        <v>797</v>
      </c>
      <c r="C799" s="3" t="s">
        <v>3345</v>
      </c>
      <c r="D799" s="3" t="s">
        <v>861</v>
      </c>
      <c r="E799" s="3" t="s">
        <v>2486</v>
      </c>
      <c r="F799" s="3" t="s">
        <v>1633</v>
      </c>
      <c r="G799" s="3" t="s">
        <v>5632</v>
      </c>
      <c r="H799" s="6">
        <v>50584.08</v>
      </c>
      <c r="I799" s="18"/>
    </row>
    <row r="800" spans="1:9" ht="15.75" customHeight="1" x14ac:dyDescent="0.35">
      <c r="A800" s="15"/>
      <c r="B800" s="3" t="s">
        <v>798</v>
      </c>
      <c r="C800" s="3" t="s">
        <v>3346</v>
      </c>
      <c r="D800" s="3" t="s">
        <v>860</v>
      </c>
      <c r="E800" s="3" t="s">
        <v>2487</v>
      </c>
      <c r="F800" s="3" t="s">
        <v>1634</v>
      </c>
      <c r="G800" s="3" t="s">
        <v>6293</v>
      </c>
      <c r="H800" s="6">
        <v>25090.335999999999</v>
      </c>
      <c r="I800" s="18"/>
    </row>
    <row r="801" spans="1:9" ht="15.75" customHeight="1" x14ac:dyDescent="0.35">
      <c r="A801" s="15"/>
      <c r="B801" s="3" t="s">
        <v>799</v>
      </c>
      <c r="C801" s="3" t="s">
        <v>3347</v>
      </c>
      <c r="D801" s="3" t="s">
        <v>860</v>
      </c>
      <c r="E801" s="3" t="s">
        <v>2488</v>
      </c>
      <c r="F801" s="3" t="s">
        <v>1635</v>
      </c>
      <c r="G801" s="3" t="s">
        <v>3956</v>
      </c>
      <c r="H801" s="6">
        <v>19788.271999999997</v>
      </c>
      <c r="I801" s="18"/>
    </row>
    <row r="802" spans="1:9" ht="15.75" customHeight="1" x14ac:dyDescent="0.35">
      <c r="A802" s="15"/>
      <c r="B802" s="3" t="s">
        <v>800</v>
      </c>
      <c r="C802" s="3" t="s">
        <v>3348</v>
      </c>
      <c r="D802" s="3" t="s">
        <v>860</v>
      </c>
      <c r="E802" s="3" t="s">
        <v>2489</v>
      </c>
      <c r="F802" s="3" t="s">
        <v>1636</v>
      </c>
      <c r="G802" s="3" t="s">
        <v>3956</v>
      </c>
      <c r="H802" s="6">
        <v>23830.559999999998</v>
      </c>
      <c r="I802" s="18"/>
    </row>
    <row r="803" spans="1:9" ht="15.75" customHeight="1" x14ac:dyDescent="0.35">
      <c r="A803" s="15"/>
      <c r="B803" s="3" t="s">
        <v>801</v>
      </c>
      <c r="C803" s="3" t="s">
        <v>3349</v>
      </c>
      <c r="D803" s="3" t="s">
        <v>861</v>
      </c>
      <c r="E803" s="3" t="s">
        <v>2490</v>
      </c>
      <c r="F803" s="3" t="s">
        <v>1637</v>
      </c>
      <c r="G803" s="3" t="s">
        <v>5881</v>
      </c>
      <c r="H803" s="6">
        <v>19974.928</v>
      </c>
      <c r="I803" s="18"/>
    </row>
    <row r="804" spans="1:9" ht="15.75" customHeight="1" x14ac:dyDescent="0.35">
      <c r="A804" s="15"/>
      <c r="B804" s="3" t="s">
        <v>802</v>
      </c>
      <c r="C804" s="3" t="s">
        <v>3350</v>
      </c>
      <c r="D804" s="3" t="s">
        <v>861</v>
      </c>
      <c r="E804" s="3" t="s">
        <v>2491</v>
      </c>
      <c r="F804" s="3" t="s">
        <v>1638</v>
      </c>
      <c r="G804" s="3" t="s">
        <v>3957</v>
      </c>
      <c r="H804" s="6">
        <v>42365.439999999995</v>
      </c>
      <c r="I804" s="18"/>
    </row>
    <row r="805" spans="1:9" ht="15.75" customHeight="1" x14ac:dyDescent="0.35">
      <c r="A805" s="15"/>
      <c r="B805" s="3" t="s">
        <v>803</v>
      </c>
      <c r="C805" s="3" t="s">
        <v>3351</v>
      </c>
      <c r="D805" s="3" t="s">
        <v>861</v>
      </c>
      <c r="E805" s="3" t="s">
        <v>2492</v>
      </c>
      <c r="F805" s="3" t="s">
        <v>1639</v>
      </c>
      <c r="G805" s="3" t="s">
        <v>5580</v>
      </c>
      <c r="H805" s="6">
        <v>16356.719999999998</v>
      </c>
      <c r="I805" s="18"/>
    </row>
    <row r="806" spans="1:9" ht="15.75" customHeight="1" x14ac:dyDescent="0.35">
      <c r="A806" s="15"/>
      <c r="B806" s="3" t="s">
        <v>804</v>
      </c>
      <c r="C806" s="3" t="s">
        <v>3352</v>
      </c>
      <c r="D806" s="3" t="s">
        <v>860</v>
      </c>
      <c r="E806" s="3" t="s">
        <v>2493</v>
      </c>
      <c r="F806" s="3" t="s">
        <v>1640</v>
      </c>
      <c r="G806" s="3" t="s">
        <v>5498</v>
      </c>
      <c r="H806" s="6">
        <v>15251.375999999998</v>
      </c>
      <c r="I806" s="18"/>
    </row>
    <row r="807" spans="1:9" ht="15.75" customHeight="1" x14ac:dyDescent="0.35">
      <c r="A807" s="15"/>
      <c r="B807" s="3" t="s">
        <v>805</v>
      </c>
      <c r="C807" s="3" t="s">
        <v>3353</v>
      </c>
      <c r="D807" s="3" t="s">
        <v>860</v>
      </c>
      <c r="E807" s="3" t="s">
        <v>2494</v>
      </c>
      <c r="F807" s="3" t="s">
        <v>1641</v>
      </c>
      <c r="G807" s="3" t="s">
        <v>3958</v>
      </c>
      <c r="H807" s="6">
        <v>40036.191999999995</v>
      </c>
      <c r="I807" s="18"/>
    </row>
    <row r="808" spans="1:9" ht="15.75" customHeight="1" x14ac:dyDescent="0.35">
      <c r="A808" s="15"/>
      <c r="B808" s="3" t="s">
        <v>806</v>
      </c>
      <c r="C808" s="3" t="s">
        <v>3354</v>
      </c>
      <c r="D808" s="3" t="s">
        <v>860</v>
      </c>
      <c r="E808" s="3" t="s">
        <v>2495</v>
      </c>
      <c r="F808" s="3" t="s">
        <v>1642</v>
      </c>
      <c r="G808" s="3" t="s">
        <v>5498</v>
      </c>
      <c r="H808" s="6">
        <v>29113.471999999998</v>
      </c>
      <c r="I808" s="18"/>
    </row>
    <row r="809" spans="1:9" ht="15.75" customHeight="1" x14ac:dyDescent="0.35">
      <c r="A809" s="15"/>
      <c r="B809" s="3" t="s">
        <v>807</v>
      </c>
      <c r="C809" s="3" t="s">
        <v>3355</v>
      </c>
      <c r="D809" s="3" t="s">
        <v>861</v>
      </c>
      <c r="E809" s="3" t="s">
        <v>2496</v>
      </c>
      <c r="F809" s="3" t="s">
        <v>1643</v>
      </c>
      <c r="G809" s="3" t="s">
        <v>3959</v>
      </c>
      <c r="H809" s="6">
        <v>12575.567999999999</v>
      </c>
      <c r="I809" s="18"/>
    </row>
    <row r="810" spans="1:9" ht="15.75" customHeight="1" x14ac:dyDescent="0.35">
      <c r="A810" s="15"/>
      <c r="B810" s="3" t="s">
        <v>808</v>
      </c>
      <c r="C810" s="3" t="s">
        <v>3356</v>
      </c>
      <c r="D810" s="3" t="s">
        <v>861</v>
      </c>
      <c r="E810" s="3" t="s">
        <v>2497</v>
      </c>
      <c r="F810" s="3" t="s">
        <v>1644</v>
      </c>
      <c r="G810" s="3" t="s">
        <v>3959</v>
      </c>
      <c r="H810" s="6">
        <v>17186.031999999999</v>
      </c>
      <c r="I810" s="18"/>
    </row>
    <row r="811" spans="1:9" ht="15.75" customHeight="1" x14ac:dyDescent="0.35">
      <c r="A811" s="15"/>
      <c r="B811" s="3" t="s">
        <v>809</v>
      </c>
      <c r="C811" s="3" t="s">
        <v>3357</v>
      </c>
      <c r="D811" s="3" t="s">
        <v>861</v>
      </c>
      <c r="E811" s="3" t="s">
        <v>2498</v>
      </c>
      <c r="F811" s="3" t="s">
        <v>1645</v>
      </c>
      <c r="G811" s="3" t="s">
        <v>3959</v>
      </c>
      <c r="H811" s="6">
        <v>16046.032000000001</v>
      </c>
      <c r="I811" s="18"/>
    </row>
    <row r="812" spans="1:9" ht="15.75" customHeight="1" x14ac:dyDescent="0.35">
      <c r="A812" s="15"/>
      <c r="B812" s="3" t="s">
        <v>810</v>
      </c>
      <c r="C812" s="3" t="s">
        <v>3358</v>
      </c>
      <c r="D812" s="3" t="s">
        <v>861</v>
      </c>
      <c r="E812" s="3" t="s">
        <v>2499</v>
      </c>
      <c r="F812" s="3" t="s">
        <v>1646</v>
      </c>
      <c r="G812" s="3" t="s">
        <v>3959</v>
      </c>
      <c r="H812" s="6">
        <v>17393.359999999997</v>
      </c>
      <c r="I812" s="18"/>
    </row>
    <row r="813" spans="1:9" ht="15.75" customHeight="1" x14ac:dyDescent="0.35">
      <c r="A813" s="15"/>
      <c r="B813" s="3" t="s">
        <v>811</v>
      </c>
      <c r="C813" s="3" t="s">
        <v>3359</v>
      </c>
      <c r="D813" s="3" t="s">
        <v>860</v>
      </c>
      <c r="E813" s="3" t="s">
        <v>2500</v>
      </c>
      <c r="F813" s="3" t="s">
        <v>1647</v>
      </c>
      <c r="G813" s="3" t="s">
        <v>3959</v>
      </c>
      <c r="H813" s="6">
        <v>18568.016</v>
      </c>
      <c r="I813" s="18"/>
    </row>
    <row r="814" spans="1:9" ht="15.75" customHeight="1" x14ac:dyDescent="0.35">
      <c r="A814" s="15"/>
      <c r="B814" s="3" t="s">
        <v>812</v>
      </c>
      <c r="C814" s="3" t="s">
        <v>3360</v>
      </c>
      <c r="D814" s="3" t="s">
        <v>861</v>
      </c>
      <c r="E814" s="3" t="s">
        <v>2501</v>
      </c>
      <c r="F814" s="3" t="s">
        <v>1648</v>
      </c>
      <c r="G814" s="3" t="s">
        <v>3829</v>
      </c>
      <c r="H814" s="6">
        <v>21479.423999999999</v>
      </c>
      <c r="I814" s="18"/>
    </row>
    <row r="815" spans="1:9" ht="15.75" customHeight="1" x14ac:dyDescent="0.35">
      <c r="A815" s="15"/>
      <c r="B815" s="3" t="s">
        <v>813</v>
      </c>
      <c r="C815" s="3" t="s">
        <v>3361</v>
      </c>
      <c r="D815" s="3" t="s">
        <v>860</v>
      </c>
      <c r="E815" s="3" t="s">
        <v>2502</v>
      </c>
      <c r="F815" s="3" t="s">
        <v>1649</v>
      </c>
      <c r="G815" s="3" t="s">
        <v>3961</v>
      </c>
      <c r="H815" s="6">
        <v>15251.375999999998</v>
      </c>
      <c r="I815" s="18"/>
    </row>
    <row r="816" spans="1:9" ht="15.75" customHeight="1" x14ac:dyDescent="0.35">
      <c r="A816" s="15"/>
      <c r="B816" s="3" t="s">
        <v>814</v>
      </c>
      <c r="C816" s="3" t="s">
        <v>3362</v>
      </c>
      <c r="D816" s="3" t="s">
        <v>860</v>
      </c>
      <c r="E816" s="3" t="s">
        <v>2503</v>
      </c>
      <c r="F816" s="3" t="s">
        <v>1310</v>
      </c>
      <c r="G816" s="3" t="s">
        <v>3960</v>
      </c>
      <c r="H816" s="6">
        <v>15251.375999999998</v>
      </c>
      <c r="I816" s="18"/>
    </row>
    <row r="817" spans="1:9" ht="15.75" customHeight="1" x14ac:dyDescent="0.35">
      <c r="A817" s="15"/>
      <c r="B817" s="3" t="s">
        <v>815</v>
      </c>
      <c r="C817" s="3" t="s">
        <v>3363</v>
      </c>
      <c r="D817" s="3" t="s">
        <v>860</v>
      </c>
      <c r="E817" s="3" t="s">
        <v>2504</v>
      </c>
      <c r="F817" s="3" t="s">
        <v>1650</v>
      </c>
      <c r="G817" s="3" t="s">
        <v>3960</v>
      </c>
      <c r="H817" s="6">
        <v>15251.375999999998</v>
      </c>
      <c r="I817" s="18"/>
    </row>
    <row r="818" spans="1:9" ht="15.75" customHeight="1" x14ac:dyDescent="0.35">
      <c r="A818" s="15"/>
      <c r="B818" s="3" t="s">
        <v>816</v>
      </c>
      <c r="C818" s="3" t="s">
        <v>3364</v>
      </c>
      <c r="D818" s="3" t="s">
        <v>861</v>
      </c>
      <c r="E818" s="3" t="s">
        <v>2505</v>
      </c>
      <c r="F818" s="3" t="s">
        <v>1651</v>
      </c>
      <c r="G818" s="3" t="s">
        <v>3960</v>
      </c>
      <c r="H818" s="6">
        <v>15251.375999999998</v>
      </c>
      <c r="I818" s="18"/>
    </row>
    <row r="819" spans="1:9" ht="15.75" customHeight="1" x14ac:dyDescent="0.35">
      <c r="A819" s="15"/>
      <c r="B819" s="3" t="s">
        <v>817</v>
      </c>
      <c r="C819" s="3" t="s">
        <v>3365</v>
      </c>
      <c r="D819" s="3" t="s">
        <v>861</v>
      </c>
      <c r="E819" s="3" t="s">
        <v>2506</v>
      </c>
      <c r="F819" s="3" t="s">
        <v>1652</v>
      </c>
      <c r="G819" s="3" t="s">
        <v>3960</v>
      </c>
      <c r="H819" s="6">
        <v>15251.375999999998</v>
      </c>
      <c r="I819" s="18"/>
    </row>
    <row r="820" spans="1:9" ht="15.75" customHeight="1" x14ac:dyDescent="0.35">
      <c r="A820" s="15"/>
      <c r="B820" s="3" t="s">
        <v>818</v>
      </c>
      <c r="C820" s="3" t="s">
        <v>3366</v>
      </c>
      <c r="D820" s="3" t="s">
        <v>861</v>
      </c>
      <c r="E820" s="3" t="s">
        <v>2507</v>
      </c>
      <c r="F820" s="3" t="s">
        <v>1653</v>
      </c>
      <c r="G820" s="3" t="s">
        <v>3960</v>
      </c>
      <c r="H820" s="6">
        <v>15251.375999999998</v>
      </c>
      <c r="I820" s="18"/>
    </row>
    <row r="821" spans="1:9" ht="15.75" customHeight="1" x14ac:dyDescent="0.35">
      <c r="A821" s="15"/>
      <c r="B821" s="3" t="s">
        <v>819</v>
      </c>
      <c r="C821" s="3" t="s">
        <v>3367</v>
      </c>
      <c r="D821" s="3" t="s">
        <v>861</v>
      </c>
      <c r="E821" s="3" t="s">
        <v>2508</v>
      </c>
      <c r="F821" s="3" t="s">
        <v>1654</v>
      </c>
      <c r="G821" s="3" t="s">
        <v>3960</v>
      </c>
      <c r="H821" s="6">
        <v>15251.375999999998</v>
      </c>
      <c r="I821" s="18"/>
    </row>
    <row r="822" spans="1:9" ht="15.75" customHeight="1" x14ac:dyDescent="0.35">
      <c r="A822" s="15"/>
      <c r="B822" s="3" t="s">
        <v>820</v>
      </c>
      <c r="C822" s="3" t="s">
        <v>3368</v>
      </c>
      <c r="D822" s="3" t="s">
        <v>861</v>
      </c>
      <c r="E822" s="3" t="s">
        <v>2509</v>
      </c>
      <c r="F822" s="3" t="s">
        <v>1655</v>
      </c>
      <c r="G822" s="3" t="s">
        <v>3960</v>
      </c>
      <c r="H822" s="6">
        <v>15251.375999999998</v>
      </c>
      <c r="I822" s="18"/>
    </row>
    <row r="823" spans="1:9" ht="15.75" customHeight="1" x14ac:dyDescent="0.35">
      <c r="A823" s="15"/>
      <c r="B823" s="3" t="s">
        <v>821</v>
      </c>
      <c r="C823" s="3" t="s">
        <v>3369</v>
      </c>
      <c r="D823" s="3" t="s">
        <v>860</v>
      </c>
      <c r="E823" s="3" t="s">
        <v>2510</v>
      </c>
      <c r="F823" s="3" t="s">
        <v>1552</v>
      </c>
      <c r="G823" s="3" t="s">
        <v>3960</v>
      </c>
      <c r="H823" s="6">
        <v>15251.375999999998</v>
      </c>
      <c r="I823" s="18"/>
    </row>
    <row r="824" spans="1:9" ht="15.75" customHeight="1" x14ac:dyDescent="0.35">
      <c r="A824" s="15"/>
      <c r="B824" s="3" t="s">
        <v>822</v>
      </c>
      <c r="C824" s="3" t="s">
        <v>3370</v>
      </c>
      <c r="D824" s="3" t="s">
        <v>861</v>
      </c>
      <c r="E824" s="3" t="s">
        <v>2511</v>
      </c>
      <c r="F824" s="3" t="s">
        <v>1656</v>
      </c>
      <c r="G824" s="3" t="s">
        <v>6294</v>
      </c>
      <c r="H824" s="6">
        <v>23513.184000000001</v>
      </c>
      <c r="I824" s="18"/>
    </row>
    <row r="825" spans="1:9" ht="15.75" customHeight="1" x14ac:dyDescent="0.35">
      <c r="A825" s="15"/>
      <c r="B825" s="3" t="s">
        <v>823</v>
      </c>
      <c r="C825" s="3" t="s">
        <v>3371</v>
      </c>
      <c r="D825" s="3" t="s">
        <v>861</v>
      </c>
      <c r="E825" s="3" t="s">
        <v>2512</v>
      </c>
      <c r="F825" s="3" t="s">
        <v>1657</v>
      </c>
      <c r="G825" s="3" t="s">
        <v>3961</v>
      </c>
      <c r="H825" s="6">
        <v>15251.375999999998</v>
      </c>
      <c r="I825" s="18"/>
    </row>
    <row r="826" spans="1:9" ht="15.75" customHeight="1" x14ac:dyDescent="0.35">
      <c r="A826" s="15"/>
      <c r="B826" s="3" t="s">
        <v>824</v>
      </c>
      <c r="C826" s="3" t="s">
        <v>3372</v>
      </c>
      <c r="D826" s="3" t="s">
        <v>861</v>
      </c>
      <c r="E826" s="3" t="s">
        <v>2513</v>
      </c>
      <c r="F826" s="3" t="s">
        <v>1658</v>
      </c>
      <c r="G826" s="3" t="s">
        <v>3961</v>
      </c>
      <c r="H826" s="6">
        <v>38128.896000000001</v>
      </c>
      <c r="I826" s="18"/>
    </row>
    <row r="827" spans="1:9" ht="15.75" customHeight="1" x14ac:dyDescent="0.35">
      <c r="A827" s="15"/>
      <c r="B827" s="3" t="s">
        <v>825</v>
      </c>
      <c r="C827" s="3" t="s">
        <v>3373</v>
      </c>
      <c r="D827" s="3" t="s">
        <v>861</v>
      </c>
      <c r="E827" s="3" t="s">
        <v>2514</v>
      </c>
      <c r="F827" s="3" t="s">
        <v>1659</v>
      </c>
      <c r="G827" s="3" t="s">
        <v>3961</v>
      </c>
      <c r="H827" s="6">
        <v>15251.375999999998</v>
      </c>
      <c r="I827" s="18"/>
    </row>
    <row r="828" spans="1:9" ht="15.75" customHeight="1" x14ac:dyDescent="0.35">
      <c r="A828" s="15"/>
      <c r="B828" s="3" t="s">
        <v>826</v>
      </c>
      <c r="C828" s="3" t="s">
        <v>3374</v>
      </c>
      <c r="D828" s="3" t="s">
        <v>861</v>
      </c>
      <c r="E828" s="3" t="s">
        <v>2515</v>
      </c>
      <c r="F828" s="3" t="s">
        <v>1660</v>
      </c>
      <c r="G828" s="3" t="s">
        <v>3962</v>
      </c>
      <c r="H828" s="6">
        <v>15251.375999999998</v>
      </c>
      <c r="I828" s="18"/>
    </row>
    <row r="829" spans="1:9" ht="15.75" customHeight="1" x14ac:dyDescent="0.35">
      <c r="A829" s="15"/>
      <c r="B829" s="3" t="s">
        <v>827</v>
      </c>
      <c r="C829" s="3" t="s">
        <v>3375</v>
      </c>
      <c r="D829" s="3" t="s">
        <v>861</v>
      </c>
      <c r="E829" s="3" t="s">
        <v>2516</v>
      </c>
      <c r="F829" s="3" t="s">
        <v>1661</v>
      </c>
      <c r="G829" s="3" t="s">
        <v>3962</v>
      </c>
      <c r="H829" s="6">
        <v>15251.375999999998</v>
      </c>
      <c r="I829" s="18"/>
    </row>
    <row r="830" spans="1:9" ht="15.75" customHeight="1" x14ac:dyDescent="0.35">
      <c r="A830" s="15"/>
      <c r="B830" s="3" t="s">
        <v>828</v>
      </c>
      <c r="C830" s="3" t="s">
        <v>3376</v>
      </c>
      <c r="D830" s="3" t="s">
        <v>861</v>
      </c>
      <c r="E830" s="3" t="s">
        <v>2517</v>
      </c>
      <c r="F830" s="3" t="s">
        <v>1662</v>
      </c>
      <c r="G830" s="3" t="s">
        <v>6295</v>
      </c>
      <c r="H830" s="6">
        <v>21479.423999999999</v>
      </c>
      <c r="I830" s="18"/>
    </row>
    <row r="831" spans="1:9" ht="15.75" customHeight="1" x14ac:dyDescent="0.35">
      <c r="A831" s="15"/>
      <c r="B831" s="3" t="s">
        <v>829</v>
      </c>
      <c r="C831" s="3" t="s">
        <v>3377</v>
      </c>
      <c r="D831" s="3" t="s">
        <v>861</v>
      </c>
      <c r="E831" s="3" t="s">
        <v>2518</v>
      </c>
      <c r="F831" s="3" t="s">
        <v>1663</v>
      </c>
      <c r="G831" s="3" t="s">
        <v>3963</v>
      </c>
      <c r="H831" s="6">
        <v>15251.375999999998</v>
      </c>
      <c r="I831" s="18"/>
    </row>
    <row r="832" spans="1:9" ht="15.75" customHeight="1" x14ac:dyDescent="0.35">
      <c r="A832" s="15"/>
      <c r="B832" s="3" t="s">
        <v>830</v>
      </c>
      <c r="C832" s="3" t="s">
        <v>3378</v>
      </c>
      <c r="D832" s="3" t="s">
        <v>860</v>
      </c>
      <c r="E832" s="3" t="s">
        <v>2519</v>
      </c>
      <c r="F832" s="3" t="s">
        <v>1664</v>
      </c>
      <c r="G832" s="3" t="s">
        <v>6296</v>
      </c>
      <c r="H832" s="6">
        <v>23586.144</v>
      </c>
      <c r="I832" s="18"/>
    </row>
    <row r="833" spans="1:9" ht="15.75" customHeight="1" x14ac:dyDescent="0.35">
      <c r="A833" s="15"/>
      <c r="B833" s="3" t="s">
        <v>831</v>
      </c>
      <c r="C833" s="3" t="s">
        <v>3379</v>
      </c>
      <c r="D833" s="3" t="s">
        <v>860</v>
      </c>
      <c r="E833" s="3" t="s">
        <v>2520</v>
      </c>
      <c r="F833" s="3" t="s">
        <v>1085</v>
      </c>
      <c r="G833" s="3" t="s">
        <v>6297</v>
      </c>
      <c r="H833" s="6">
        <v>15724.096</v>
      </c>
      <c r="I833" s="18"/>
    </row>
    <row r="834" spans="1:9" ht="15.75" customHeight="1" x14ac:dyDescent="0.35">
      <c r="A834" s="15"/>
      <c r="B834" s="3" t="s">
        <v>832</v>
      </c>
      <c r="C834" s="3" t="s">
        <v>3380</v>
      </c>
      <c r="D834" s="3" t="s">
        <v>861</v>
      </c>
      <c r="E834" s="3" t="s">
        <v>2521</v>
      </c>
      <c r="F834" s="3" t="s">
        <v>1665</v>
      </c>
      <c r="G834" s="3" t="s">
        <v>6298</v>
      </c>
      <c r="H834" s="6">
        <v>7861.7439999999997</v>
      </c>
      <c r="I834" s="18"/>
    </row>
    <row r="835" spans="1:9" ht="15.75" customHeight="1" x14ac:dyDescent="0.35">
      <c r="A835" s="15"/>
      <c r="B835" s="3" t="s">
        <v>833</v>
      </c>
      <c r="C835" s="3" t="s">
        <v>3381</v>
      </c>
      <c r="D835" s="3" t="s">
        <v>860</v>
      </c>
      <c r="E835" s="3" t="s">
        <v>2522</v>
      </c>
      <c r="F835" s="3" t="s">
        <v>1666</v>
      </c>
      <c r="G835" s="3" t="s">
        <v>5443</v>
      </c>
      <c r="H835" s="6">
        <v>34951.487999999998</v>
      </c>
      <c r="I835" s="18"/>
    </row>
    <row r="836" spans="1:9" ht="15.75" customHeight="1" x14ac:dyDescent="0.35">
      <c r="A836" s="15"/>
      <c r="B836" s="3" t="s">
        <v>834</v>
      </c>
      <c r="C836" s="3" t="s">
        <v>3382</v>
      </c>
      <c r="D836" s="3" t="s">
        <v>861</v>
      </c>
      <c r="E836" s="3" t="s">
        <v>2523</v>
      </c>
      <c r="F836" s="3" t="s">
        <v>1667</v>
      </c>
      <c r="G836" s="19">
        <v>35856</v>
      </c>
      <c r="H836" s="6">
        <v>80256.734699093329</v>
      </c>
      <c r="I836" s="18"/>
    </row>
    <row r="837" spans="1:9" ht="15.75" customHeight="1" x14ac:dyDescent="0.35">
      <c r="A837" s="15"/>
      <c r="B837" s="3" t="s">
        <v>835</v>
      </c>
      <c r="C837" s="3" t="s">
        <v>3383</v>
      </c>
      <c r="D837" s="3" t="s">
        <v>860</v>
      </c>
      <c r="E837" s="3" t="s">
        <v>2524</v>
      </c>
      <c r="F837" s="3" t="s">
        <v>1668</v>
      </c>
      <c r="G837" s="3" t="s">
        <v>5404</v>
      </c>
      <c r="H837" s="6">
        <v>84818.694807999986</v>
      </c>
      <c r="I837" s="18"/>
    </row>
    <row r="838" spans="1:9" ht="15.75" customHeight="1" x14ac:dyDescent="0.35">
      <c r="A838" s="15"/>
      <c r="B838" s="3" t="s">
        <v>836</v>
      </c>
      <c r="C838" s="3" t="s">
        <v>3384</v>
      </c>
      <c r="D838" s="3" t="s">
        <v>860</v>
      </c>
      <c r="E838" s="3" t="s">
        <v>2525</v>
      </c>
      <c r="F838" s="3" t="s">
        <v>1669</v>
      </c>
      <c r="G838" s="3" t="s">
        <v>3775</v>
      </c>
      <c r="H838" s="6">
        <v>159269.94922666665</v>
      </c>
      <c r="I838" s="18"/>
    </row>
    <row r="839" spans="1:9" ht="15.75" customHeight="1" x14ac:dyDescent="0.35">
      <c r="A839" s="15"/>
      <c r="B839" s="3" t="s">
        <v>837</v>
      </c>
      <c r="C839" s="3" t="s">
        <v>3385</v>
      </c>
      <c r="D839" s="3" t="s">
        <v>860</v>
      </c>
      <c r="E839" s="3" t="s">
        <v>2526</v>
      </c>
      <c r="F839" s="3" t="s">
        <v>1670</v>
      </c>
      <c r="G839" s="3" t="s">
        <v>3733</v>
      </c>
      <c r="H839" s="6">
        <v>83700.733895999976</v>
      </c>
      <c r="I839" s="18"/>
    </row>
    <row r="840" spans="1:9" ht="15.75" customHeight="1" x14ac:dyDescent="0.35">
      <c r="A840" s="15"/>
      <c r="B840" s="3" t="s">
        <v>838</v>
      </c>
      <c r="C840" s="3" t="s">
        <v>3386</v>
      </c>
      <c r="D840" s="3" t="s">
        <v>860</v>
      </c>
      <c r="E840" s="3" t="s">
        <v>2527</v>
      </c>
      <c r="F840" s="3" t="s">
        <v>1671</v>
      </c>
      <c r="G840" s="3" t="s">
        <v>5405</v>
      </c>
      <c r="H840" s="6">
        <v>254663.05055253333</v>
      </c>
      <c r="I840" s="18"/>
    </row>
    <row r="841" spans="1:9" ht="15.75" customHeight="1" x14ac:dyDescent="0.35">
      <c r="A841" s="15"/>
      <c r="B841" s="3" t="s">
        <v>839</v>
      </c>
      <c r="C841" s="3" t="s">
        <v>3387</v>
      </c>
      <c r="D841" s="3" t="s">
        <v>861</v>
      </c>
      <c r="E841" s="3" t="s">
        <v>2528</v>
      </c>
      <c r="F841" s="3" t="s">
        <v>1149</v>
      </c>
      <c r="G841" s="3" t="s">
        <v>5414</v>
      </c>
      <c r="H841" s="6">
        <v>23973.439999999999</v>
      </c>
      <c r="I841" s="18"/>
    </row>
    <row r="842" spans="1:9" ht="15.75" customHeight="1" x14ac:dyDescent="0.35">
      <c r="A842" s="15"/>
      <c r="B842" s="3" t="s">
        <v>840</v>
      </c>
      <c r="C842" s="3" t="s">
        <v>3388</v>
      </c>
      <c r="D842" s="3" t="s">
        <v>861</v>
      </c>
      <c r="E842" s="3" t="s">
        <v>2529</v>
      </c>
      <c r="F842" s="3" t="s">
        <v>1176</v>
      </c>
      <c r="G842" s="3" t="s">
        <v>5415</v>
      </c>
      <c r="H842" s="6">
        <v>11420.672</v>
      </c>
      <c r="I842" s="18"/>
    </row>
    <row r="843" spans="1:9" ht="15.75" customHeight="1" x14ac:dyDescent="0.35">
      <c r="A843" s="15"/>
      <c r="B843" s="3" t="s">
        <v>841</v>
      </c>
      <c r="C843" s="3" t="s">
        <v>3389</v>
      </c>
      <c r="D843" s="3" t="s">
        <v>861</v>
      </c>
      <c r="E843" s="3" t="s">
        <v>2530</v>
      </c>
      <c r="F843" s="3" t="s">
        <v>1672</v>
      </c>
      <c r="G843" s="3" t="s">
        <v>5416</v>
      </c>
      <c r="H843" s="6">
        <v>11405.472</v>
      </c>
      <c r="I843" s="18"/>
    </row>
    <row r="844" spans="1:9" ht="15.75" customHeight="1" x14ac:dyDescent="0.35">
      <c r="A844" s="15"/>
      <c r="B844" s="3" t="s">
        <v>842</v>
      </c>
      <c r="C844" s="3" t="s">
        <v>3390</v>
      </c>
      <c r="D844" s="3" t="s">
        <v>860</v>
      </c>
      <c r="E844" s="3" t="s">
        <v>2531</v>
      </c>
      <c r="F844" s="3" t="s">
        <v>1673</v>
      </c>
      <c r="G844" s="3" t="s">
        <v>6299</v>
      </c>
      <c r="H844" s="6">
        <v>15101.503999999999</v>
      </c>
      <c r="I844" s="18"/>
    </row>
    <row r="845" spans="1:9" ht="15.75" customHeight="1" x14ac:dyDescent="0.35">
      <c r="A845" s="15"/>
      <c r="B845" s="3" t="s">
        <v>843</v>
      </c>
      <c r="C845" s="3" t="s">
        <v>3391</v>
      </c>
      <c r="D845" s="3" t="s">
        <v>860</v>
      </c>
      <c r="E845" s="3" t="s">
        <v>2532</v>
      </c>
      <c r="F845" s="3" t="s">
        <v>864</v>
      </c>
      <c r="G845" s="3" t="s">
        <v>3671</v>
      </c>
      <c r="H845" s="6">
        <v>30282.655999999999</v>
      </c>
      <c r="I845" s="18"/>
    </row>
    <row r="846" spans="1:9" ht="15.75" customHeight="1" x14ac:dyDescent="0.35">
      <c r="A846" s="15"/>
      <c r="B846" s="3" t="s">
        <v>844</v>
      </c>
      <c r="C846" s="3" t="s">
        <v>3392</v>
      </c>
      <c r="D846" s="3" t="s">
        <v>861</v>
      </c>
      <c r="E846" s="3" t="s">
        <v>2533</v>
      </c>
      <c r="F846" s="3" t="s">
        <v>1674</v>
      </c>
      <c r="G846" s="3" t="s">
        <v>5916</v>
      </c>
      <c r="H846" s="6">
        <v>12304.096</v>
      </c>
      <c r="I846" s="18"/>
    </row>
    <row r="847" spans="1:9" ht="15.75" customHeight="1" x14ac:dyDescent="0.35">
      <c r="A847" s="15"/>
      <c r="B847" s="3" t="s">
        <v>845</v>
      </c>
      <c r="C847" s="3" t="s">
        <v>3393</v>
      </c>
      <c r="D847" s="3" t="s">
        <v>861</v>
      </c>
      <c r="E847" s="3" t="s">
        <v>2534</v>
      </c>
      <c r="F847" s="3" t="s">
        <v>1675</v>
      </c>
      <c r="G847" s="3" t="s">
        <v>5417</v>
      </c>
      <c r="H847" s="6">
        <v>14826.688</v>
      </c>
      <c r="I847" s="18"/>
    </row>
    <row r="848" spans="1:9" ht="15.75" customHeight="1" x14ac:dyDescent="0.35">
      <c r="A848" s="15"/>
      <c r="B848" s="3" t="s">
        <v>846</v>
      </c>
      <c r="C848" s="3" t="s">
        <v>3394</v>
      </c>
      <c r="D848" s="3" t="s">
        <v>860</v>
      </c>
      <c r="E848" s="3" t="s">
        <v>2535</v>
      </c>
      <c r="F848" s="3" t="s">
        <v>1676</v>
      </c>
      <c r="G848" s="3" t="s">
        <v>5418</v>
      </c>
      <c r="H848" s="6">
        <v>28726.48</v>
      </c>
      <c r="I848" s="18"/>
    </row>
    <row r="849" spans="1:130" ht="15.75" customHeight="1" x14ac:dyDescent="0.35">
      <c r="A849" s="15"/>
      <c r="B849" s="3" t="s">
        <v>847</v>
      </c>
      <c r="C849" s="3" t="s">
        <v>3395</v>
      </c>
      <c r="D849" s="3" t="s">
        <v>860</v>
      </c>
      <c r="E849" s="3" t="s">
        <v>2536</v>
      </c>
      <c r="F849" s="3" t="s">
        <v>1677</v>
      </c>
      <c r="G849" s="3" t="s">
        <v>5419</v>
      </c>
      <c r="H849" s="6">
        <v>12168.511999999999</v>
      </c>
      <c r="I849" s="18"/>
    </row>
    <row r="850" spans="1:130" ht="15.75" customHeight="1" x14ac:dyDescent="0.35">
      <c r="A850" s="15"/>
      <c r="B850" s="3" t="s">
        <v>848</v>
      </c>
      <c r="C850" s="3" t="s">
        <v>3396</v>
      </c>
      <c r="D850" s="3" t="s">
        <v>860</v>
      </c>
      <c r="E850" s="3" t="s">
        <v>2537</v>
      </c>
      <c r="F850" s="3" t="s">
        <v>1678</v>
      </c>
      <c r="G850" s="3" t="s">
        <v>6300</v>
      </c>
      <c r="H850" s="6">
        <v>0</v>
      </c>
      <c r="I850" s="18"/>
    </row>
    <row r="851" spans="1:130" ht="15.75" customHeight="1" x14ac:dyDescent="0.35">
      <c r="A851" s="15"/>
      <c r="B851" s="3" t="s">
        <v>849</v>
      </c>
      <c r="C851" s="3" t="s">
        <v>3397</v>
      </c>
      <c r="D851" s="3" t="s">
        <v>861</v>
      </c>
      <c r="E851" s="3" t="s">
        <v>2538</v>
      </c>
      <c r="F851" s="3" t="s">
        <v>1679</v>
      </c>
      <c r="G851" s="3" t="s">
        <v>5420</v>
      </c>
      <c r="H851" s="6">
        <v>10672.831999999999</v>
      </c>
      <c r="I851" s="18"/>
    </row>
    <row r="852" spans="1:130" ht="15.75" customHeight="1" x14ac:dyDescent="0.35">
      <c r="A852" s="15"/>
      <c r="B852" s="3" t="s">
        <v>850</v>
      </c>
      <c r="C852" s="3" t="s">
        <v>3398</v>
      </c>
      <c r="D852" s="3" t="s">
        <v>860</v>
      </c>
      <c r="E852" s="3" t="s">
        <v>2539</v>
      </c>
      <c r="F852" s="3" t="s">
        <v>1680</v>
      </c>
      <c r="G852" s="3" t="s">
        <v>5421</v>
      </c>
      <c r="H852" s="6">
        <v>10250.879999999999</v>
      </c>
      <c r="I852" s="18"/>
    </row>
    <row r="853" spans="1:130" ht="15.75" customHeight="1" x14ac:dyDescent="0.35">
      <c r="A853" s="15"/>
      <c r="B853" s="3" t="s">
        <v>851</v>
      </c>
      <c r="C853" s="3" t="s">
        <v>3399</v>
      </c>
      <c r="D853" s="3" t="s">
        <v>861</v>
      </c>
      <c r="E853" s="3" t="s">
        <v>2540</v>
      </c>
      <c r="F853" s="3" t="s">
        <v>1681</v>
      </c>
      <c r="G853" s="3" t="s">
        <v>5422</v>
      </c>
      <c r="H853" s="6">
        <v>10568.864</v>
      </c>
      <c r="I853" s="18"/>
    </row>
    <row r="854" spans="1:130" ht="15.75" customHeight="1" x14ac:dyDescent="0.35">
      <c r="A854" s="15"/>
      <c r="B854" s="3" t="s">
        <v>852</v>
      </c>
      <c r="C854" s="3" t="s">
        <v>3400</v>
      </c>
      <c r="D854" s="3" t="s">
        <v>861</v>
      </c>
      <c r="E854" s="3" t="s">
        <v>2541</v>
      </c>
      <c r="F854" s="3" t="s">
        <v>1682</v>
      </c>
      <c r="G854" s="3" t="s">
        <v>5423</v>
      </c>
      <c r="H854" s="6">
        <v>10262.431999999999</v>
      </c>
      <c r="I854" s="18"/>
    </row>
    <row r="855" spans="1:130" ht="15.75" customHeight="1" x14ac:dyDescent="0.35">
      <c r="A855" s="15"/>
      <c r="B855" s="3" t="s">
        <v>853</v>
      </c>
      <c r="C855" s="3" t="s">
        <v>3401</v>
      </c>
      <c r="D855" s="3" t="s">
        <v>861</v>
      </c>
      <c r="E855" s="3" t="s">
        <v>2542</v>
      </c>
      <c r="F855" s="3" t="s">
        <v>1683</v>
      </c>
      <c r="G855" s="3" t="s">
        <v>5567</v>
      </c>
      <c r="H855" s="6">
        <v>39374.080000000002</v>
      </c>
      <c r="I855" s="18"/>
    </row>
    <row r="856" spans="1:130" ht="15.75" customHeight="1" x14ac:dyDescent="0.35">
      <c r="A856" s="15"/>
      <c r="B856" s="3" t="s">
        <v>854</v>
      </c>
      <c r="C856" s="3" t="s">
        <v>3402</v>
      </c>
      <c r="D856" s="3" t="s">
        <v>861</v>
      </c>
      <c r="E856" s="3" t="s">
        <v>2543</v>
      </c>
      <c r="F856" s="3" t="s">
        <v>1684</v>
      </c>
      <c r="G856" s="3" t="s">
        <v>6261</v>
      </c>
      <c r="H856" s="6">
        <v>10235.679999999998</v>
      </c>
      <c r="I856" s="18"/>
    </row>
    <row r="857" spans="1:130" ht="15.75" customHeight="1" x14ac:dyDescent="0.35">
      <c r="A857" s="15"/>
      <c r="B857" s="3" t="s">
        <v>855</v>
      </c>
      <c r="C857" s="3" t="s">
        <v>3403</v>
      </c>
      <c r="D857" s="3" t="s">
        <v>860</v>
      </c>
      <c r="E857" s="3" t="s">
        <v>2544</v>
      </c>
      <c r="F857" s="3" t="s">
        <v>1685</v>
      </c>
      <c r="G857" s="3" t="s">
        <v>5424</v>
      </c>
      <c r="H857" s="6">
        <v>27529.632000000001</v>
      </c>
      <c r="I857" s="18"/>
    </row>
    <row r="858" spans="1:130" ht="15.75" customHeight="1" x14ac:dyDescent="0.35">
      <c r="A858" s="15"/>
      <c r="B858" s="3" t="s">
        <v>856</v>
      </c>
      <c r="C858" s="3" t="s">
        <v>3404</v>
      </c>
      <c r="D858" s="3" t="s">
        <v>860</v>
      </c>
      <c r="E858" s="3" t="s">
        <v>2545</v>
      </c>
      <c r="F858" s="3" t="s">
        <v>1686</v>
      </c>
      <c r="G858" s="3" t="s">
        <v>3942</v>
      </c>
      <c r="H858" s="6">
        <v>27251.776000000002</v>
      </c>
      <c r="I858" s="18"/>
    </row>
    <row r="859" spans="1:130" ht="15.75" customHeight="1" x14ac:dyDescent="0.35">
      <c r="A859" s="15"/>
      <c r="B859" s="3" t="s">
        <v>857</v>
      </c>
      <c r="C859" s="3" t="s">
        <v>3405</v>
      </c>
      <c r="D859" s="3" t="s">
        <v>860</v>
      </c>
      <c r="E859" s="3" t="s">
        <v>2546</v>
      </c>
      <c r="F859" s="3" t="s">
        <v>1687</v>
      </c>
      <c r="G859" s="3" t="s">
        <v>5425</v>
      </c>
      <c r="H859" s="6">
        <v>27356.351999999999</v>
      </c>
      <c r="I859" s="18"/>
    </row>
    <row r="860" spans="1:130" ht="15.75" customHeight="1" x14ac:dyDescent="0.35">
      <c r="A860" s="15"/>
      <c r="B860" s="3" t="s">
        <v>858</v>
      </c>
      <c r="C860" s="3" t="s">
        <v>3406</v>
      </c>
      <c r="D860" s="3" t="s">
        <v>861</v>
      </c>
      <c r="E860" s="3" t="s">
        <v>2547</v>
      </c>
      <c r="F860" s="3" t="s">
        <v>1688</v>
      </c>
      <c r="G860" s="3" t="s">
        <v>3756</v>
      </c>
      <c r="H860" s="6">
        <v>42972.223999999995</v>
      </c>
      <c r="I860" s="18"/>
    </row>
    <row r="861" spans="1:130" ht="15.75" customHeight="1" x14ac:dyDescent="0.35">
      <c r="A861" s="15"/>
      <c r="B861" s="3"/>
      <c r="C861" s="3"/>
      <c r="D861" s="3"/>
      <c r="E861" s="3"/>
      <c r="F861" s="19"/>
      <c r="G861" s="19"/>
      <c r="H861" s="21"/>
      <c r="I861" s="18"/>
    </row>
    <row r="862" spans="1:130" ht="15.75" customHeight="1" x14ac:dyDescent="0.35">
      <c r="I862" s="25"/>
    </row>
    <row r="863" spans="1:130" ht="15.75" customHeight="1" thickBot="1" x14ac:dyDescent="0.4">
      <c r="A863" s="26"/>
      <c r="B863" s="27"/>
      <c r="C863" s="27"/>
      <c r="D863" s="27"/>
      <c r="E863" s="27"/>
      <c r="F863" s="28"/>
      <c r="G863" s="28"/>
      <c r="H863" s="29"/>
      <c r="I863" s="25"/>
      <c r="J863" s="30"/>
      <c r="K863" s="30"/>
      <c r="L863" s="30"/>
      <c r="M863" s="30"/>
      <c r="N863" s="30"/>
      <c r="O863" s="30"/>
      <c r="P863" s="30"/>
      <c r="Q863" s="30"/>
      <c r="R863" s="30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  <c r="DI863" s="31"/>
      <c r="DJ863" s="31"/>
      <c r="DK863" s="31"/>
      <c r="DL863" s="31"/>
      <c r="DM863" s="31"/>
      <c r="DN863" s="31"/>
      <c r="DO863" s="31"/>
      <c r="DP863" s="31"/>
      <c r="DQ863" s="31"/>
      <c r="DR863" s="31"/>
      <c r="DS863" s="31"/>
      <c r="DT863" s="31"/>
      <c r="DU863" s="31"/>
      <c r="DV863" s="31"/>
      <c r="DW863" s="31"/>
      <c r="DX863" s="31"/>
      <c r="DY863" s="31"/>
      <c r="DZ863" s="31"/>
    </row>
    <row r="864" spans="1:130" ht="14.25" customHeight="1" x14ac:dyDescent="0.35">
      <c r="A864" s="32"/>
      <c r="B864" s="32"/>
      <c r="C864" s="32"/>
      <c r="D864" s="32"/>
      <c r="E864" s="32"/>
      <c r="F864" s="32"/>
      <c r="G864" s="32"/>
      <c r="H864" s="32"/>
      <c r="I864" s="33"/>
      <c r="J864" s="30"/>
      <c r="K864" s="30"/>
      <c r="L864" s="30"/>
      <c r="M864" s="30"/>
      <c r="N864" s="30"/>
      <c r="O864" s="30"/>
      <c r="P864" s="30"/>
      <c r="Q864" s="30"/>
      <c r="R864" s="30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  <c r="DI864" s="31"/>
      <c r="DJ864" s="31"/>
      <c r="DK864" s="31"/>
      <c r="DL864" s="31"/>
      <c r="DM864" s="31"/>
      <c r="DN864" s="31"/>
      <c r="DO864" s="31"/>
      <c r="DP864" s="31"/>
      <c r="DQ864" s="31"/>
      <c r="DR864" s="31"/>
      <c r="DS864" s="31"/>
      <c r="DT864" s="31"/>
      <c r="DU864" s="31"/>
      <c r="DV864" s="31"/>
      <c r="DW864" s="31"/>
      <c r="DX864" s="31"/>
      <c r="DY864" s="31"/>
      <c r="DZ864" s="31"/>
    </row>
    <row r="865" spans="1:130" s="10" customFormat="1" ht="20.25" hidden="1" customHeight="1" x14ac:dyDescent="0.35">
      <c r="B865" s="42"/>
      <c r="C865" s="42"/>
      <c r="D865" s="42"/>
      <c r="E865" s="42"/>
      <c r="F865" s="43"/>
      <c r="G865" s="43"/>
      <c r="H865" s="44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  <c r="BI865" s="30"/>
      <c r="BJ865" s="30"/>
      <c r="BK865" s="30"/>
      <c r="BL865" s="30"/>
      <c r="BM865" s="30"/>
      <c r="BN865" s="30"/>
      <c r="BO865" s="30"/>
      <c r="BP865" s="30"/>
      <c r="BQ865" s="30"/>
      <c r="BR865" s="30"/>
      <c r="BS865" s="30"/>
      <c r="BT865" s="30"/>
      <c r="BU865" s="30"/>
      <c r="BV865" s="30"/>
      <c r="BW865" s="30"/>
      <c r="BX865" s="30"/>
      <c r="BY865" s="30"/>
      <c r="BZ865" s="30"/>
      <c r="CA865" s="30"/>
      <c r="CB865" s="30"/>
      <c r="CC865" s="30"/>
      <c r="CD865" s="30"/>
      <c r="CE865" s="30"/>
      <c r="CF865" s="30"/>
      <c r="CG865" s="30"/>
      <c r="CH865" s="30"/>
      <c r="CI865" s="30"/>
      <c r="CJ865" s="30"/>
      <c r="CK865" s="30"/>
      <c r="CL865" s="30"/>
      <c r="CM865" s="30"/>
      <c r="CN865" s="30"/>
      <c r="CO865" s="30"/>
      <c r="CP865" s="30"/>
      <c r="CQ865" s="30"/>
      <c r="CR865" s="30"/>
      <c r="CS865" s="30"/>
      <c r="CT865" s="30"/>
      <c r="CU865" s="30"/>
      <c r="CV865" s="30"/>
      <c r="CW865" s="30"/>
      <c r="CX865" s="30"/>
      <c r="CY865" s="30"/>
      <c r="CZ865" s="30"/>
      <c r="DA865" s="30"/>
      <c r="DB865" s="30"/>
      <c r="DC865" s="30"/>
      <c r="DD865" s="30"/>
      <c r="DE865" s="30"/>
      <c r="DF865" s="30"/>
      <c r="DG865" s="30"/>
      <c r="DH865" s="30"/>
      <c r="DI865" s="30"/>
      <c r="DJ865" s="30"/>
      <c r="DK865" s="30"/>
      <c r="DL865" s="30"/>
      <c r="DM865" s="30"/>
      <c r="DN865" s="30"/>
      <c r="DO865" s="30"/>
      <c r="DP865" s="30"/>
      <c r="DQ865" s="30"/>
      <c r="DR865" s="30"/>
      <c r="DS865" s="30"/>
      <c r="DT865" s="30"/>
      <c r="DU865" s="30"/>
      <c r="DV865" s="30"/>
      <c r="DW865" s="30"/>
      <c r="DX865" s="30"/>
      <c r="DY865" s="30"/>
      <c r="DZ865" s="30"/>
    </row>
    <row r="866" spans="1:130" s="10" customFormat="1" ht="20.25" hidden="1" customHeight="1" x14ac:dyDescent="0.35">
      <c r="B866" s="42"/>
      <c r="C866" s="42"/>
      <c r="D866" s="42"/>
      <c r="E866" s="42"/>
      <c r="F866" s="43"/>
      <c r="G866" s="43"/>
      <c r="H866" s="44"/>
    </row>
    <row r="867" spans="1:130" s="10" customFormat="1" ht="20.25" hidden="1" customHeight="1" x14ac:dyDescent="0.35">
      <c r="B867" s="42"/>
      <c r="C867" s="42"/>
      <c r="D867" s="42"/>
      <c r="E867" s="42"/>
      <c r="F867" s="43"/>
      <c r="G867" s="43"/>
      <c r="H867" s="44"/>
    </row>
    <row r="868" spans="1:130" s="10" customFormat="1" ht="20.25" hidden="1" customHeight="1" x14ac:dyDescent="0.35">
      <c r="B868" s="42"/>
      <c r="C868" s="42"/>
      <c r="D868" s="42"/>
      <c r="E868" s="42"/>
      <c r="F868" s="43"/>
      <c r="G868" s="43"/>
      <c r="H868" s="44"/>
    </row>
    <row r="869" spans="1:130" s="10" customFormat="1" ht="20.25" hidden="1" customHeight="1" x14ac:dyDescent="0.35">
      <c r="A869" s="45"/>
      <c r="B869" s="42"/>
      <c r="C869" s="42"/>
      <c r="D869" s="42"/>
      <c r="E869" s="42"/>
      <c r="F869" s="43"/>
      <c r="G869" s="43"/>
      <c r="H869" s="44"/>
    </row>
    <row r="870" spans="1:130" s="10" customFormat="1" ht="20.25" hidden="1" customHeight="1" x14ac:dyDescent="0.35">
      <c r="A870" s="45"/>
      <c r="B870" s="42"/>
      <c r="C870" s="42"/>
      <c r="D870" s="42"/>
      <c r="E870" s="42"/>
      <c r="F870" s="43"/>
      <c r="G870" s="43"/>
      <c r="H870" s="44"/>
    </row>
    <row r="871" spans="1:130" s="10" customFormat="1" ht="20.25" hidden="1" customHeight="1" x14ac:dyDescent="0.35">
      <c r="A871" s="45"/>
      <c r="B871" s="42"/>
      <c r="C871" s="42"/>
      <c r="D871" s="42"/>
      <c r="E871" s="42"/>
      <c r="F871" s="43"/>
      <c r="G871" s="43"/>
      <c r="H871" s="44"/>
    </row>
    <row r="872" spans="1:130" s="10" customFormat="1" ht="20.25" hidden="1" customHeight="1" x14ac:dyDescent="0.35">
      <c r="A872" s="45"/>
      <c r="B872" s="42"/>
      <c r="C872" s="42"/>
      <c r="D872" s="42"/>
      <c r="E872" s="42"/>
      <c r="F872" s="43"/>
      <c r="G872" s="43"/>
      <c r="H872" s="44"/>
    </row>
    <row r="873" spans="1:130" s="10" customFormat="1" ht="20.25" hidden="1" customHeight="1" x14ac:dyDescent="0.35">
      <c r="A873" s="45"/>
      <c r="B873" s="42"/>
      <c r="C873" s="42"/>
      <c r="D873" s="42"/>
      <c r="E873" s="42"/>
      <c r="F873" s="43"/>
      <c r="G873" s="43"/>
      <c r="H873" s="44"/>
    </row>
    <row r="874" spans="1:130" s="10" customFormat="1" ht="20.25" hidden="1" customHeight="1" x14ac:dyDescent="0.35">
      <c r="A874" s="45"/>
      <c r="B874" s="42"/>
      <c r="C874" s="42"/>
      <c r="D874" s="42"/>
      <c r="E874" s="42"/>
      <c r="F874" s="43"/>
      <c r="G874" s="43"/>
      <c r="H874" s="44"/>
    </row>
    <row r="875" spans="1:130" s="10" customFormat="1" ht="20.25" hidden="1" customHeight="1" x14ac:dyDescent="0.35">
      <c r="A875" s="45"/>
      <c r="B875" s="42"/>
      <c r="C875" s="42"/>
      <c r="D875" s="42"/>
      <c r="E875" s="42"/>
      <c r="F875" s="43"/>
      <c r="G875" s="43"/>
      <c r="H875" s="44"/>
    </row>
    <row r="876" spans="1:130" s="10" customFormat="1" ht="20.25" hidden="1" customHeight="1" x14ac:dyDescent="0.35">
      <c r="A876" s="45"/>
      <c r="B876" s="42"/>
      <c r="C876" s="42"/>
      <c r="D876" s="42"/>
      <c r="E876" s="42"/>
      <c r="F876" s="43"/>
      <c r="G876" s="43"/>
      <c r="H876" s="44"/>
    </row>
    <row r="877" spans="1:130" s="10" customFormat="1" ht="20.25" hidden="1" customHeight="1" x14ac:dyDescent="0.35">
      <c r="A877" s="45"/>
      <c r="B877" s="42"/>
      <c r="C877" s="42"/>
      <c r="D877" s="42"/>
      <c r="E877" s="42"/>
      <c r="F877" s="43"/>
      <c r="G877" s="43"/>
      <c r="H877" s="44"/>
    </row>
    <row r="878" spans="1:130" s="10" customFormat="1" ht="20.25" hidden="1" customHeight="1" x14ac:dyDescent="0.35">
      <c r="A878" s="45"/>
      <c r="B878" s="42"/>
      <c r="C878" s="42"/>
      <c r="D878" s="42"/>
      <c r="E878" s="42"/>
      <c r="F878" s="43"/>
      <c r="G878" s="43"/>
      <c r="H878" s="44"/>
    </row>
    <row r="879" spans="1:130" s="10" customFormat="1" ht="20.25" hidden="1" customHeight="1" x14ac:dyDescent="0.35">
      <c r="A879" s="45"/>
      <c r="B879" s="42"/>
      <c r="C879" s="42"/>
      <c r="D879" s="42"/>
      <c r="E879" s="42"/>
      <c r="F879" s="43"/>
      <c r="G879" s="43"/>
      <c r="H879" s="44"/>
    </row>
    <row r="880" spans="1:130" s="10" customFormat="1" ht="20.25" hidden="1" customHeight="1" x14ac:dyDescent="0.35">
      <c r="A880" s="45"/>
      <c r="B880" s="42"/>
      <c r="C880" s="42"/>
      <c r="D880" s="42"/>
      <c r="E880" s="42"/>
      <c r="F880" s="43"/>
      <c r="G880" s="43"/>
      <c r="H880" s="44"/>
    </row>
    <row r="881" spans="1:8" s="10" customFormat="1" ht="20.25" hidden="1" customHeight="1" x14ac:dyDescent="0.35">
      <c r="A881" s="45"/>
      <c r="B881" s="42"/>
      <c r="C881" s="42"/>
      <c r="D881" s="42"/>
      <c r="E881" s="42"/>
      <c r="F881" s="43"/>
      <c r="G881" s="43"/>
      <c r="H881" s="44"/>
    </row>
    <row r="882" spans="1:8" s="10" customFormat="1" ht="20.25" hidden="1" customHeight="1" x14ac:dyDescent="0.35">
      <c r="A882" s="45"/>
      <c r="B882" s="42"/>
      <c r="C882" s="42"/>
      <c r="D882" s="42"/>
      <c r="E882" s="42"/>
      <c r="F882" s="43"/>
      <c r="G882" s="43"/>
      <c r="H882" s="44"/>
    </row>
    <row r="883" spans="1:8" s="10" customFormat="1" ht="20.25" hidden="1" customHeight="1" x14ac:dyDescent="0.35">
      <c r="A883" s="45"/>
      <c r="B883" s="42"/>
      <c r="C883" s="42"/>
      <c r="D883" s="42"/>
      <c r="E883" s="42"/>
      <c r="F883" s="43"/>
      <c r="G883" s="43"/>
      <c r="H883" s="44"/>
    </row>
    <row r="884" spans="1:8" s="10" customFormat="1" ht="20.25" hidden="1" customHeight="1" x14ac:dyDescent="0.35">
      <c r="A884" s="45"/>
      <c r="B884" s="42"/>
      <c r="C884" s="42"/>
      <c r="D884" s="42"/>
      <c r="E884" s="42"/>
      <c r="F884" s="43"/>
      <c r="G884" s="43"/>
      <c r="H884" s="44"/>
    </row>
    <row r="885" spans="1:8" s="10" customFormat="1" ht="20.25" hidden="1" customHeight="1" x14ac:dyDescent="0.35">
      <c r="A885" s="45"/>
      <c r="B885" s="42"/>
      <c r="C885" s="42"/>
      <c r="D885" s="42"/>
      <c r="E885" s="42"/>
      <c r="F885" s="43"/>
      <c r="G885" s="43"/>
      <c r="H885" s="44"/>
    </row>
    <row r="886" spans="1:8" s="10" customFormat="1" ht="20.25" hidden="1" customHeight="1" x14ac:dyDescent="0.35">
      <c r="A886" s="45"/>
      <c r="B886" s="42"/>
      <c r="C886" s="42"/>
      <c r="D886" s="42"/>
      <c r="E886" s="42"/>
      <c r="F886" s="43"/>
      <c r="G886" s="43"/>
      <c r="H886" s="44"/>
    </row>
    <row r="887" spans="1:8" s="10" customFormat="1" ht="20.25" hidden="1" customHeight="1" x14ac:dyDescent="0.35">
      <c r="A887" s="45"/>
      <c r="B887" s="42"/>
      <c r="C887" s="42"/>
      <c r="D887" s="42"/>
      <c r="E887" s="42"/>
      <c r="F887" s="43"/>
      <c r="G887" s="43"/>
      <c r="H887" s="44"/>
    </row>
    <row r="888" spans="1:8" s="10" customFormat="1" ht="20.25" hidden="1" customHeight="1" x14ac:dyDescent="0.35">
      <c r="A888" s="45"/>
      <c r="B888" s="42"/>
      <c r="C888" s="42"/>
      <c r="D888" s="42"/>
      <c r="E888" s="42"/>
      <c r="F888" s="43"/>
      <c r="G888" s="43"/>
      <c r="H888" s="44"/>
    </row>
    <row r="889" spans="1:8" s="10" customFormat="1" ht="20.25" hidden="1" customHeight="1" x14ac:dyDescent="0.35">
      <c r="A889" s="45"/>
      <c r="B889" s="42"/>
      <c r="C889" s="42"/>
      <c r="D889" s="42"/>
      <c r="E889" s="42"/>
      <c r="F889" s="43"/>
      <c r="G889" s="43"/>
      <c r="H889" s="44"/>
    </row>
    <row r="890" spans="1:8" s="10" customFormat="1" ht="20.25" hidden="1" customHeight="1" x14ac:dyDescent="0.35">
      <c r="A890" s="45"/>
      <c r="B890" s="42"/>
      <c r="C890" s="42"/>
      <c r="D890" s="42"/>
      <c r="E890" s="42"/>
      <c r="F890" s="43"/>
      <c r="G890" s="43"/>
      <c r="H890" s="44"/>
    </row>
    <row r="891" spans="1:8" s="10" customFormat="1" ht="20.25" hidden="1" customHeight="1" x14ac:dyDescent="0.35">
      <c r="A891" s="45"/>
      <c r="B891" s="42"/>
      <c r="C891" s="42"/>
      <c r="D891" s="42"/>
      <c r="E891" s="42"/>
      <c r="F891" s="43"/>
      <c r="G891" s="43"/>
      <c r="H891" s="44"/>
    </row>
    <row r="892" spans="1:8" s="10" customFormat="1" ht="20.25" hidden="1" customHeight="1" x14ac:dyDescent="0.35">
      <c r="A892" s="45"/>
      <c r="B892" s="42"/>
      <c r="C892" s="42"/>
      <c r="D892" s="42"/>
      <c r="E892" s="42"/>
      <c r="F892" s="43"/>
      <c r="G892" s="43"/>
      <c r="H892" s="44"/>
    </row>
    <row r="893" spans="1:8" s="10" customFormat="1" ht="20.25" hidden="1" customHeight="1" x14ac:dyDescent="0.35">
      <c r="A893" s="45"/>
      <c r="B893" s="42"/>
      <c r="C893" s="42"/>
      <c r="D893" s="42"/>
      <c r="E893" s="42"/>
      <c r="F893" s="43"/>
      <c r="G893" s="43"/>
      <c r="H893" s="44"/>
    </row>
    <row r="894" spans="1:8" s="10" customFormat="1" ht="20.25" hidden="1" customHeight="1" x14ac:dyDescent="0.35">
      <c r="A894" s="45"/>
      <c r="B894" s="42"/>
      <c r="C894" s="42"/>
      <c r="D894" s="42"/>
      <c r="E894" s="42"/>
      <c r="F894" s="43"/>
      <c r="G894" s="43"/>
      <c r="H894" s="44"/>
    </row>
    <row r="895" spans="1:8" s="10" customFormat="1" ht="20.25" hidden="1" customHeight="1" x14ac:dyDescent="0.35">
      <c r="A895" s="45"/>
      <c r="B895" s="42"/>
      <c r="C895" s="42"/>
      <c r="D895" s="42"/>
      <c r="E895" s="42"/>
      <c r="F895" s="43"/>
      <c r="G895" s="43"/>
      <c r="H895" s="44"/>
    </row>
    <row r="896" spans="1:8" s="10" customFormat="1" ht="20.25" hidden="1" customHeight="1" x14ac:dyDescent="0.35">
      <c r="A896" s="45"/>
      <c r="B896" s="42"/>
      <c r="C896" s="42"/>
      <c r="D896" s="42"/>
      <c r="E896" s="42"/>
      <c r="F896" s="43"/>
      <c r="G896" s="43"/>
      <c r="H896" s="44"/>
    </row>
    <row r="897" spans="1:8" s="10" customFormat="1" ht="20.25" hidden="1" customHeight="1" x14ac:dyDescent="0.35">
      <c r="A897" s="45"/>
      <c r="B897" s="42"/>
      <c r="C897" s="42"/>
      <c r="D897" s="42"/>
      <c r="E897" s="42"/>
      <c r="F897" s="43"/>
      <c r="G897" s="43"/>
      <c r="H897" s="44"/>
    </row>
    <row r="898" spans="1:8" s="10" customFormat="1" ht="20.25" hidden="1" customHeight="1" x14ac:dyDescent="0.35">
      <c r="A898" s="45"/>
      <c r="B898" s="42"/>
      <c r="C898" s="42"/>
      <c r="D898" s="42"/>
      <c r="E898" s="42"/>
      <c r="F898" s="43"/>
      <c r="G898" s="43"/>
      <c r="H898" s="44"/>
    </row>
    <row r="899" spans="1:8" s="10" customFormat="1" ht="20.25" hidden="1" customHeight="1" x14ac:dyDescent="0.35">
      <c r="A899" s="45"/>
      <c r="B899" s="42"/>
      <c r="C899" s="42"/>
      <c r="D899" s="42"/>
      <c r="E899" s="42"/>
      <c r="F899" s="43"/>
      <c r="G899" s="43"/>
      <c r="H899" s="44"/>
    </row>
    <row r="900" spans="1:8" s="10" customFormat="1" ht="20.25" hidden="1" customHeight="1" x14ac:dyDescent="0.35">
      <c r="A900" s="45"/>
      <c r="B900" s="42"/>
      <c r="C900" s="42"/>
      <c r="D900" s="42"/>
      <c r="E900" s="42"/>
      <c r="F900" s="43"/>
      <c r="G900" s="43"/>
      <c r="H900" s="44"/>
    </row>
    <row r="901" spans="1:8" s="10" customFormat="1" ht="20.25" hidden="1" customHeight="1" x14ac:dyDescent="0.35">
      <c r="A901" s="45"/>
      <c r="B901" s="42"/>
      <c r="C901" s="42"/>
      <c r="D901" s="42"/>
      <c r="E901" s="42"/>
      <c r="F901" s="43"/>
      <c r="G901" s="43"/>
      <c r="H901" s="44"/>
    </row>
    <row r="902" spans="1:8" s="10" customFormat="1" ht="20.25" hidden="1" customHeight="1" x14ac:dyDescent="0.35">
      <c r="A902" s="45"/>
      <c r="B902" s="42"/>
      <c r="C902" s="42"/>
      <c r="D902" s="42"/>
      <c r="E902" s="42"/>
      <c r="F902" s="43"/>
      <c r="G902" s="43"/>
      <c r="H902" s="44"/>
    </row>
    <row r="903" spans="1:8" s="10" customFormat="1" ht="20.25" hidden="1" customHeight="1" x14ac:dyDescent="0.35">
      <c r="A903" s="45"/>
      <c r="B903" s="42"/>
      <c r="C903" s="42"/>
      <c r="D903" s="42"/>
      <c r="E903" s="42"/>
      <c r="F903" s="43"/>
      <c r="G903" s="43"/>
      <c r="H903" s="44"/>
    </row>
    <row r="904" spans="1:8" s="10" customFormat="1" ht="20.25" hidden="1" customHeight="1" x14ac:dyDescent="0.35">
      <c r="A904" s="45"/>
      <c r="B904" s="42"/>
      <c r="C904" s="42"/>
      <c r="D904" s="42"/>
      <c r="E904" s="42"/>
      <c r="F904" s="43"/>
      <c r="G904" s="43"/>
      <c r="H904" s="44"/>
    </row>
    <row r="905" spans="1:8" s="10" customFormat="1" ht="20.25" hidden="1" customHeight="1" x14ac:dyDescent="0.35">
      <c r="A905" s="45"/>
      <c r="B905" s="42"/>
      <c r="C905" s="42"/>
      <c r="D905" s="42"/>
      <c r="E905" s="42"/>
      <c r="F905" s="43"/>
      <c r="G905" s="43"/>
      <c r="H905" s="44"/>
    </row>
    <row r="906" spans="1:8" s="10" customFormat="1" ht="20.25" hidden="1" customHeight="1" x14ac:dyDescent="0.35">
      <c r="A906" s="45"/>
      <c r="B906" s="42"/>
      <c r="C906" s="42"/>
      <c r="D906" s="42"/>
      <c r="E906" s="42"/>
      <c r="F906" s="43"/>
      <c r="G906" s="43"/>
      <c r="H906" s="44"/>
    </row>
    <row r="907" spans="1:8" s="10" customFormat="1" ht="20.25" hidden="1" customHeight="1" x14ac:dyDescent="0.35">
      <c r="A907" s="45"/>
      <c r="B907" s="42"/>
      <c r="C907" s="42"/>
      <c r="D907" s="42"/>
      <c r="E907" s="42"/>
      <c r="F907" s="43"/>
      <c r="G907" s="43"/>
      <c r="H907" s="44"/>
    </row>
    <row r="908" spans="1:8" s="10" customFormat="1" ht="20.25" hidden="1" customHeight="1" x14ac:dyDescent="0.35">
      <c r="A908" s="45"/>
      <c r="B908" s="42"/>
      <c r="C908" s="42"/>
      <c r="D908" s="42"/>
      <c r="E908" s="42"/>
      <c r="F908" s="43"/>
      <c r="G908" s="43"/>
      <c r="H908" s="44"/>
    </row>
    <row r="909" spans="1:8" s="10" customFormat="1" ht="20.25" hidden="1" customHeight="1" x14ac:dyDescent="0.35">
      <c r="A909" s="45"/>
      <c r="B909" s="42"/>
      <c r="C909" s="42"/>
      <c r="D909" s="42"/>
      <c r="E909" s="42"/>
      <c r="F909" s="43"/>
      <c r="G909" s="43"/>
      <c r="H909" s="44"/>
    </row>
    <row r="910" spans="1:8" s="10" customFormat="1" ht="20.25" hidden="1" customHeight="1" x14ac:dyDescent="0.35">
      <c r="A910" s="45"/>
      <c r="B910" s="42"/>
      <c r="C910" s="42"/>
      <c r="D910" s="42"/>
      <c r="E910" s="42"/>
      <c r="F910" s="43"/>
      <c r="G910" s="43"/>
      <c r="H910" s="44"/>
    </row>
    <row r="911" spans="1:8" s="10" customFormat="1" ht="20.25" hidden="1" customHeight="1" x14ac:dyDescent="0.35">
      <c r="A911" s="45"/>
      <c r="B911" s="42"/>
      <c r="C911" s="42"/>
      <c r="D911" s="42"/>
      <c r="E911" s="42"/>
      <c r="F911" s="43"/>
      <c r="G911" s="43"/>
      <c r="H911" s="44"/>
    </row>
    <row r="912" spans="1:8" s="10" customFormat="1" ht="20.25" hidden="1" customHeight="1" x14ac:dyDescent="0.35">
      <c r="A912" s="45"/>
      <c r="B912" s="42"/>
      <c r="C912" s="42"/>
      <c r="D912" s="42"/>
      <c r="E912" s="42"/>
      <c r="F912" s="43"/>
      <c r="G912" s="43"/>
      <c r="H912" s="44"/>
    </row>
    <row r="913" spans="1:18" s="10" customFormat="1" ht="20.25" hidden="1" customHeight="1" x14ac:dyDescent="0.35">
      <c r="A913" s="45"/>
      <c r="B913" s="42"/>
      <c r="C913" s="42"/>
      <c r="D913" s="42"/>
      <c r="E913" s="42"/>
      <c r="F913" s="43"/>
      <c r="G913" s="43"/>
      <c r="H913" s="44"/>
    </row>
    <row r="914" spans="1:18" s="10" customFormat="1" ht="20.25" hidden="1" customHeight="1" x14ac:dyDescent="0.35">
      <c r="A914" s="45"/>
      <c r="B914" s="42"/>
      <c r="C914" s="42"/>
      <c r="D914" s="42"/>
      <c r="E914" s="42"/>
      <c r="F914" s="43"/>
      <c r="G914" s="43"/>
      <c r="H914" s="44"/>
    </row>
    <row r="915" spans="1:18" ht="20.25" hidden="1" customHeight="1" x14ac:dyDescent="0.35"/>
    <row r="916" spans="1:18" ht="20.25" hidden="1" customHeight="1" x14ac:dyDescent="0.35"/>
    <row r="917" spans="1:18" ht="20.25" hidden="1" customHeight="1" x14ac:dyDescent="0.35"/>
    <row r="918" spans="1:18" ht="20.25" hidden="1" customHeight="1" x14ac:dyDescent="0.35"/>
    <row r="919" spans="1:18" ht="20.25" hidden="1" customHeight="1" x14ac:dyDescent="0.35"/>
    <row r="920" spans="1:18" ht="20.25" hidden="1" customHeight="1" x14ac:dyDescent="0.35"/>
    <row r="921" spans="1:18" ht="20.25" hidden="1" customHeight="1" x14ac:dyDescent="0.35"/>
    <row r="922" spans="1:18" ht="20.25" hidden="1" customHeight="1" x14ac:dyDescent="0.35"/>
    <row r="923" spans="1:18" s="7" customFormat="1" ht="20.25" hidden="1" customHeight="1" x14ac:dyDescent="0.35">
      <c r="B923" s="22"/>
      <c r="C923" s="22"/>
      <c r="D923" s="22"/>
      <c r="E923" s="22"/>
      <c r="F923" s="23"/>
      <c r="G923" s="23"/>
      <c r="H923" s="24"/>
      <c r="I923" s="9"/>
      <c r="J923" s="10"/>
      <c r="K923" s="10"/>
      <c r="L923" s="10"/>
      <c r="M923" s="10"/>
      <c r="N923" s="10"/>
      <c r="O923" s="10"/>
      <c r="P923" s="10"/>
      <c r="Q923" s="10"/>
      <c r="R923" s="10"/>
    </row>
    <row r="924" spans="1:18" s="7" customFormat="1" ht="20.25" hidden="1" customHeight="1" x14ac:dyDescent="0.35">
      <c r="B924" s="22"/>
      <c r="C924" s="22"/>
      <c r="D924" s="22"/>
      <c r="E924" s="22"/>
      <c r="F924" s="23"/>
      <c r="G924" s="23"/>
      <c r="H924" s="24"/>
      <c r="I924" s="9"/>
      <c r="J924" s="10"/>
      <c r="K924" s="10"/>
      <c r="L924" s="10"/>
      <c r="M924" s="10"/>
      <c r="N924" s="10"/>
      <c r="O924" s="10"/>
      <c r="P924" s="10"/>
      <c r="Q924" s="10"/>
      <c r="R924" s="10"/>
    </row>
    <row r="925" spans="1:18" s="7" customFormat="1" ht="20.25" hidden="1" customHeight="1" x14ac:dyDescent="0.35">
      <c r="B925" s="22"/>
      <c r="C925" s="22"/>
      <c r="D925" s="22"/>
      <c r="E925" s="22"/>
      <c r="F925" s="23"/>
      <c r="G925" s="23"/>
      <c r="H925" s="24"/>
      <c r="I925" s="9"/>
      <c r="J925" s="10"/>
      <c r="K925" s="10"/>
      <c r="L925" s="10"/>
      <c r="M925" s="10"/>
      <c r="N925" s="10"/>
      <c r="O925" s="10"/>
      <c r="P925" s="10"/>
      <c r="Q925" s="10"/>
      <c r="R925" s="10"/>
    </row>
    <row r="926" spans="1:18" s="7" customFormat="1" ht="20.25" hidden="1" customHeight="1" x14ac:dyDescent="0.35">
      <c r="B926" s="22"/>
      <c r="C926" s="22"/>
      <c r="D926" s="22"/>
      <c r="E926" s="22"/>
      <c r="F926" s="23"/>
      <c r="G926" s="23"/>
      <c r="H926" s="24"/>
      <c r="I926" s="9"/>
      <c r="J926" s="10"/>
      <c r="K926" s="10"/>
      <c r="L926" s="10"/>
      <c r="M926" s="10"/>
      <c r="N926" s="10"/>
      <c r="O926" s="10"/>
      <c r="P926" s="10"/>
      <c r="Q926" s="10"/>
      <c r="R926" s="10"/>
    </row>
  </sheetData>
  <autoFilter ref="A2:DZ860" xr:uid="{00000000-0001-0000-0600-000000000000}"/>
  <printOptions horizontalCentered="1"/>
  <pageMargins left="0.39370078740157483" right="0.39370078740157483" top="0.78740157480314965" bottom="0.78740157480314965" header="0" footer="0"/>
  <pageSetup scale="65" orientation="landscape" r:id="rId1"/>
  <headerFooter alignWithMargins="0"/>
  <rowBreaks count="1" manualBreakCount="1">
    <brk id="875" max="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FC584-A65A-4176-AE8B-55ED38C33C79}">
  <sheetPr filterMode="1"/>
  <dimension ref="B2:J916"/>
  <sheetViews>
    <sheetView workbookViewId="0">
      <selection activeCell="I9" sqref="I9"/>
    </sheetView>
  </sheetViews>
  <sheetFormatPr baseColWidth="10" defaultRowHeight="14.5" x14ac:dyDescent="0.35"/>
  <cols>
    <col min="3" max="3" width="12.81640625" bestFit="1" customWidth="1"/>
    <col min="4" max="6" width="14.81640625" customWidth="1"/>
    <col min="8" max="8" width="14" bestFit="1" customWidth="1"/>
    <col min="9" max="9" width="16" customWidth="1"/>
  </cols>
  <sheetData>
    <row r="2" spans="2:10" ht="93" x14ac:dyDescent="0.35">
      <c r="B2" s="2" t="s">
        <v>0</v>
      </c>
      <c r="C2" s="2" t="s">
        <v>2548</v>
      </c>
      <c r="D2" s="2" t="s">
        <v>859</v>
      </c>
      <c r="E2" s="2" t="s">
        <v>1689</v>
      </c>
      <c r="F2" s="4" t="s">
        <v>862</v>
      </c>
      <c r="G2" s="4" t="s">
        <v>3407</v>
      </c>
      <c r="H2" s="5" t="s">
        <v>6301</v>
      </c>
      <c r="I2" s="66" t="s">
        <v>6316</v>
      </c>
      <c r="J2" s="66" t="s">
        <v>6317</v>
      </c>
    </row>
    <row r="3" spans="2:10" ht="15.5" hidden="1" x14ac:dyDescent="0.35">
      <c r="B3" s="3" t="s">
        <v>1</v>
      </c>
      <c r="C3" s="16" t="s">
        <v>2549</v>
      </c>
      <c r="D3" s="17" t="s">
        <v>860</v>
      </c>
      <c r="E3" s="16" t="s">
        <v>1690</v>
      </c>
      <c r="F3" s="17" t="s">
        <v>863</v>
      </c>
      <c r="G3" s="3" t="s">
        <v>3408</v>
      </c>
      <c r="H3" s="6">
        <v>214815.915048</v>
      </c>
      <c r="I3">
        <f>_xlfn.NUMBERVALUE(MID(C3,3,2))</f>
        <v>88</v>
      </c>
      <c r="J3">
        <f>IF(I3&gt;25,IF(I3&lt;=97,73,97),97)</f>
        <v>73</v>
      </c>
    </row>
    <row r="4" spans="2:10" ht="15.5" hidden="1" x14ac:dyDescent="0.35">
      <c r="B4" s="3" t="s">
        <v>2</v>
      </c>
      <c r="C4" s="16" t="s">
        <v>2550</v>
      </c>
      <c r="D4" s="17" t="s">
        <v>860</v>
      </c>
      <c r="E4" s="16" t="s">
        <v>1691</v>
      </c>
      <c r="F4" s="17" t="s">
        <v>864</v>
      </c>
      <c r="G4" s="3" t="s">
        <v>3409</v>
      </c>
      <c r="H4" s="6">
        <v>16009.248</v>
      </c>
      <c r="I4">
        <f t="shared" ref="I4:I67" si="0">_xlfn.NUMBERVALUE(MID(C4,3,2))</f>
        <v>92</v>
      </c>
      <c r="J4">
        <f t="shared" ref="J4:J67" si="1">IF(I4&gt;25,IF(I4&lt;=97,73,97),97)</f>
        <v>73</v>
      </c>
    </row>
    <row r="5" spans="2:10" ht="15.5" hidden="1" x14ac:dyDescent="0.35">
      <c r="B5" s="3" t="s">
        <v>3</v>
      </c>
      <c r="C5" s="16" t="s">
        <v>2551</v>
      </c>
      <c r="D5" s="17" t="s">
        <v>860</v>
      </c>
      <c r="E5" s="16" t="s">
        <v>1692</v>
      </c>
      <c r="F5" s="17" t="s">
        <v>865</v>
      </c>
      <c r="G5" s="3" t="s">
        <v>3410</v>
      </c>
      <c r="H5" s="6">
        <v>20168.576000000001</v>
      </c>
      <c r="I5">
        <f t="shared" si="0"/>
        <v>86</v>
      </c>
      <c r="J5">
        <f t="shared" si="1"/>
        <v>73</v>
      </c>
    </row>
    <row r="6" spans="2:10" ht="15.5" hidden="1" x14ac:dyDescent="0.35">
      <c r="B6" s="3" t="s">
        <v>4</v>
      </c>
      <c r="C6" s="16" t="s">
        <v>2552</v>
      </c>
      <c r="D6" s="17" t="s">
        <v>861</v>
      </c>
      <c r="E6" s="16" t="s">
        <v>1693</v>
      </c>
      <c r="F6" s="17" t="s">
        <v>866</v>
      </c>
      <c r="G6" s="3" t="s">
        <v>3411</v>
      </c>
      <c r="H6" s="6">
        <v>11524.335999999999</v>
      </c>
      <c r="I6">
        <f t="shared" si="0"/>
        <v>94</v>
      </c>
      <c r="J6">
        <f t="shared" si="1"/>
        <v>73</v>
      </c>
    </row>
    <row r="7" spans="2:10" ht="15.5" hidden="1" x14ac:dyDescent="0.35">
      <c r="B7" s="3" t="s">
        <v>5</v>
      </c>
      <c r="C7" s="16" t="s">
        <v>2553</v>
      </c>
      <c r="D7" s="17" t="s">
        <v>861</v>
      </c>
      <c r="E7" s="16" t="s">
        <v>1694</v>
      </c>
      <c r="F7" s="17" t="s">
        <v>867</v>
      </c>
      <c r="G7" s="3" t="s">
        <v>3412</v>
      </c>
      <c r="H7" s="6">
        <v>12877.44</v>
      </c>
      <c r="I7">
        <f t="shared" si="0"/>
        <v>88</v>
      </c>
      <c r="J7">
        <f t="shared" si="1"/>
        <v>73</v>
      </c>
    </row>
    <row r="8" spans="2:10" ht="15.5" hidden="1" x14ac:dyDescent="0.35">
      <c r="B8" s="3" t="s">
        <v>6</v>
      </c>
      <c r="C8" s="16" t="s">
        <v>2554</v>
      </c>
      <c r="D8" s="17" t="s">
        <v>861</v>
      </c>
      <c r="E8" s="16" t="s">
        <v>1695</v>
      </c>
      <c r="F8" s="17" t="s">
        <v>868</v>
      </c>
      <c r="G8" s="3" t="s">
        <v>3413</v>
      </c>
      <c r="H8" s="6">
        <v>44069.36</v>
      </c>
      <c r="I8">
        <f t="shared" si="0"/>
        <v>95</v>
      </c>
      <c r="J8">
        <f t="shared" si="1"/>
        <v>73</v>
      </c>
    </row>
    <row r="9" spans="2:10" ht="15.5" x14ac:dyDescent="0.35">
      <c r="B9" s="3" t="s">
        <v>8</v>
      </c>
      <c r="C9" s="16" t="s">
        <v>2556</v>
      </c>
      <c r="D9" s="17" t="s">
        <v>860</v>
      </c>
      <c r="E9" s="16" t="s">
        <v>1697</v>
      </c>
      <c r="F9" s="17" t="s">
        <v>870</v>
      </c>
      <c r="G9" s="3" t="s">
        <v>3414</v>
      </c>
      <c r="H9" s="6">
        <v>17722.896000000001</v>
      </c>
      <c r="I9">
        <f t="shared" si="0"/>
        <v>98</v>
      </c>
      <c r="J9">
        <f t="shared" si="1"/>
        <v>97</v>
      </c>
    </row>
    <row r="10" spans="2:10" ht="15.5" x14ac:dyDescent="0.35">
      <c r="B10" s="3" t="s">
        <v>10</v>
      </c>
      <c r="C10" s="16" t="s">
        <v>2558</v>
      </c>
      <c r="D10" s="17" t="s">
        <v>861</v>
      </c>
      <c r="E10" s="16" t="s">
        <v>1699</v>
      </c>
      <c r="F10" s="17" t="s">
        <v>872</v>
      </c>
      <c r="G10" s="3" t="s">
        <v>3415</v>
      </c>
      <c r="H10" s="6">
        <v>88054.894910293326</v>
      </c>
      <c r="I10">
        <f t="shared" si="0"/>
        <v>99</v>
      </c>
      <c r="J10">
        <f t="shared" si="1"/>
        <v>97</v>
      </c>
    </row>
    <row r="11" spans="2:10" ht="15.5" x14ac:dyDescent="0.35">
      <c r="B11" s="3" t="s">
        <v>11</v>
      </c>
      <c r="C11" s="16" t="s">
        <v>2559</v>
      </c>
      <c r="D11" s="17" t="s">
        <v>861</v>
      </c>
      <c r="E11" s="16" t="s">
        <v>1700</v>
      </c>
      <c r="F11" s="17" t="s">
        <v>873</v>
      </c>
      <c r="G11" s="3" t="s">
        <v>3416</v>
      </c>
      <c r="H11" s="6">
        <v>29757.647999999997</v>
      </c>
      <c r="I11">
        <f t="shared" si="0"/>
        <v>0</v>
      </c>
      <c r="J11">
        <f t="shared" si="1"/>
        <v>97</v>
      </c>
    </row>
    <row r="12" spans="2:10" ht="15.5" hidden="1" x14ac:dyDescent="0.35">
      <c r="B12" s="3" t="s">
        <v>13</v>
      </c>
      <c r="C12" s="16" t="s">
        <v>2561</v>
      </c>
      <c r="D12" s="17" t="s">
        <v>860</v>
      </c>
      <c r="E12" s="16" t="s">
        <v>1702</v>
      </c>
      <c r="F12" s="17" t="s">
        <v>875</v>
      </c>
      <c r="G12" s="3" t="s">
        <v>3417</v>
      </c>
      <c r="H12" s="6">
        <v>56417.231999999996</v>
      </c>
      <c r="I12">
        <f t="shared" si="0"/>
        <v>92</v>
      </c>
      <c r="J12">
        <f t="shared" si="1"/>
        <v>73</v>
      </c>
    </row>
    <row r="13" spans="2:10" ht="15.5" hidden="1" x14ac:dyDescent="0.35">
      <c r="B13" s="3" t="s">
        <v>14</v>
      </c>
      <c r="C13" s="16" t="s">
        <v>2562</v>
      </c>
      <c r="D13" s="17" t="s">
        <v>861</v>
      </c>
      <c r="E13" s="16" t="s">
        <v>1703</v>
      </c>
      <c r="F13" s="17" t="s">
        <v>876</v>
      </c>
      <c r="G13" s="3" t="s">
        <v>3418</v>
      </c>
      <c r="H13" s="6">
        <v>24313.007999999998</v>
      </c>
      <c r="I13">
        <f t="shared" si="0"/>
        <v>94</v>
      </c>
      <c r="J13">
        <f t="shared" si="1"/>
        <v>73</v>
      </c>
    </row>
    <row r="14" spans="2:10" ht="15.5" hidden="1" x14ac:dyDescent="0.35">
      <c r="B14" s="3" t="s">
        <v>15</v>
      </c>
      <c r="C14" s="16" t="s">
        <v>2563</v>
      </c>
      <c r="D14" s="17" t="s">
        <v>861</v>
      </c>
      <c r="E14" s="16" t="s">
        <v>1704</v>
      </c>
      <c r="F14" s="17" t="s">
        <v>877</v>
      </c>
      <c r="G14" s="3" t="s">
        <v>3418</v>
      </c>
      <c r="H14" s="6">
        <v>17233.455999999998</v>
      </c>
      <c r="I14">
        <f t="shared" si="0"/>
        <v>91</v>
      </c>
      <c r="J14">
        <f t="shared" si="1"/>
        <v>73</v>
      </c>
    </row>
    <row r="15" spans="2:10" ht="15.5" hidden="1" x14ac:dyDescent="0.35">
      <c r="B15" s="3" t="s">
        <v>17</v>
      </c>
      <c r="C15" s="16" t="s">
        <v>2565</v>
      </c>
      <c r="D15" s="17" t="s">
        <v>861</v>
      </c>
      <c r="E15" s="16" t="s">
        <v>1706</v>
      </c>
      <c r="F15" s="17" t="s">
        <v>879</v>
      </c>
      <c r="G15" s="3" t="s">
        <v>3419</v>
      </c>
      <c r="H15" s="6">
        <v>24767.791999999998</v>
      </c>
      <c r="I15">
        <f t="shared" si="0"/>
        <v>92</v>
      </c>
      <c r="J15">
        <f t="shared" si="1"/>
        <v>73</v>
      </c>
    </row>
    <row r="16" spans="2:10" ht="15.5" hidden="1" x14ac:dyDescent="0.35">
      <c r="B16" s="3" t="s">
        <v>18</v>
      </c>
      <c r="C16" s="16" t="s">
        <v>2566</v>
      </c>
      <c r="D16" s="17" t="s">
        <v>860</v>
      </c>
      <c r="E16" s="16" t="s">
        <v>1707</v>
      </c>
      <c r="F16" s="17" t="s">
        <v>880</v>
      </c>
      <c r="G16" s="3" t="s">
        <v>3420</v>
      </c>
      <c r="H16" s="6">
        <v>16222.96</v>
      </c>
      <c r="I16">
        <f t="shared" si="0"/>
        <v>97</v>
      </c>
      <c r="J16">
        <f t="shared" si="1"/>
        <v>73</v>
      </c>
    </row>
    <row r="17" spans="2:10" ht="15.5" x14ac:dyDescent="0.35">
      <c r="B17" s="3" t="s">
        <v>19</v>
      </c>
      <c r="C17" s="16" t="s">
        <v>2567</v>
      </c>
      <c r="D17" s="17" t="s">
        <v>861</v>
      </c>
      <c r="E17" s="16" t="s">
        <v>1708</v>
      </c>
      <c r="F17" s="17" t="s">
        <v>881</v>
      </c>
      <c r="G17" s="3" t="s">
        <v>3421</v>
      </c>
      <c r="H17" s="6">
        <v>10638.48</v>
      </c>
      <c r="I17">
        <f t="shared" si="0"/>
        <v>1</v>
      </c>
      <c r="J17">
        <f t="shared" si="1"/>
        <v>97</v>
      </c>
    </row>
    <row r="18" spans="2:10" ht="15.5" hidden="1" x14ac:dyDescent="0.35">
      <c r="B18" s="3" t="s">
        <v>20</v>
      </c>
      <c r="C18" s="16" t="s">
        <v>2568</v>
      </c>
      <c r="D18" s="17" t="s">
        <v>861</v>
      </c>
      <c r="E18" s="16" t="s">
        <v>1709</v>
      </c>
      <c r="F18" s="17" t="s">
        <v>882</v>
      </c>
      <c r="G18" s="3" t="s">
        <v>3422</v>
      </c>
      <c r="H18" s="6">
        <v>16808.464</v>
      </c>
      <c r="I18">
        <f t="shared" si="0"/>
        <v>89</v>
      </c>
      <c r="J18">
        <f t="shared" si="1"/>
        <v>73</v>
      </c>
    </row>
    <row r="19" spans="2:10" ht="15.5" hidden="1" x14ac:dyDescent="0.35">
      <c r="B19" s="3" t="s">
        <v>21</v>
      </c>
      <c r="C19" s="16" t="s">
        <v>2569</v>
      </c>
      <c r="D19" s="17" t="s">
        <v>860</v>
      </c>
      <c r="E19" s="16" t="s">
        <v>1710</v>
      </c>
      <c r="F19" s="17" t="s">
        <v>883</v>
      </c>
      <c r="G19" s="3" t="s">
        <v>3423</v>
      </c>
      <c r="H19" s="6">
        <v>7569.5999999999995</v>
      </c>
      <c r="I19">
        <f t="shared" si="0"/>
        <v>79</v>
      </c>
      <c r="J19">
        <f t="shared" si="1"/>
        <v>73</v>
      </c>
    </row>
    <row r="20" spans="2:10" ht="15.5" hidden="1" x14ac:dyDescent="0.35">
      <c r="B20" s="3" t="s">
        <v>22</v>
      </c>
      <c r="C20" s="16" t="s">
        <v>2570</v>
      </c>
      <c r="D20" s="17" t="s">
        <v>860</v>
      </c>
      <c r="E20" s="16" t="s">
        <v>1711</v>
      </c>
      <c r="F20" s="17" t="s">
        <v>884</v>
      </c>
      <c r="G20" s="3" t="s">
        <v>3424</v>
      </c>
      <c r="H20" s="6">
        <v>50655.519999999997</v>
      </c>
      <c r="I20">
        <f t="shared" si="0"/>
        <v>91</v>
      </c>
      <c r="J20">
        <f t="shared" si="1"/>
        <v>73</v>
      </c>
    </row>
    <row r="21" spans="2:10" ht="15.5" hidden="1" x14ac:dyDescent="0.35">
      <c r="B21" s="3" t="s">
        <v>23</v>
      </c>
      <c r="C21" s="16" t="s">
        <v>2571</v>
      </c>
      <c r="D21" s="17" t="s">
        <v>861</v>
      </c>
      <c r="E21" s="16" t="s">
        <v>1712</v>
      </c>
      <c r="F21" s="17" t="s">
        <v>885</v>
      </c>
      <c r="G21" s="3" t="s">
        <v>3425</v>
      </c>
      <c r="H21" s="6">
        <v>9527.0559999999987</v>
      </c>
      <c r="I21">
        <f t="shared" si="0"/>
        <v>90</v>
      </c>
      <c r="J21">
        <f t="shared" si="1"/>
        <v>73</v>
      </c>
    </row>
    <row r="22" spans="2:10" ht="15.5" x14ac:dyDescent="0.35">
      <c r="B22" s="3" t="s">
        <v>25</v>
      </c>
      <c r="C22" s="16" t="s">
        <v>2573</v>
      </c>
      <c r="D22" s="17" t="s">
        <v>861</v>
      </c>
      <c r="E22" s="16" t="s">
        <v>1714</v>
      </c>
      <c r="F22" s="17" t="s">
        <v>887</v>
      </c>
      <c r="G22" s="3" t="s">
        <v>3426</v>
      </c>
      <c r="H22" s="6">
        <v>36482.431999999993</v>
      </c>
      <c r="I22">
        <f t="shared" si="0"/>
        <v>99</v>
      </c>
      <c r="J22">
        <f t="shared" si="1"/>
        <v>97</v>
      </c>
    </row>
    <row r="23" spans="2:10" ht="15.5" hidden="1" x14ac:dyDescent="0.35">
      <c r="B23" s="3" t="s">
        <v>26</v>
      </c>
      <c r="C23" s="16" t="s">
        <v>2574</v>
      </c>
      <c r="D23" s="17" t="s">
        <v>861</v>
      </c>
      <c r="E23" s="16" t="s">
        <v>1715</v>
      </c>
      <c r="F23" s="17" t="s">
        <v>888</v>
      </c>
      <c r="G23" s="3" t="s">
        <v>3427</v>
      </c>
      <c r="H23" s="6">
        <v>8663.6959999999999</v>
      </c>
      <c r="I23">
        <f t="shared" si="0"/>
        <v>85</v>
      </c>
      <c r="J23">
        <f t="shared" si="1"/>
        <v>73</v>
      </c>
    </row>
    <row r="24" spans="2:10" ht="15.5" hidden="1" x14ac:dyDescent="0.35">
      <c r="B24" s="3" t="s">
        <v>27</v>
      </c>
      <c r="C24" s="16" t="s">
        <v>2575</v>
      </c>
      <c r="D24" s="17" t="s">
        <v>860</v>
      </c>
      <c r="E24" s="16" t="s">
        <v>1716</v>
      </c>
      <c r="F24" s="17" t="s">
        <v>889</v>
      </c>
      <c r="G24" s="3" t="s">
        <v>3427</v>
      </c>
      <c r="H24" s="6">
        <v>6598.6239999999998</v>
      </c>
      <c r="I24">
        <f t="shared" si="0"/>
        <v>86</v>
      </c>
      <c r="J24">
        <f t="shared" si="1"/>
        <v>73</v>
      </c>
    </row>
    <row r="25" spans="2:10" ht="15.5" hidden="1" x14ac:dyDescent="0.35">
      <c r="B25" s="3" t="s">
        <v>28</v>
      </c>
      <c r="C25" s="16" t="s">
        <v>2576</v>
      </c>
      <c r="D25" s="17" t="s">
        <v>861</v>
      </c>
      <c r="E25" s="16" t="s">
        <v>1717</v>
      </c>
      <c r="F25" s="17" t="s">
        <v>890</v>
      </c>
      <c r="G25" s="3" t="s">
        <v>3428</v>
      </c>
      <c r="H25" s="6">
        <v>17375.12</v>
      </c>
      <c r="I25">
        <f t="shared" si="0"/>
        <v>89</v>
      </c>
      <c r="J25">
        <f t="shared" si="1"/>
        <v>73</v>
      </c>
    </row>
    <row r="26" spans="2:10" ht="15.5" x14ac:dyDescent="0.35">
      <c r="B26" s="3" t="s">
        <v>30</v>
      </c>
      <c r="C26" s="16" t="s">
        <v>2578</v>
      </c>
      <c r="D26" s="17" t="s">
        <v>861</v>
      </c>
      <c r="E26" s="16" t="s">
        <v>1719</v>
      </c>
      <c r="F26" s="17" t="s">
        <v>892</v>
      </c>
      <c r="G26" s="3" t="s">
        <v>3429</v>
      </c>
      <c r="H26" s="6">
        <v>68321.567999999999</v>
      </c>
      <c r="I26">
        <f t="shared" si="0"/>
        <v>99</v>
      </c>
      <c r="J26">
        <f t="shared" si="1"/>
        <v>97</v>
      </c>
    </row>
    <row r="27" spans="2:10" ht="15.5" hidden="1" x14ac:dyDescent="0.35">
      <c r="B27" s="3" t="s">
        <v>31</v>
      </c>
      <c r="C27" s="16" t="s">
        <v>2579</v>
      </c>
      <c r="D27" s="17" t="s">
        <v>861</v>
      </c>
      <c r="E27" s="16" t="s">
        <v>1720</v>
      </c>
      <c r="F27" s="17" t="s">
        <v>893</v>
      </c>
      <c r="G27" s="3" t="s">
        <v>3430</v>
      </c>
      <c r="H27" s="6">
        <v>16302.911999999998</v>
      </c>
      <c r="I27">
        <f t="shared" si="0"/>
        <v>97</v>
      </c>
      <c r="J27">
        <f t="shared" si="1"/>
        <v>73</v>
      </c>
    </row>
    <row r="28" spans="2:10" ht="15.5" hidden="1" x14ac:dyDescent="0.35">
      <c r="B28" s="3" t="s">
        <v>32</v>
      </c>
      <c r="C28" s="16" t="s">
        <v>2580</v>
      </c>
      <c r="D28" s="17" t="s">
        <v>861</v>
      </c>
      <c r="E28" s="16" t="s">
        <v>1721</v>
      </c>
      <c r="F28" s="17" t="s">
        <v>894</v>
      </c>
      <c r="G28" s="3" t="s">
        <v>3431</v>
      </c>
      <c r="H28" s="6">
        <v>8940.64</v>
      </c>
      <c r="I28">
        <f t="shared" si="0"/>
        <v>92</v>
      </c>
      <c r="J28">
        <f t="shared" si="1"/>
        <v>73</v>
      </c>
    </row>
    <row r="29" spans="2:10" ht="15.5" x14ac:dyDescent="0.35">
      <c r="B29" s="3" t="s">
        <v>33</v>
      </c>
      <c r="C29" s="16" t="s">
        <v>2581</v>
      </c>
      <c r="D29" s="17" t="s">
        <v>860</v>
      </c>
      <c r="E29" s="16" t="s">
        <v>1722</v>
      </c>
      <c r="F29" s="17" t="s">
        <v>895</v>
      </c>
      <c r="G29" s="3" t="s">
        <v>3432</v>
      </c>
      <c r="H29" s="6">
        <v>98035.246858666651</v>
      </c>
      <c r="I29">
        <f t="shared" si="0"/>
        <v>1</v>
      </c>
      <c r="J29">
        <f t="shared" si="1"/>
        <v>97</v>
      </c>
    </row>
    <row r="30" spans="2:10" ht="15.5" x14ac:dyDescent="0.35">
      <c r="B30" s="3" t="s">
        <v>34</v>
      </c>
      <c r="C30" s="16" t="s">
        <v>2582</v>
      </c>
      <c r="D30" s="17" t="s">
        <v>860</v>
      </c>
      <c r="E30" s="16" t="s">
        <v>1723</v>
      </c>
      <c r="F30" s="17" t="s">
        <v>896</v>
      </c>
      <c r="G30" s="3" t="s">
        <v>3433</v>
      </c>
      <c r="H30" s="6">
        <v>69430.255999999994</v>
      </c>
      <c r="I30">
        <f t="shared" si="0"/>
        <v>5</v>
      </c>
      <c r="J30">
        <f t="shared" si="1"/>
        <v>97</v>
      </c>
    </row>
    <row r="31" spans="2:10" ht="15.5" hidden="1" x14ac:dyDescent="0.35">
      <c r="B31" s="3" t="s">
        <v>35</v>
      </c>
      <c r="C31" s="16" t="s">
        <v>2583</v>
      </c>
      <c r="D31" s="17" t="s">
        <v>861</v>
      </c>
      <c r="E31" s="16" t="s">
        <v>1724</v>
      </c>
      <c r="F31" s="17" t="s">
        <v>897</v>
      </c>
      <c r="G31" s="3" t="s">
        <v>3434</v>
      </c>
      <c r="H31" s="6">
        <v>37577.135999999999</v>
      </c>
      <c r="I31">
        <f t="shared" si="0"/>
        <v>96</v>
      </c>
      <c r="J31">
        <f t="shared" si="1"/>
        <v>73</v>
      </c>
    </row>
    <row r="32" spans="2:10" ht="15.5" x14ac:dyDescent="0.35">
      <c r="B32" s="3" t="s">
        <v>3435</v>
      </c>
      <c r="C32" s="16" t="s">
        <v>3436</v>
      </c>
      <c r="D32" s="17" t="s">
        <v>861</v>
      </c>
      <c r="E32" s="16" t="s">
        <v>3437</v>
      </c>
      <c r="F32" s="17" t="s">
        <v>3438</v>
      </c>
      <c r="G32" s="3" t="s">
        <v>3439</v>
      </c>
      <c r="H32" s="6">
        <v>22029.967999999997</v>
      </c>
      <c r="I32">
        <f t="shared" si="0"/>
        <v>0</v>
      </c>
      <c r="J32">
        <f t="shared" si="1"/>
        <v>97</v>
      </c>
    </row>
    <row r="33" spans="2:10" ht="15.5" x14ac:dyDescent="0.35">
      <c r="B33" s="3" t="s">
        <v>37</v>
      </c>
      <c r="C33" s="16" t="s">
        <v>2585</v>
      </c>
      <c r="D33" s="17" t="s">
        <v>860</v>
      </c>
      <c r="E33" s="16" t="s">
        <v>1726</v>
      </c>
      <c r="F33" s="17" t="s">
        <v>899</v>
      </c>
      <c r="G33" s="3" t="s">
        <v>3440</v>
      </c>
      <c r="H33" s="6">
        <v>34279.952000000005</v>
      </c>
      <c r="I33">
        <f t="shared" si="0"/>
        <v>4</v>
      </c>
      <c r="J33">
        <f t="shared" si="1"/>
        <v>97</v>
      </c>
    </row>
    <row r="34" spans="2:10" ht="15.5" x14ac:dyDescent="0.35">
      <c r="B34" s="3" t="s">
        <v>38</v>
      </c>
      <c r="C34" s="16" t="s">
        <v>2586</v>
      </c>
      <c r="D34" s="17" t="s">
        <v>861</v>
      </c>
      <c r="E34" s="16" t="s">
        <v>1727</v>
      </c>
      <c r="F34" s="17" t="s">
        <v>900</v>
      </c>
      <c r="G34" s="3" t="s">
        <v>3441</v>
      </c>
      <c r="H34" s="6">
        <v>16053.936</v>
      </c>
      <c r="I34">
        <f t="shared" si="0"/>
        <v>4</v>
      </c>
      <c r="J34">
        <f t="shared" si="1"/>
        <v>97</v>
      </c>
    </row>
    <row r="35" spans="2:10" ht="15.5" x14ac:dyDescent="0.35">
      <c r="B35" s="3" t="s">
        <v>39</v>
      </c>
      <c r="C35" s="16" t="s">
        <v>2587</v>
      </c>
      <c r="D35" s="17" t="s">
        <v>860</v>
      </c>
      <c r="E35" s="16" t="s">
        <v>1728</v>
      </c>
      <c r="F35" s="17" t="s">
        <v>901</v>
      </c>
      <c r="G35" s="3" t="s">
        <v>3442</v>
      </c>
      <c r="H35" s="6">
        <v>13900.4</v>
      </c>
      <c r="I35">
        <f t="shared" si="0"/>
        <v>6</v>
      </c>
      <c r="J35">
        <f t="shared" si="1"/>
        <v>97</v>
      </c>
    </row>
    <row r="36" spans="2:10" ht="15.5" hidden="1" x14ac:dyDescent="0.35">
      <c r="B36" s="3" t="s">
        <v>41</v>
      </c>
      <c r="C36" s="16" t="s">
        <v>2589</v>
      </c>
      <c r="D36" s="17" t="s">
        <v>860</v>
      </c>
      <c r="E36" s="16" t="s">
        <v>1730</v>
      </c>
      <c r="F36" s="17" t="s">
        <v>903</v>
      </c>
      <c r="G36" s="3" t="s">
        <v>3443</v>
      </c>
      <c r="H36" s="6">
        <v>12843.392</v>
      </c>
      <c r="I36">
        <f t="shared" si="0"/>
        <v>92</v>
      </c>
      <c r="J36">
        <f t="shared" si="1"/>
        <v>73</v>
      </c>
    </row>
    <row r="37" spans="2:10" ht="15.5" hidden="1" x14ac:dyDescent="0.35">
      <c r="B37" s="3" t="s">
        <v>42</v>
      </c>
      <c r="C37" s="16" t="s">
        <v>2590</v>
      </c>
      <c r="D37" s="17" t="s">
        <v>861</v>
      </c>
      <c r="E37" s="16" t="s">
        <v>1731</v>
      </c>
      <c r="F37" s="17" t="s">
        <v>904</v>
      </c>
      <c r="G37" s="3" t="s">
        <v>3444</v>
      </c>
      <c r="H37" s="6">
        <v>14683.503999999999</v>
      </c>
      <c r="I37">
        <f t="shared" si="0"/>
        <v>86</v>
      </c>
      <c r="J37">
        <f t="shared" si="1"/>
        <v>73</v>
      </c>
    </row>
    <row r="38" spans="2:10" ht="15.5" hidden="1" x14ac:dyDescent="0.35">
      <c r="B38" s="3" t="s">
        <v>43</v>
      </c>
      <c r="C38" s="16" t="s">
        <v>2591</v>
      </c>
      <c r="D38" s="17" t="s">
        <v>861</v>
      </c>
      <c r="E38" s="16" t="s">
        <v>1732</v>
      </c>
      <c r="F38" s="17" t="s">
        <v>905</v>
      </c>
      <c r="G38" s="3" t="s">
        <v>3445</v>
      </c>
      <c r="H38" s="6">
        <v>5872.6719999999996</v>
      </c>
      <c r="I38">
        <f t="shared" si="0"/>
        <v>81</v>
      </c>
      <c r="J38">
        <f t="shared" si="1"/>
        <v>73</v>
      </c>
    </row>
    <row r="39" spans="2:10" ht="15.5" x14ac:dyDescent="0.35">
      <c r="B39" s="3" t="s">
        <v>44</v>
      </c>
      <c r="C39" s="16" t="s">
        <v>2592</v>
      </c>
      <c r="D39" s="17" t="s">
        <v>860</v>
      </c>
      <c r="E39" s="16" t="s">
        <v>1733</v>
      </c>
      <c r="F39" s="17" t="s">
        <v>906</v>
      </c>
      <c r="G39" s="3" t="s">
        <v>3446</v>
      </c>
      <c r="H39" s="6">
        <v>8494.9759999999987</v>
      </c>
      <c r="I39">
        <f t="shared" si="0"/>
        <v>7</v>
      </c>
      <c r="J39">
        <f t="shared" si="1"/>
        <v>97</v>
      </c>
    </row>
    <row r="40" spans="2:10" ht="15.5" hidden="1" x14ac:dyDescent="0.35">
      <c r="B40" s="3" t="s">
        <v>45</v>
      </c>
      <c r="C40" s="16" t="s">
        <v>2593</v>
      </c>
      <c r="D40" s="17" t="s">
        <v>861</v>
      </c>
      <c r="E40" s="16" t="s">
        <v>1734</v>
      </c>
      <c r="F40" s="17" t="s">
        <v>907</v>
      </c>
      <c r="G40" s="3" t="s">
        <v>3447</v>
      </c>
      <c r="H40" s="6">
        <v>20309.328000000001</v>
      </c>
      <c r="I40">
        <f t="shared" si="0"/>
        <v>91</v>
      </c>
      <c r="J40">
        <f t="shared" si="1"/>
        <v>73</v>
      </c>
    </row>
    <row r="41" spans="2:10" ht="15.5" hidden="1" x14ac:dyDescent="0.35">
      <c r="B41" s="3" t="s">
        <v>46</v>
      </c>
      <c r="C41" s="16" t="s">
        <v>2594</v>
      </c>
      <c r="D41" s="17" t="s">
        <v>861</v>
      </c>
      <c r="E41" s="16" t="s">
        <v>1735</v>
      </c>
      <c r="F41" s="17" t="s">
        <v>908</v>
      </c>
      <c r="G41" s="3" t="s">
        <v>3448</v>
      </c>
      <c r="H41" s="6">
        <v>24451.632000000001</v>
      </c>
      <c r="I41">
        <f t="shared" si="0"/>
        <v>97</v>
      </c>
      <c r="J41">
        <f t="shared" si="1"/>
        <v>73</v>
      </c>
    </row>
    <row r="42" spans="2:10" ht="15.5" x14ac:dyDescent="0.35">
      <c r="B42" s="3" t="s">
        <v>47</v>
      </c>
      <c r="C42" s="16" t="s">
        <v>2595</v>
      </c>
      <c r="D42" s="17" t="s">
        <v>861</v>
      </c>
      <c r="E42" s="16" t="s">
        <v>1736</v>
      </c>
      <c r="F42" s="17" t="s">
        <v>909</v>
      </c>
      <c r="G42" s="3" t="s">
        <v>3449</v>
      </c>
      <c r="H42" s="6">
        <v>25788.928</v>
      </c>
      <c r="I42">
        <f t="shared" si="0"/>
        <v>2</v>
      </c>
      <c r="J42">
        <f t="shared" si="1"/>
        <v>97</v>
      </c>
    </row>
    <row r="43" spans="2:10" ht="15.5" x14ac:dyDescent="0.35">
      <c r="B43" s="3" t="s">
        <v>49</v>
      </c>
      <c r="C43" s="16" t="s">
        <v>2597</v>
      </c>
      <c r="D43" s="17" t="s">
        <v>861</v>
      </c>
      <c r="E43" s="16" t="s">
        <v>1738</v>
      </c>
      <c r="F43" s="17" t="s">
        <v>911</v>
      </c>
      <c r="G43" s="3" t="s">
        <v>3450</v>
      </c>
      <c r="H43" s="6">
        <v>12843.392</v>
      </c>
      <c r="I43">
        <f t="shared" si="0"/>
        <v>99</v>
      </c>
      <c r="J43">
        <f t="shared" si="1"/>
        <v>97</v>
      </c>
    </row>
    <row r="44" spans="2:10" ht="15.5" hidden="1" x14ac:dyDescent="0.35">
      <c r="B44" s="3" t="s">
        <v>52</v>
      </c>
      <c r="C44" s="16" t="s">
        <v>2600</v>
      </c>
      <c r="D44" s="17" t="s">
        <v>861</v>
      </c>
      <c r="E44" s="16" t="s">
        <v>1741</v>
      </c>
      <c r="F44" s="17" t="s">
        <v>914</v>
      </c>
      <c r="G44" s="3" t="s">
        <v>3451</v>
      </c>
      <c r="H44" s="6">
        <v>38746.928</v>
      </c>
      <c r="I44">
        <f t="shared" si="0"/>
        <v>91</v>
      </c>
      <c r="J44">
        <f t="shared" si="1"/>
        <v>73</v>
      </c>
    </row>
    <row r="45" spans="2:10" ht="15.5" x14ac:dyDescent="0.35">
      <c r="B45" s="3" t="s">
        <v>53</v>
      </c>
      <c r="C45" s="16" t="s">
        <v>2601</v>
      </c>
      <c r="D45" s="17" t="s">
        <v>861</v>
      </c>
      <c r="E45" s="16" t="s">
        <v>1742</v>
      </c>
      <c r="F45" s="17" t="s">
        <v>915</v>
      </c>
      <c r="G45" s="3" t="s">
        <v>3452</v>
      </c>
      <c r="H45" s="6">
        <v>5906.1120000000001</v>
      </c>
      <c r="I45">
        <f t="shared" si="0"/>
        <v>98</v>
      </c>
      <c r="J45">
        <f t="shared" si="1"/>
        <v>97</v>
      </c>
    </row>
    <row r="46" spans="2:10" ht="15.5" x14ac:dyDescent="0.35">
      <c r="B46" s="3" t="s">
        <v>55</v>
      </c>
      <c r="C46" s="16" t="s">
        <v>2603</v>
      </c>
      <c r="D46" s="17" t="s">
        <v>861</v>
      </c>
      <c r="E46" s="16" t="s">
        <v>1744</v>
      </c>
      <c r="F46" s="17" t="s">
        <v>917</v>
      </c>
      <c r="G46" s="3" t="s">
        <v>3453</v>
      </c>
      <c r="H46" s="6">
        <v>20022.96</v>
      </c>
      <c r="I46">
        <f t="shared" si="0"/>
        <v>5</v>
      </c>
      <c r="J46">
        <f t="shared" si="1"/>
        <v>97</v>
      </c>
    </row>
    <row r="47" spans="2:10" ht="15.5" hidden="1" x14ac:dyDescent="0.35">
      <c r="B47" s="3" t="s">
        <v>56</v>
      </c>
      <c r="C47" s="16" t="s">
        <v>2604</v>
      </c>
      <c r="D47" s="17" t="s">
        <v>861</v>
      </c>
      <c r="E47" s="16" t="s">
        <v>1745</v>
      </c>
      <c r="F47" s="17" t="s">
        <v>918</v>
      </c>
      <c r="G47" s="3" t="s">
        <v>3454</v>
      </c>
      <c r="H47" s="6">
        <v>38740.239999999998</v>
      </c>
      <c r="I47">
        <f t="shared" si="0"/>
        <v>90</v>
      </c>
      <c r="J47">
        <f t="shared" si="1"/>
        <v>73</v>
      </c>
    </row>
    <row r="48" spans="2:10" ht="15.5" x14ac:dyDescent="0.35">
      <c r="B48" s="3" t="s">
        <v>57</v>
      </c>
      <c r="C48" s="16" t="s">
        <v>2605</v>
      </c>
      <c r="D48" s="17" t="s">
        <v>860</v>
      </c>
      <c r="E48" s="16" t="s">
        <v>1746</v>
      </c>
      <c r="F48" s="17" t="s">
        <v>919</v>
      </c>
      <c r="G48" s="3" t="s">
        <v>3455</v>
      </c>
      <c r="H48" s="6">
        <v>12843.392</v>
      </c>
      <c r="I48">
        <f t="shared" si="0"/>
        <v>8</v>
      </c>
      <c r="J48">
        <f t="shared" si="1"/>
        <v>97</v>
      </c>
    </row>
    <row r="49" spans="2:10" ht="15.5" hidden="1" x14ac:dyDescent="0.35">
      <c r="B49" s="3" t="s">
        <v>58</v>
      </c>
      <c r="C49" s="16" t="s">
        <v>2606</v>
      </c>
      <c r="D49" s="17" t="s">
        <v>861</v>
      </c>
      <c r="E49" s="16" t="s">
        <v>1747</v>
      </c>
      <c r="F49" s="17" t="s">
        <v>920</v>
      </c>
      <c r="G49" s="3" t="s">
        <v>3456</v>
      </c>
      <c r="H49" s="6">
        <v>12357.903999999999</v>
      </c>
      <c r="I49">
        <f t="shared" si="0"/>
        <v>85</v>
      </c>
      <c r="J49">
        <f t="shared" si="1"/>
        <v>73</v>
      </c>
    </row>
    <row r="50" spans="2:10" ht="15.5" hidden="1" x14ac:dyDescent="0.35">
      <c r="B50" s="3" t="s">
        <v>59</v>
      </c>
      <c r="C50" s="16" t="s">
        <v>2607</v>
      </c>
      <c r="D50" s="17" t="s">
        <v>861</v>
      </c>
      <c r="E50" s="16" t="s">
        <v>1748</v>
      </c>
      <c r="F50" s="17" t="s">
        <v>921</v>
      </c>
      <c r="G50" s="3" t="s">
        <v>3457</v>
      </c>
      <c r="H50" s="6">
        <v>16034.176000000001</v>
      </c>
      <c r="I50">
        <f t="shared" si="0"/>
        <v>88</v>
      </c>
      <c r="J50">
        <f t="shared" si="1"/>
        <v>73</v>
      </c>
    </row>
    <row r="51" spans="2:10" ht="15.5" x14ac:dyDescent="0.35">
      <c r="B51" s="3" t="s">
        <v>61</v>
      </c>
      <c r="C51" s="16" t="s">
        <v>2609</v>
      </c>
      <c r="D51" s="17" t="s">
        <v>860</v>
      </c>
      <c r="E51" s="16" t="s">
        <v>1750</v>
      </c>
      <c r="F51" s="17" t="s">
        <v>923</v>
      </c>
      <c r="G51" s="3" t="s">
        <v>3458</v>
      </c>
      <c r="H51" s="6">
        <v>25860.367999999999</v>
      </c>
      <c r="I51">
        <f t="shared" si="0"/>
        <v>99</v>
      </c>
      <c r="J51">
        <f t="shared" si="1"/>
        <v>97</v>
      </c>
    </row>
    <row r="52" spans="2:10" ht="15.5" hidden="1" x14ac:dyDescent="0.35">
      <c r="B52" s="3" t="s">
        <v>62</v>
      </c>
      <c r="C52" s="16" t="s">
        <v>2610</v>
      </c>
      <c r="D52" s="17" t="s">
        <v>861</v>
      </c>
      <c r="E52" s="16" t="s">
        <v>1751</v>
      </c>
      <c r="F52" s="17" t="s">
        <v>924</v>
      </c>
      <c r="G52" s="3" t="s">
        <v>3459</v>
      </c>
      <c r="H52" s="6">
        <v>5646.8</v>
      </c>
      <c r="I52">
        <f t="shared" si="0"/>
        <v>92</v>
      </c>
      <c r="J52">
        <f t="shared" si="1"/>
        <v>73</v>
      </c>
    </row>
    <row r="53" spans="2:10" ht="15.5" x14ac:dyDescent="0.35">
      <c r="B53" s="3" t="s">
        <v>3460</v>
      </c>
      <c r="C53" s="16" t="s">
        <v>3461</v>
      </c>
      <c r="D53" s="17" t="s">
        <v>860</v>
      </c>
      <c r="E53" s="16" t="s">
        <v>3462</v>
      </c>
      <c r="F53" s="17" t="s">
        <v>3463</v>
      </c>
      <c r="G53" s="3" t="s">
        <v>3464</v>
      </c>
      <c r="H53" s="6">
        <v>12282.207999999999</v>
      </c>
      <c r="I53">
        <f t="shared" si="0"/>
        <v>8</v>
      </c>
      <c r="J53">
        <f t="shared" si="1"/>
        <v>97</v>
      </c>
    </row>
    <row r="54" spans="2:10" ht="15.5" hidden="1" x14ac:dyDescent="0.35">
      <c r="B54" s="3" t="s">
        <v>63</v>
      </c>
      <c r="C54" s="16" t="s">
        <v>2611</v>
      </c>
      <c r="D54" s="17" t="s">
        <v>860</v>
      </c>
      <c r="E54" s="16" t="s">
        <v>1752</v>
      </c>
      <c r="F54" s="17" t="s">
        <v>925</v>
      </c>
      <c r="G54" s="3" t="s">
        <v>3465</v>
      </c>
      <c r="H54" s="6">
        <v>15098.159999999998</v>
      </c>
      <c r="I54">
        <f t="shared" si="0"/>
        <v>97</v>
      </c>
      <c r="J54">
        <f t="shared" si="1"/>
        <v>73</v>
      </c>
    </row>
    <row r="55" spans="2:10" ht="15.5" hidden="1" x14ac:dyDescent="0.35">
      <c r="B55" s="3" t="s">
        <v>66</v>
      </c>
      <c r="C55" s="16" t="s">
        <v>2614</v>
      </c>
      <c r="D55" s="17" t="s">
        <v>860</v>
      </c>
      <c r="E55" s="16" t="s">
        <v>1755</v>
      </c>
      <c r="F55" s="17" t="s">
        <v>928</v>
      </c>
      <c r="G55" s="3" t="s">
        <v>3466</v>
      </c>
      <c r="H55" s="6">
        <v>10944</v>
      </c>
      <c r="I55">
        <f t="shared" si="0"/>
        <v>94</v>
      </c>
      <c r="J55">
        <f t="shared" si="1"/>
        <v>73</v>
      </c>
    </row>
    <row r="56" spans="2:10" ht="15.5" x14ac:dyDescent="0.35">
      <c r="B56" s="3" t="s">
        <v>67</v>
      </c>
      <c r="C56" s="16" t="s">
        <v>2615</v>
      </c>
      <c r="D56" s="17" t="s">
        <v>861</v>
      </c>
      <c r="E56" s="16" t="s">
        <v>1756</v>
      </c>
      <c r="F56" s="17" t="s">
        <v>929</v>
      </c>
      <c r="G56" s="3" t="s">
        <v>3467</v>
      </c>
      <c r="H56" s="6">
        <v>14218.079999999998</v>
      </c>
      <c r="I56">
        <f t="shared" si="0"/>
        <v>98</v>
      </c>
      <c r="J56">
        <f t="shared" si="1"/>
        <v>97</v>
      </c>
    </row>
    <row r="57" spans="2:10" ht="15.5" hidden="1" x14ac:dyDescent="0.35">
      <c r="B57" s="3" t="s">
        <v>68</v>
      </c>
      <c r="C57" s="16" t="s">
        <v>2616</v>
      </c>
      <c r="D57" s="17" t="s">
        <v>860</v>
      </c>
      <c r="E57" s="16" t="s">
        <v>1757</v>
      </c>
      <c r="F57" s="17" t="s">
        <v>930</v>
      </c>
      <c r="G57" s="3" t="s">
        <v>3468</v>
      </c>
      <c r="H57" s="6">
        <v>5639.808</v>
      </c>
      <c r="I57">
        <f t="shared" si="0"/>
        <v>87</v>
      </c>
      <c r="J57">
        <f t="shared" si="1"/>
        <v>73</v>
      </c>
    </row>
    <row r="58" spans="2:10" ht="15.5" hidden="1" x14ac:dyDescent="0.35">
      <c r="B58" s="3" t="s">
        <v>69</v>
      </c>
      <c r="C58" s="16" t="s">
        <v>2617</v>
      </c>
      <c r="D58" s="17" t="s">
        <v>861</v>
      </c>
      <c r="E58" s="16" t="s">
        <v>1758</v>
      </c>
      <c r="F58" s="17" t="s">
        <v>931</v>
      </c>
      <c r="G58" s="3" t="s">
        <v>3469</v>
      </c>
      <c r="H58" s="6">
        <v>19273.295999999998</v>
      </c>
      <c r="I58">
        <f t="shared" si="0"/>
        <v>91</v>
      </c>
      <c r="J58">
        <f t="shared" si="1"/>
        <v>73</v>
      </c>
    </row>
    <row r="59" spans="2:10" ht="15.5" x14ac:dyDescent="0.35">
      <c r="B59" s="3" t="s">
        <v>71</v>
      </c>
      <c r="C59" s="16" t="s">
        <v>2619</v>
      </c>
      <c r="D59" s="17" t="s">
        <v>861</v>
      </c>
      <c r="E59" s="16" t="s">
        <v>1760</v>
      </c>
      <c r="F59" s="17" t="s">
        <v>933</v>
      </c>
      <c r="G59" s="3" t="s">
        <v>3470</v>
      </c>
      <c r="H59" s="6">
        <v>21673.984</v>
      </c>
      <c r="I59">
        <f t="shared" si="0"/>
        <v>6</v>
      </c>
      <c r="J59">
        <f t="shared" si="1"/>
        <v>97</v>
      </c>
    </row>
    <row r="60" spans="2:10" ht="15.5" hidden="1" x14ac:dyDescent="0.35">
      <c r="B60" s="3" t="s">
        <v>72</v>
      </c>
      <c r="C60" s="16" t="s">
        <v>2620</v>
      </c>
      <c r="D60" s="17" t="s">
        <v>860</v>
      </c>
      <c r="E60" s="16" t="s">
        <v>1761</v>
      </c>
      <c r="F60" s="17" t="s">
        <v>934</v>
      </c>
      <c r="G60" s="3" t="s">
        <v>3471</v>
      </c>
      <c r="H60" s="6">
        <v>0</v>
      </c>
      <c r="I60">
        <f t="shared" si="0"/>
        <v>86</v>
      </c>
      <c r="J60">
        <f t="shared" si="1"/>
        <v>73</v>
      </c>
    </row>
    <row r="61" spans="2:10" ht="15.5" hidden="1" x14ac:dyDescent="0.35">
      <c r="B61" s="3" t="s">
        <v>73</v>
      </c>
      <c r="C61" s="16" t="s">
        <v>2621</v>
      </c>
      <c r="D61" s="17" t="s">
        <v>861</v>
      </c>
      <c r="E61" s="16" t="s">
        <v>1762</v>
      </c>
      <c r="F61" s="17" t="s">
        <v>935</v>
      </c>
      <c r="G61" s="3" t="s">
        <v>3472</v>
      </c>
      <c r="H61" s="6">
        <v>27290.687999999998</v>
      </c>
      <c r="I61">
        <f t="shared" si="0"/>
        <v>94</v>
      </c>
      <c r="J61">
        <f t="shared" si="1"/>
        <v>73</v>
      </c>
    </row>
    <row r="62" spans="2:10" ht="15.5" hidden="1" x14ac:dyDescent="0.35">
      <c r="B62" s="3" t="s">
        <v>74</v>
      </c>
      <c r="C62" s="16" t="s">
        <v>2622</v>
      </c>
      <c r="D62" s="17" t="s">
        <v>860</v>
      </c>
      <c r="E62" s="16" t="s">
        <v>1763</v>
      </c>
      <c r="F62" s="17" t="s">
        <v>936</v>
      </c>
      <c r="G62" s="3" t="s">
        <v>3473</v>
      </c>
      <c r="H62" s="6">
        <v>12850.383999999998</v>
      </c>
      <c r="I62">
        <f t="shared" si="0"/>
        <v>95</v>
      </c>
      <c r="J62">
        <f t="shared" si="1"/>
        <v>73</v>
      </c>
    </row>
    <row r="63" spans="2:10" ht="15.5" hidden="1" x14ac:dyDescent="0.35">
      <c r="B63" s="3" t="s">
        <v>75</v>
      </c>
      <c r="C63" s="16" t="s">
        <v>2623</v>
      </c>
      <c r="D63" s="17" t="s">
        <v>860</v>
      </c>
      <c r="E63" s="16" t="s">
        <v>1764</v>
      </c>
      <c r="F63" s="17" t="s">
        <v>904</v>
      </c>
      <c r="G63" s="3" t="s">
        <v>3474</v>
      </c>
      <c r="H63" s="6">
        <v>13015.455999999998</v>
      </c>
      <c r="I63">
        <f t="shared" si="0"/>
        <v>85</v>
      </c>
      <c r="J63">
        <f t="shared" si="1"/>
        <v>73</v>
      </c>
    </row>
    <row r="64" spans="2:10" ht="15.5" x14ac:dyDescent="0.35">
      <c r="B64" s="3" t="s">
        <v>77</v>
      </c>
      <c r="C64" s="16" t="s">
        <v>2625</v>
      </c>
      <c r="D64" s="17" t="s">
        <v>860</v>
      </c>
      <c r="E64" s="16" t="s">
        <v>1766</v>
      </c>
      <c r="F64" s="17" t="s">
        <v>938</v>
      </c>
      <c r="G64" s="3" t="s">
        <v>3475</v>
      </c>
      <c r="H64" s="6">
        <v>7296.9119999999994</v>
      </c>
      <c r="I64">
        <f t="shared" si="0"/>
        <v>9</v>
      </c>
      <c r="J64">
        <f t="shared" si="1"/>
        <v>97</v>
      </c>
    </row>
    <row r="65" spans="2:10" ht="15.5" x14ac:dyDescent="0.35">
      <c r="B65" s="3" t="s">
        <v>78</v>
      </c>
      <c r="C65" s="16" t="s">
        <v>2626</v>
      </c>
      <c r="D65" s="17" t="s">
        <v>860</v>
      </c>
      <c r="E65" s="16" t="s">
        <v>1767</v>
      </c>
      <c r="F65" s="17" t="s">
        <v>939</v>
      </c>
      <c r="G65" s="3" t="s">
        <v>3476</v>
      </c>
      <c r="H65" s="6">
        <v>23765.199999999997</v>
      </c>
      <c r="I65">
        <f t="shared" si="0"/>
        <v>7</v>
      </c>
      <c r="J65">
        <f t="shared" si="1"/>
        <v>97</v>
      </c>
    </row>
    <row r="66" spans="2:10" ht="15.5" hidden="1" x14ac:dyDescent="0.35">
      <c r="B66" s="3" t="s">
        <v>79</v>
      </c>
      <c r="C66" s="16" t="s">
        <v>2627</v>
      </c>
      <c r="D66" s="17" t="s">
        <v>861</v>
      </c>
      <c r="E66" s="16" t="s">
        <v>1768</v>
      </c>
      <c r="F66" s="17" t="s">
        <v>940</v>
      </c>
      <c r="G66" s="3" t="s">
        <v>3477</v>
      </c>
      <c r="H66" s="6">
        <v>19026.752</v>
      </c>
      <c r="I66">
        <f t="shared" si="0"/>
        <v>97</v>
      </c>
      <c r="J66">
        <f t="shared" si="1"/>
        <v>73</v>
      </c>
    </row>
    <row r="67" spans="2:10" ht="15.5" hidden="1" x14ac:dyDescent="0.35">
      <c r="B67" s="3" t="s">
        <v>80</v>
      </c>
      <c r="C67" s="16" t="s">
        <v>2628</v>
      </c>
      <c r="D67" s="17" t="s">
        <v>861</v>
      </c>
      <c r="E67" s="16" t="s">
        <v>1769</v>
      </c>
      <c r="F67" s="17" t="s">
        <v>941</v>
      </c>
      <c r="G67" s="3" t="s">
        <v>3478</v>
      </c>
      <c r="H67" s="6">
        <v>15878.528</v>
      </c>
      <c r="I67">
        <f t="shared" si="0"/>
        <v>96</v>
      </c>
      <c r="J67">
        <f t="shared" si="1"/>
        <v>73</v>
      </c>
    </row>
    <row r="68" spans="2:10" ht="15.5" x14ac:dyDescent="0.35">
      <c r="B68" s="3" t="s">
        <v>81</v>
      </c>
      <c r="C68" s="16" t="s">
        <v>2629</v>
      </c>
      <c r="D68" s="17" t="s">
        <v>860</v>
      </c>
      <c r="E68" s="16" t="s">
        <v>1770</v>
      </c>
      <c r="F68" s="17" t="s">
        <v>942</v>
      </c>
      <c r="G68" s="3" t="s">
        <v>3479</v>
      </c>
      <c r="H68" s="6">
        <v>7915.8559999999989</v>
      </c>
      <c r="I68">
        <f t="shared" ref="I68:I131" si="2">_xlfn.NUMBERVALUE(MID(C68,3,2))</f>
        <v>3</v>
      </c>
      <c r="J68">
        <f t="shared" ref="J68:J131" si="3">IF(I68&gt;25,IF(I68&lt;=97,73,97),97)</f>
        <v>97</v>
      </c>
    </row>
    <row r="69" spans="2:10" ht="15.5" hidden="1" x14ac:dyDescent="0.35">
      <c r="B69" s="3" t="s">
        <v>82</v>
      </c>
      <c r="C69" s="16" t="s">
        <v>2630</v>
      </c>
      <c r="D69" s="17" t="s">
        <v>861</v>
      </c>
      <c r="E69" s="16" t="s">
        <v>1771</v>
      </c>
      <c r="F69" s="17" t="s">
        <v>943</v>
      </c>
      <c r="G69" s="3" t="s">
        <v>3479</v>
      </c>
      <c r="H69" s="6">
        <v>6523.232</v>
      </c>
      <c r="I69">
        <f t="shared" si="2"/>
        <v>91</v>
      </c>
      <c r="J69">
        <f t="shared" si="3"/>
        <v>73</v>
      </c>
    </row>
    <row r="70" spans="2:10" ht="15.5" hidden="1" x14ac:dyDescent="0.35">
      <c r="B70" s="3" t="s">
        <v>84</v>
      </c>
      <c r="C70" s="16" t="s">
        <v>2632</v>
      </c>
      <c r="D70" s="17" t="s">
        <v>861</v>
      </c>
      <c r="E70" s="16" t="s">
        <v>1773</v>
      </c>
      <c r="F70" s="17" t="s">
        <v>945</v>
      </c>
      <c r="G70" s="3" t="s">
        <v>3480</v>
      </c>
      <c r="H70" s="6">
        <v>22522.448</v>
      </c>
      <c r="I70">
        <f t="shared" si="2"/>
        <v>92</v>
      </c>
      <c r="J70">
        <f t="shared" si="3"/>
        <v>73</v>
      </c>
    </row>
    <row r="71" spans="2:10" ht="15.5" x14ac:dyDescent="0.35">
      <c r="B71" s="3" t="s">
        <v>85</v>
      </c>
      <c r="C71" s="16" t="s">
        <v>2633</v>
      </c>
      <c r="D71" s="17" t="s">
        <v>861</v>
      </c>
      <c r="E71" s="16" t="s">
        <v>1774</v>
      </c>
      <c r="F71" s="17" t="s">
        <v>946</v>
      </c>
      <c r="G71" s="3" t="s">
        <v>3481</v>
      </c>
      <c r="H71" s="6">
        <v>17687.632000000001</v>
      </c>
      <c r="I71">
        <f t="shared" si="2"/>
        <v>0</v>
      </c>
      <c r="J71">
        <f t="shared" si="3"/>
        <v>97</v>
      </c>
    </row>
    <row r="72" spans="2:10" ht="15.5" x14ac:dyDescent="0.35">
      <c r="B72" s="3" t="s">
        <v>86</v>
      </c>
      <c r="C72" s="16" t="s">
        <v>2634</v>
      </c>
      <c r="D72" s="17" t="s">
        <v>861</v>
      </c>
      <c r="E72" s="16" t="s">
        <v>1775</v>
      </c>
      <c r="F72" s="17" t="s">
        <v>947</v>
      </c>
      <c r="G72" s="3" t="s">
        <v>3482</v>
      </c>
      <c r="H72" s="6">
        <v>8979.2479999999996</v>
      </c>
      <c r="I72">
        <f t="shared" si="2"/>
        <v>10</v>
      </c>
      <c r="J72">
        <f t="shared" si="3"/>
        <v>97</v>
      </c>
    </row>
    <row r="73" spans="2:10" ht="15.5" x14ac:dyDescent="0.35">
      <c r="B73" s="3" t="s">
        <v>87</v>
      </c>
      <c r="C73" s="16" t="s">
        <v>2635</v>
      </c>
      <c r="D73" s="17" t="s">
        <v>861</v>
      </c>
      <c r="E73" s="16" t="s">
        <v>1776</v>
      </c>
      <c r="F73" s="17" t="s">
        <v>948</v>
      </c>
      <c r="G73" s="3" t="s">
        <v>3483</v>
      </c>
      <c r="H73" s="6">
        <v>5639.808</v>
      </c>
      <c r="I73">
        <f t="shared" si="2"/>
        <v>4</v>
      </c>
      <c r="J73">
        <f t="shared" si="3"/>
        <v>97</v>
      </c>
    </row>
    <row r="74" spans="2:10" ht="15.5" x14ac:dyDescent="0.35">
      <c r="B74" s="3" t="s">
        <v>88</v>
      </c>
      <c r="C74" s="16" t="s">
        <v>2636</v>
      </c>
      <c r="D74" s="17" t="s">
        <v>861</v>
      </c>
      <c r="E74" s="16" t="s">
        <v>1777</v>
      </c>
      <c r="F74" s="17" t="s">
        <v>949</v>
      </c>
      <c r="G74" s="3" t="s">
        <v>3484</v>
      </c>
      <c r="H74" s="6">
        <v>7282.6239999999998</v>
      </c>
      <c r="I74">
        <f t="shared" si="2"/>
        <v>99</v>
      </c>
      <c r="J74">
        <f t="shared" si="3"/>
        <v>97</v>
      </c>
    </row>
    <row r="75" spans="2:10" ht="15.5" hidden="1" x14ac:dyDescent="0.35">
      <c r="B75" s="3" t="s">
        <v>89</v>
      </c>
      <c r="C75" s="16" t="s">
        <v>2637</v>
      </c>
      <c r="D75" s="17" t="s">
        <v>860</v>
      </c>
      <c r="E75" s="16" t="s">
        <v>1778</v>
      </c>
      <c r="F75" s="17" t="s">
        <v>950</v>
      </c>
      <c r="G75" s="3" t="s">
        <v>3485</v>
      </c>
      <c r="H75" s="6">
        <v>37121.135999999999</v>
      </c>
      <c r="I75">
        <f t="shared" si="2"/>
        <v>91</v>
      </c>
      <c r="J75">
        <f t="shared" si="3"/>
        <v>73</v>
      </c>
    </row>
    <row r="76" spans="2:10" ht="15.5" x14ac:dyDescent="0.35">
      <c r="B76" s="3" t="s">
        <v>90</v>
      </c>
      <c r="C76" s="16" t="s">
        <v>2638</v>
      </c>
      <c r="D76" s="17" t="s">
        <v>861</v>
      </c>
      <c r="E76" s="16" t="s">
        <v>1779</v>
      </c>
      <c r="F76" s="17" t="s">
        <v>951</v>
      </c>
      <c r="G76" s="3" t="s">
        <v>3486</v>
      </c>
      <c r="H76" s="6">
        <v>52060.911999999997</v>
      </c>
      <c r="I76">
        <f t="shared" si="2"/>
        <v>5</v>
      </c>
      <c r="J76">
        <f t="shared" si="3"/>
        <v>97</v>
      </c>
    </row>
    <row r="77" spans="2:10" ht="15.5" hidden="1" x14ac:dyDescent="0.35">
      <c r="B77" s="3" t="s">
        <v>91</v>
      </c>
      <c r="C77" s="16" t="s">
        <v>2639</v>
      </c>
      <c r="D77" s="17" t="s">
        <v>860</v>
      </c>
      <c r="E77" s="16" t="s">
        <v>1780</v>
      </c>
      <c r="F77" s="17" t="s">
        <v>952</v>
      </c>
      <c r="G77" s="3" t="s">
        <v>3486</v>
      </c>
      <c r="H77" s="6">
        <v>22929.807999999997</v>
      </c>
      <c r="I77">
        <f t="shared" si="2"/>
        <v>91</v>
      </c>
      <c r="J77">
        <f t="shared" si="3"/>
        <v>73</v>
      </c>
    </row>
    <row r="78" spans="2:10" ht="15.5" hidden="1" x14ac:dyDescent="0.35">
      <c r="B78" s="3" t="s">
        <v>93</v>
      </c>
      <c r="C78" s="16" t="s">
        <v>2641</v>
      </c>
      <c r="D78" s="17" t="s">
        <v>860</v>
      </c>
      <c r="E78" s="16" t="s">
        <v>1782</v>
      </c>
      <c r="F78" s="17" t="s">
        <v>954</v>
      </c>
      <c r="G78" s="3" t="s">
        <v>3487</v>
      </c>
      <c r="H78" s="6">
        <v>10401.664000000001</v>
      </c>
      <c r="I78">
        <f t="shared" si="2"/>
        <v>86</v>
      </c>
      <c r="J78">
        <f t="shared" si="3"/>
        <v>73</v>
      </c>
    </row>
    <row r="79" spans="2:10" ht="15.5" hidden="1" x14ac:dyDescent="0.35">
      <c r="B79" s="3" t="s">
        <v>94</v>
      </c>
      <c r="C79" s="16" t="s">
        <v>2642</v>
      </c>
      <c r="D79" s="17" t="s">
        <v>861</v>
      </c>
      <c r="E79" s="16" t="s">
        <v>1783</v>
      </c>
      <c r="F79" s="17" t="s">
        <v>955</v>
      </c>
      <c r="G79" s="3" t="s">
        <v>3488</v>
      </c>
      <c r="H79" s="6">
        <v>11042.8</v>
      </c>
      <c r="I79">
        <f t="shared" si="2"/>
        <v>97</v>
      </c>
      <c r="J79">
        <f t="shared" si="3"/>
        <v>73</v>
      </c>
    </row>
    <row r="80" spans="2:10" ht="15.5" x14ac:dyDescent="0.35">
      <c r="B80" s="3" t="s">
        <v>95</v>
      </c>
      <c r="C80" s="16" t="s">
        <v>2643</v>
      </c>
      <c r="D80" s="17" t="s">
        <v>861</v>
      </c>
      <c r="E80" s="16" t="s">
        <v>1784</v>
      </c>
      <c r="F80" s="17" t="s">
        <v>956</v>
      </c>
      <c r="G80" s="3" t="s">
        <v>3489</v>
      </c>
      <c r="H80" s="6">
        <v>31498.047999999995</v>
      </c>
      <c r="I80">
        <f t="shared" si="2"/>
        <v>10</v>
      </c>
      <c r="J80">
        <f t="shared" si="3"/>
        <v>97</v>
      </c>
    </row>
    <row r="81" spans="2:10" ht="15.5" x14ac:dyDescent="0.35">
      <c r="B81" s="3" t="s">
        <v>96</v>
      </c>
      <c r="C81" s="16" t="s">
        <v>2644</v>
      </c>
      <c r="D81" s="17" t="s">
        <v>861</v>
      </c>
      <c r="E81" s="16" t="s">
        <v>1785</v>
      </c>
      <c r="F81" s="17" t="s">
        <v>957</v>
      </c>
      <c r="G81" s="3" t="s">
        <v>3490</v>
      </c>
      <c r="H81" s="6">
        <v>20000.463999999996</v>
      </c>
      <c r="I81">
        <f t="shared" si="2"/>
        <v>10</v>
      </c>
      <c r="J81">
        <f t="shared" si="3"/>
        <v>97</v>
      </c>
    </row>
    <row r="82" spans="2:10" ht="15.5" hidden="1" x14ac:dyDescent="0.35">
      <c r="B82" s="3" t="s">
        <v>99</v>
      </c>
      <c r="C82" s="16" t="s">
        <v>2647</v>
      </c>
      <c r="D82" s="17" t="s">
        <v>861</v>
      </c>
      <c r="E82" s="16" t="s">
        <v>1788</v>
      </c>
      <c r="F82" s="17" t="s">
        <v>951</v>
      </c>
      <c r="G82" s="3" t="s">
        <v>3491</v>
      </c>
      <c r="H82" s="6">
        <v>20824.608</v>
      </c>
      <c r="I82">
        <f t="shared" si="2"/>
        <v>94</v>
      </c>
      <c r="J82">
        <f t="shared" si="3"/>
        <v>73</v>
      </c>
    </row>
    <row r="83" spans="2:10" ht="15.5" x14ac:dyDescent="0.35">
      <c r="B83" s="3" t="s">
        <v>100</v>
      </c>
      <c r="C83" s="16" t="s">
        <v>2648</v>
      </c>
      <c r="D83" s="17" t="s">
        <v>861</v>
      </c>
      <c r="E83" s="16" t="s">
        <v>1789</v>
      </c>
      <c r="F83" s="17" t="s">
        <v>960</v>
      </c>
      <c r="G83" s="3" t="s">
        <v>3492</v>
      </c>
      <c r="H83" s="6">
        <v>13160.464</v>
      </c>
      <c r="I83">
        <f t="shared" si="2"/>
        <v>10</v>
      </c>
      <c r="J83">
        <f t="shared" si="3"/>
        <v>97</v>
      </c>
    </row>
    <row r="84" spans="2:10" ht="15.5" x14ac:dyDescent="0.35">
      <c r="B84" s="3" t="s">
        <v>102</v>
      </c>
      <c r="C84" s="16" t="s">
        <v>2650</v>
      </c>
      <c r="D84" s="17" t="s">
        <v>861</v>
      </c>
      <c r="E84" s="16" t="s">
        <v>1791</v>
      </c>
      <c r="F84" s="17" t="s">
        <v>962</v>
      </c>
      <c r="G84" s="3" t="s">
        <v>3493</v>
      </c>
      <c r="H84" s="6">
        <v>26030.911999999997</v>
      </c>
      <c r="I84">
        <f t="shared" si="2"/>
        <v>98</v>
      </c>
      <c r="J84">
        <f t="shared" si="3"/>
        <v>97</v>
      </c>
    </row>
    <row r="85" spans="2:10" ht="15.5" hidden="1" x14ac:dyDescent="0.35">
      <c r="B85" s="3" t="s">
        <v>103</v>
      </c>
      <c r="C85" s="16" t="s">
        <v>2651</v>
      </c>
      <c r="D85" s="17" t="s">
        <v>861</v>
      </c>
      <c r="E85" s="16" t="s">
        <v>1792</v>
      </c>
      <c r="F85" s="17" t="s">
        <v>963</v>
      </c>
      <c r="G85" s="3" t="s">
        <v>3494</v>
      </c>
      <c r="H85" s="6">
        <v>12101.023999999999</v>
      </c>
      <c r="I85">
        <f t="shared" si="2"/>
        <v>95</v>
      </c>
      <c r="J85">
        <f t="shared" si="3"/>
        <v>73</v>
      </c>
    </row>
    <row r="86" spans="2:10" ht="15.5" x14ac:dyDescent="0.35">
      <c r="B86" s="3" t="s">
        <v>104</v>
      </c>
      <c r="C86" s="16" t="s">
        <v>2652</v>
      </c>
      <c r="D86" s="17" t="s">
        <v>861</v>
      </c>
      <c r="E86" s="16" t="s">
        <v>1793</v>
      </c>
      <c r="F86" s="17" t="s">
        <v>964</v>
      </c>
      <c r="G86" s="3" t="s">
        <v>3495</v>
      </c>
      <c r="H86" s="6">
        <v>20656.8</v>
      </c>
      <c r="I86">
        <f t="shared" si="2"/>
        <v>10</v>
      </c>
      <c r="J86">
        <f t="shared" si="3"/>
        <v>97</v>
      </c>
    </row>
    <row r="87" spans="2:10" ht="15.5" x14ac:dyDescent="0.35">
      <c r="B87" s="3" t="s">
        <v>105</v>
      </c>
      <c r="C87" s="16" t="s">
        <v>2653</v>
      </c>
      <c r="D87" s="17" t="s">
        <v>861</v>
      </c>
      <c r="E87" s="16" t="s">
        <v>1794</v>
      </c>
      <c r="F87" s="17" t="s">
        <v>965</v>
      </c>
      <c r="G87" s="3" t="s">
        <v>3496</v>
      </c>
      <c r="H87" s="6">
        <v>5747.7279999999992</v>
      </c>
      <c r="I87">
        <f t="shared" si="2"/>
        <v>5</v>
      </c>
      <c r="J87">
        <f t="shared" si="3"/>
        <v>97</v>
      </c>
    </row>
    <row r="88" spans="2:10" ht="15.5" x14ac:dyDescent="0.35">
      <c r="B88" s="3" t="s">
        <v>106</v>
      </c>
      <c r="C88" s="16" t="s">
        <v>2654</v>
      </c>
      <c r="D88" s="17" t="s">
        <v>861</v>
      </c>
      <c r="E88" s="16" t="s">
        <v>1795</v>
      </c>
      <c r="F88" s="17" t="s">
        <v>966</v>
      </c>
      <c r="G88" s="3" t="s">
        <v>3497</v>
      </c>
      <c r="H88" s="6">
        <v>15204.864</v>
      </c>
      <c r="I88">
        <f t="shared" si="2"/>
        <v>10</v>
      </c>
      <c r="J88">
        <f t="shared" si="3"/>
        <v>97</v>
      </c>
    </row>
    <row r="89" spans="2:10" ht="15.5" x14ac:dyDescent="0.35">
      <c r="B89" s="3" t="s">
        <v>108</v>
      </c>
      <c r="C89" s="16" t="s">
        <v>2656</v>
      </c>
      <c r="D89" s="17" t="s">
        <v>861</v>
      </c>
      <c r="E89" s="16" t="s">
        <v>1797</v>
      </c>
      <c r="F89" s="17" t="s">
        <v>968</v>
      </c>
      <c r="G89" s="3" t="s">
        <v>3498</v>
      </c>
      <c r="H89" s="6">
        <v>14854.047999999999</v>
      </c>
      <c r="I89">
        <f t="shared" si="2"/>
        <v>6</v>
      </c>
      <c r="J89">
        <f t="shared" si="3"/>
        <v>97</v>
      </c>
    </row>
    <row r="90" spans="2:10" ht="15.5" x14ac:dyDescent="0.35">
      <c r="B90" s="3" t="s">
        <v>110</v>
      </c>
      <c r="C90" s="16" t="s">
        <v>2658</v>
      </c>
      <c r="D90" s="17" t="s">
        <v>861</v>
      </c>
      <c r="E90" s="16" t="s">
        <v>1799</v>
      </c>
      <c r="F90" s="17" t="s">
        <v>970</v>
      </c>
      <c r="G90" s="3" t="s">
        <v>3499</v>
      </c>
      <c r="H90" s="6">
        <v>17850.576000000001</v>
      </c>
      <c r="I90">
        <f t="shared" si="2"/>
        <v>6</v>
      </c>
      <c r="J90">
        <f t="shared" si="3"/>
        <v>97</v>
      </c>
    </row>
    <row r="91" spans="2:10" ht="15.5" x14ac:dyDescent="0.35">
      <c r="B91" s="3" t="s">
        <v>111</v>
      </c>
      <c r="C91" s="16" t="s">
        <v>2659</v>
      </c>
      <c r="D91" s="17" t="s">
        <v>861</v>
      </c>
      <c r="E91" s="16" t="s">
        <v>1800</v>
      </c>
      <c r="F91" s="17" t="s">
        <v>971</v>
      </c>
      <c r="G91" s="3" t="s">
        <v>3500</v>
      </c>
      <c r="H91" s="6">
        <v>16472.543999999998</v>
      </c>
      <c r="I91">
        <f t="shared" si="2"/>
        <v>11</v>
      </c>
      <c r="J91">
        <f t="shared" si="3"/>
        <v>97</v>
      </c>
    </row>
    <row r="92" spans="2:10" ht="15.5" x14ac:dyDescent="0.35">
      <c r="B92" s="3" t="s">
        <v>112</v>
      </c>
      <c r="C92" s="16" t="s">
        <v>2660</v>
      </c>
      <c r="D92" s="17" t="s">
        <v>860</v>
      </c>
      <c r="E92" s="16" t="s">
        <v>1801</v>
      </c>
      <c r="F92" s="17" t="s">
        <v>972</v>
      </c>
      <c r="G92" s="3" t="s">
        <v>3501</v>
      </c>
      <c r="H92" s="6">
        <v>11602.768</v>
      </c>
      <c r="I92">
        <f t="shared" si="2"/>
        <v>0</v>
      </c>
      <c r="J92">
        <f t="shared" si="3"/>
        <v>97</v>
      </c>
    </row>
    <row r="93" spans="2:10" ht="15.5" x14ac:dyDescent="0.35">
      <c r="B93" s="3" t="s">
        <v>114</v>
      </c>
      <c r="C93" s="16" t="s">
        <v>2662</v>
      </c>
      <c r="D93" s="17" t="s">
        <v>861</v>
      </c>
      <c r="E93" s="16" t="s">
        <v>1803</v>
      </c>
      <c r="F93" s="17" t="s">
        <v>974</v>
      </c>
      <c r="G93" s="3" t="s">
        <v>3502</v>
      </c>
      <c r="H93" s="6">
        <v>8979.2479999999996</v>
      </c>
      <c r="I93">
        <f t="shared" si="2"/>
        <v>6</v>
      </c>
      <c r="J93">
        <f t="shared" si="3"/>
        <v>97</v>
      </c>
    </row>
    <row r="94" spans="2:10" ht="15.5" x14ac:dyDescent="0.35">
      <c r="B94" s="3" t="s">
        <v>115</v>
      </c>
      <c r="C94" s="16" t="s">
        <v>2663</v>
      </c>
      <c r="D94" s="17" t="s">
        <v>861</v>
      </c>
      <c r="E94" s="16" t="s">
        <v>1804</v>
      </c>
      <c r="F94" s="17" t="s">
        <v>975</v>
      </c>
      <c r="G94" s="3" t="s">
        <v>3503</v>
      </c>
      <c r="H94" s="6">
        <v>8885.3119999999981</v>
      </c>
      <c r="I94">
        <f t="shared" si="2"/>
        <v>7</v>
      </c>
      <c r="J94">
        <f t="shared" si="3"/>
        <v>97</v>
      </c>
    </row>
    <row r="95" spans="2:10" ht="15.5" hidden="1" x14ac:dyDescent="0.35">
      <c r="B95" s="3" t="s">
        <v>116</v>
      </c>
      <c r="C95" s="16" t="s">
        <v>2664</v>
      </c>
      <c r="D95" s="17" t="s">
        <v>861</v>
      </c>
      <c r="E95" s="16" t="s">
        <v>1805</v>
      </c>
      <c r="F95" s="17" t="s">
        <v>976</v>
      </c>
      <c r="G95" s="3" t="s">
        <v>3504</v>
      </c>
      <c r="H95" s="6">
        <v>13341.647999999999</v>
      </c>
      <c r="I95">
        <f t="shared" si="2"/>
        <v>95</v>
      </c>
      <c r="J95">
        <f t="shared" si="3"/>
        <v>73</v>
      </c>
    </row>
    <row r="96" spans="2:10" ht="15.5" x14ac:dyDescent="0.35">
      <c r="B96" s="3" t="s">
        <v>120</v>
      </c>
      <c r="C96" s="16" t="s">
        <v>2668</v>
      </c>
      <c r="D96" s="17" t="s">
        <v>860</v>
      </c>
      <c r="E96" s="16" t="s">
        <v>1809</v>
      </c>
      <c r="F96" s="17" t="s">
        <v>980</v>
      </c>
      <c r="G96" s="3" t="s">
        <v>3505</v>
      </c>
      <c r="H96" s="6">
        <v>12185.84</v>
      </c>
      <c r="I96">
        <f t="shared" si="2"/>
        <v>2</v>
      </c>
      <c r="J96">
        <f t="shared" si="3"/>
        <v>97</v>
      </c>
    </row>
    <row r="97" spans="2:10" ht="15.5" hidden="1" x14ac:dyDescent="0.35">
      <c r="B97" s="3" t="s">
        <v>121</v>
      </c>
      <c r="C97" s="16" t="s">
        <v>2669</v>
      </c>
      <c r="D97" s="17" t="s">
        <v>861</v>
      </c>
      <c r="E97" s="16" t="s">
        <v>1810</v>
      </c>
      <c r="F97" s="17" t="s">
        <v>981</v>
      </c>
      <c r="G97" s="3" t="s">
        <v>3506</v>
      </c>
      <c r="H97" s="6">
        <v>5639.808</v>
      </c>
      <c r="I97">
        <f t="shared" si="2"/>
        <v>58</v>
      </c>
      <c r="J97">
        <f t="shared" si="3"/>
        <v>73</v>
      </c>
    </row>
    <row r="98" spans="2:10" ht="15.5" x14ac:dyDescent="0.35">
      <c r="B98" s="3" t="s">
        <v>122</v>
      </c>
      <c r="C98" s="16" t="s">
        <v>2670</v>
      </c>
      <c r="D98" s="17" t="s">
        <v>861</v>
      </c>
      <c r="E98" s="16" t="s">
        <v>1811</v>
      </c>
      <c r="F98" s="17" t="s">
        <v>982</v>
      </c>
      <c r="G98" s="3" t="s">
        <v>3506</v>
      </c>
      <c r="H98" s="6">
        <v>5639.808</v>
      </c>
      <c r="I98">
        <f t="shared" si="2"/>
        <v>11</v>
      </c>
      <c r="J98">
        <f t="shared" si="3"/>
        <v>97</v>
      </c>
    </row>
    <row r="99" spans="2:10" ht="15.5" x14ac:dyDescent="0.35">
      <c r="B99" s="3" t="s">
        <v>123</v>
      </c>
      <c r="C99" s="16" t="s">
        <v>2671</v>
      </c>
      <c r="D99" s="17" t="s">
        <v>861</v>
      </c>
      <c r="E99" s="16" t="s">
        <v>1812</v>
      </c>
      <c r="F99" s="17" t="s">
        <v>983</v>
      </c>
      <c r="G99" s="3" t="s">
        <v>3507</v>
      </c>
      <c r="H99" s="6">
        <v>8838.1920000000009</v>
      </c>
      <c r="I99">
        <f t="shared" si="2"/>
        <v>11</v>
      </c>
      <c r="J99">
        <f t="shared" si="3"/>
        <v>97</v>
      </c>
    </row>
    <row r="100" spans="2:10" ht="15.5" x14ac:dyDescent="0.35">
      <c r="B100" s="3" t="s">
        <v>124</v>
      </c>
      <c r="C100" s="16" t="s">
        <v>2672</v>
      </c>
      <c r="D100" s="17" t="s">
        <v>861</v>
      </c>
      <c r="E100" s="16" t="s">
        <v>1813</v>
      </c>
      <c r="F100" s="17" t="s">
        <v>984</v>
      </c>
      <c r="G100" s="3" t="s">
        <v>3508</v>
      </c>
      <c r="H100" s="6">
        <v>10707.791999999999</v>
      </c>
      <c r="I100">
        <f t="shared" si="2"/>
        <v>11</v>
      </c>
      <c r="J100">
        <f t="shared" si="3"/>
        <v>97</v>
      </c>
    </row>
    <row r="101" spans="2:10" ht="15.5" x14ac:dyDescent="0.35">
      <c r="B101" s="3" t="s">
        <v>129</v>
      </c>
      <c r="C101" s="16" t="s">
        <v>2677</v>
      </c>
      <c r="D101" s="17" t="s">
        <v>860</v>
      </c>
      <c r="E101" s="16" t="s">
        <v>1818</v>
      </c>
      <c r="F101" s="17" t="s">
        <v>989</v>
      </c>
      <c r="G101" s="3" t="s">
        <v>3509</v>
      </c>
      <c r="H101" s="6">
        <v>12532.4</v>
      </c>
      <c r="I101">
        <f t="shared" si="2"/>
        <v>11</v>
      </c>
      <c r="J101">
        <f t="shared" si="3"/>
        <v>97</v>
      </c>
    </row>
    <row r="102" spans="2:10" ht="15.5" x14ac:dyDescent="0.35">
      <c r="B102" s="3" t="s">
        <v>130</v>
      </c>
      <c r="C102" s="16" t="s">
        <v>2678</v>
      </c>
      <c r="D102" s="17" t="s">
        <v>861</v>
      </c>
      <c r="E102" s="16" t="s">
        <v>1819</v>
      </c>
      <c r="F102" s="17" t="s">
        <v>990</v>
      </c>
      <c r="G102" s="3" t="s">
        <v>3510</v>
      </c>
      <c r="H102" s="6">
        <v>13884.592000000001</v>
      </c>
      <c r="I102">
        <f t="shared" si="2"/>
        <v>11</v>
      </c>
      <c r="J102">
        <f t="shared" si="3"/>
        <v>97</v>
      </c>
    </row>
    <row r="103" spans="2:10" ht="15.5" hidden="1" x14ac:dyDescent="0.35">
      <c r="B103" s="3" t="s">
        <v>131</v>
      </c>
      <c r="C103" s="16" t="s">
        <v>2679</v>
      </c>
      <c r="D103" s="17" t="s">
        <v>861</v>
      </c>
      <c r="E103" s="16" t="s">
        <v>1820</v>
      </c>
      <c r="F103" s="17" t="s">
        <v>991</v>
      </c>
      <c r="G103" s="3" t="s">
        <v>3511</v>
      </c>
      <c r="H103" s="6">
        <v>25742.415999999997</v>
      </c>
      <c r="I103">
        <f t="shared" si="2"/>
        <v>92</v>
      </c>
      <c r="J103">
        <f t="shared" si="3"/>
        <v>73</v>
      </c>
    </row>
    <row r="104" spans="2:10" ht="15.5" hidden="1" x14ac:dyDescent="0.35">
      <c r="B104" s="3" t="s">
        <v>133</v>
      </c>
      <c r="C104" s="16" t="s">
        <v>2681</v>
      </c>
      <c r="D104" s="17" t="s">
        <v>860</v>
      </c>
      <c r="E104" s="16" t="s">
        <v>1822</v>
      </c>
      <c r="F104" s="17" t="s">
        <v>993</v>
      </c>
      <c r="G104" s="3" t="s">
        <v>3512</v>
      </c>
      <c r="H104" s="6">
        <v>15418.271999999999</v>
      </c>
      <c r="I104">
        <f t="shared" si="2"/>
        <v>97</v>
      </c>
      <c r="J104">
        <f t="shared" si="3"/>
        <v>73</v>
      </c>
    </row>
    <row r="105" spans="2:10" ht="15.5" hidden="1" x14ac:dyDescent="0.35">
      <c r="B105" s="3" t="s">
        <v>134</v>
      </c>
      <c r="C105" s="16" t="s">
        <v>2682</v>
      </c>
      <c r="D105" s="17" t="s">
        <v>861</v>
      </c>
      <c r="E105" s="16" t="s">
        <v>1823</v>
      </c>
      <c r="F105" s="17" t="s">
        <v>994</v>
      </c>
      <c r="G105" s="3" t="s">
        <v>3513</v>
      </c>
      <c r="H105" s="6">
        <v>0</v>
      </c>
      <c r="I105">
        <f t="shared" si="2"/>
        <v>96</v>
      </c>
      <c r="J105">
        <f t="shared" si="3"/>
        <v>73</v>
      </c>
    </row>
    <row r="106" spans="2:10" ht="15.5" hidden="1" x14ac:dyDescent="0.35">
      <c r="B106" s="3" t="s">
        <v>135</v>
      </c>
      <c r="C106" s="16" t="s">
        <v>2683</v>
      </c>
      <c r="D106" s="17" t="s">
        <v>861</v>
      </c>
      <c r="E106" s="16" t="s">
        <v>1824</v>
      </c>
      <c r="F106" s="17" t="s">
        <v>995</v>
      </c>
      <c r="G106" s="3" t="s">
        <v>3514</v>
      </c>
      <c r="H106" s="6">
        <v>19636.88</v>
      </c>
      <c r="I106">
        <f t="shared" si="2"/>
        <v>96</v>
      </c>
      <c r="J106">
        <f t="shared" si="3"/>
        <v>73</v>
      </c>
    </row>
    <row r="107" spans="2:10" ht="15.5" hidden="1" x14ac:dyDescent="0.35">
      <c r="B107" s="3" t="s">
        <v>138</v>
      </c>
      <c r="C107" s="16" t="s">
        <v>2686</v>
      </c>
      <c r="D107" s="17" t="s">
        <v>860</v>
      </c>
      <c r="E107" s="16" t="s">
        <v>1827</v>
      </c>
      <c r="F107" s="17" t="s">
        <v>998</v>
      </c>
      <c r="G107" s="3" t="s">
        <v>3515</v>
      </c>
      <c r="H107" s="6">
        <v>10809.632</v>
      </c>
      <c r="I107">
        <f t="shared" si="2"/>
        <v>91</v>
      </c>
      <c r="J107">
        <f t="shared" si="3"/>
        <v>73</v>
      </c>
    </row>
    <row r="108" spans="2:10" ht="15.5" hidden="1" x14ac:dyDescent="0.35">
      <c r="B108" s="3" t="s">
        <v>140</v>
      </c>
      <c r="C108" s="16" t="s">
        <v>2688</v>
      </c>
      <c r="D108" s="17" t="s">
        <v>861</v>
      </c>
      <c r="E108" s="16" t="s">
        <v>1829</v>
      </c>
      <c r="F108" s="17" t="s">
        <v>1000</v>
      </c>
      <c r="G108" s="3" t="s">
        <v>3516</v>
      </c>
      <c r="H108" s="6">
        <v>9631.0239999999994</v>
      </c>
      <c r="I108">
        <f t="shared" si="2"/>
        <v>94</v>
      </c>
      <c r="J108">
        <f t="shared" si="3"/>
        <v>73</v>
      </c>
    </row>
    <row r="109" spans="2:10" ht="15.5" x14ac:dyDescent="0.35">
      <c r="B109" s="3" t="s">
        <v>142</v>
      </c>
      <c r="C109" s="16" t="s">
        <v>2690</v>
      </c>
      <c r="D109" s="17" t="s">
        <v>861</v>
      </c>
      <c r="E109" s="16" t="s">
        <v>1831</v>
      </c>
      <c r="F109" s="17" t="s">
        <v>1002</v>
      </c>
      <c r="G109" s="3" t="s">
        <v>3517</v>
      </c>
      <c r="H109" s="6">
        <v>14289.52</v>
      </c>
      <c r="I109">
        <f t="shared" si="2"/>
        <v>8</v>
      </c>
      <c r="J109">
        <f t="shared" si="3"/>
        <v>97</v>
      </c>
    </row>
    <row r="110" spans="2:10" ht="15.5" hidden="1" x14ac:dyDescent="0.35">
      <c r="B110" s="3" t="s">
        <v>143</v>
      </c>
      <c r="C110" s="16" t="s">
        <v>2691</v>
      </c>
      <c r="D110" s="17" t="s">
        <v>860</v>
      </c>
      <c r="E110" s="16" t="s">
        <v>1832</v>
      </c>
      <c r="F110" s="17" t="s">
        <v>1003</v>
      </c>
      <c r="G110" s="3" t="s">
        <v>3518</v>
      </c>
      <c r="H110" s="6">
        <v>6939.1039999999994</v>
      </c>
      <c r="I110">
        <f t="shared" si="2"/>
        <v>86</v>
      </c>
      <c r="J110">
        <f t="shared" si="3"/>
        <v>73</v>
      </c>
    </row>
    <row r="111" spans="2:10" ht="15.5" hidden="1" x14ac:dyDescent="0.35">
      <c r="B111" s="3" t="s">
        <v>144</v>
      </c>
      <c r="C111" s="16" t="s">
        <v>2692</v>
      </c>
      <c r="D111" s="17" t="s">
        <v>860</v>
      </c>
      <c r="E111" s="16" t="s">
        <v>1833</v>
      </c>
      <c r="F111" s="17" t="s">
        <v>1004</v>
      </c>
      <c r="G111" s="3" t="s">
        <v>3519</v>
      </c>
      <c r="H111" s="6">
        <v>12170.944</v>
      </c>
      <c r="I111">
        <f t="shared" si="2"/>
        <v>85</v>
      </c>
      <c r="J111">
        <f t="shared" si="3"/>
        <v>73</v>
      </c>
    </row>
    <row r="112" spans="2:10" ht="15.5" x14ac:dyDescent="0.35">
      <c r="B112" s="3" t="s">
        <v>145</v>
      </c>
      <c r="C112" s="16" t="s">
        <v>2693</v>
      </c>
      <c r="D112" s="17" t="s">
        <v>860</v>
      </c>
      <c r="E112" s="16" t="s">
        <v>1834</v>
      </c>
      <c r="F112" s="17" t="s">
        <v>1005</v>
      </c>
      <c r="G112" s="3" t="s">
        <v>3520</v>
      </c>
      <c r="H112" s="6">
        <v>14390.751999999999</v>
      </c>
      <c r="I112">
        <f t="shared" si="2"/>
        <v>99</v>
      </c>
      <c r="J112">
        <f t="shared" si="3"/>
        <v>97</v>
      </c>
    </row>
    <row r="113" spans="2:10" ht="15.5" x14ac:dyDescent="0.35">
      <c r="B113" s="3" t="s">
        <v>147</v>
      </c>
      <c r="C113" s="16" t="s">
        <v>2695</v>
      </c>
      <c r="D113" s="17" t="s">
        <v>861</v>
      </c>
      <c r="E113" s="16" t="s">
        <v>1836</v>
      </c>
      <c r="F113" s="17" t="s">
        <v>1007</v>
      </c>
      <c r="G113" s="3" t="s">
        <v>3521</v>
      </c>
      <c r="H113" s="6">
        <v>13411.567999999999</v>
      </c>
      <c r="I113">
        <f t="shared" si="2"/>
        <v>5</v>
      </c>
      <c r="J113">
        <f t="shared" si="3"/>
        <v>97</v>
      </c>
    </row>
    <row r="114" spans="2:10" ht="15.5" x14ac:dyDescent="0.35">
      <c r="B114" s="3" t="s">
        <v>149</v>
      </c>
      <c r="C114" s="16" t="s">
        <v>2697</v>
      </c>
      <c r="D114" s="17" t="s">
        <v>861</v>
      </c>
      <c r="E114" s="16" t="s">
        <v>1838</v>
      </c>
      <c r="F114" s="17" t="s">
        <v>1009</v>
      </c>
      <c r="G114" s="3" t="s">
        <v>3522</v>
      </c>
      <c r="H114" s="6">
        <v>17863.04</v>
      </c>
      <c r="I114">
        <f t="shared" si="2"/>
        <v>12</v>
      </c>
      <c r="J114">
        <f t="shared" si="3"/>
        <v>97</v>
      </c>
    </row>
    <row r="115" spans="2:10" ht="15.5" hidden="1" x14ac:dyDescent="0.35">
      <c r="B115" s="3" t="s">
        <v>150</v>
      </c>
      <c r="C115" s="16" t="s">
        <v>2698</v>
      </c>
      <c r="D115" s="17" t="s">
        <v>860</v>
      </c>
      <c r="E115" s="16" t="s">
        <v>1839</v>
      </c>
      <c r="F115" s="17" t="s">
        <v>1010</v>
      </c>
      <c r="G115" s="3" t="s">
        <v>3523</v>
      </c>
      <c r="H115" s="6">
        <v>20779.007999999998</v>
      </c>
      <c r="I115">
        <f t="shared" si="2"/>
        <v>94</v>
      </c>
      <c r="J115">
        <f t="shared" si="3"/>
        <v>73</v>
      </c>
    </row>
    <row r="116" spans="2:10" ht="15.5" hidden="1" x14ac:dyDescent="0.35">
      <c r="B116" s="3" t="s">
        <v>151</v>
      </c>
      <c r="C116" s="16" t="s">
        <v>2699</v>
      </c>
      <c r="D116" s="17" t="s">
        <v>860</v>
      </c>
      <c r="E116" s="16" t="s">
        <v>1840</v>
      </c>
      <c r="F116" s="17" t="s">
        <v>1011</v>
      </c>
      <c r="G116" s="3" t="s">
        <v>3524</v>
      </c>
      <c r="H116" s="6">
        <v>34444.112000000001</v>
      </c>
      <c r="I116">
        <f t="shared" si="2"/>
        <v>91</v>
      </c>
      <c r="J116">
        <f t="shared" si="3"/>
        <v>73</v>
      </c>
    </row>
    <row r="117" spans="2:10" ht="15.5" x14ac:dyDescent="0.35">
      <c r="B117" s="3" t="s">
        <v>152</v>
      </c>
      <c r="C117" s="16" t="s">
        <v>2700</v>
      </c>
      <c r="D117" s="17" t="s">
        <v>861</v>
      </c>
      <c r="E117" s="16" t="s">
        <v>1841</v>
      </c>
      <c r="F117" s="17" t="s">
        <v>1012</v>
      </c>
      <c r="G117" s="3" t="s">
        <v>3525</v>
      </c>
      <c r="H117" s="6">
        <v>23316.495999999999</v>
      </c>
      <c r="I117">
        <f t="shared" si="2"/>
        <v>6</v>
      </c>
      <c r="J117">
        <f t="shared" si="3"/>
        <v>97</v>
      </c>
    </row>
    <row r="118" spans="2:10" ht="15.5" x14ac:dyDescent="0.35">
      <c r="B118" s="3" t="s">
        <v>153</v>
      </c>
      <c r="C118" s="16" t="s">
        <v>2701</v>
      </c>
      <c r="D118" s="17" t="s">
        <v>860</v>
      </c>
      <c r="E118" s="16" t="s">
        <v>1842</v>
      </c>
      <c r="F118" s="17" t="s">
        <v>1013</v>
      </c>
      <c r="G118" s="3" t="s">
        <v>3526</v>
      </c>
      <c r="H118" s="6">
        <v>14412.944</v>
      </c>
      <c r="I118">
        <f t="shared" si="2"/>
        <v>12</v>
      </c>
      <c r="J118">
        <f t="shared" si="3"/>
        <v>97</v>
      </c>
    </row>
    <row r="119" spans="2:10" ht="15.5" hidden="1" x14ac:dyDescent="0.35">
      <c r="B119" s="3" t="s">
        <v>154</v>
      </c>
      <c r="C119" s="16" t="s">
        <v>2702</v>
      </c>
      <c r="D119" s="17" t="s">
        <v>861</v>
      </c>
      <c r="E119" s="16" t="s">
        <v>1843</v>
      </c>
      <c r="F119" s="17" t="s">
        <v>1014</v>
      </c>
      <c r="G119" s="3" t="s">
        <v>3527</v>
      </c>
      <c r="H119" s="6">
        <v>10322.928</v>
      </c>
      <c r="I119">
        <f t="shared" si="2"/>
        <v>89</v>
      </c>
      <c r="J119">
        <f t="shared" si="3"/>
        <v>73</v>
      </c>
    </row>
    <row r="120" spans="2:10" ht="15.5" x14ac:dyDescent="0.35">
      <c r="B120" s="3" t="s">
        <v>156</v>
      </c>
      <c r="C120" s="16" t="s">
        <v>2704</v>
      </c>
      <c r="D120" s="17" t="s">
        <v>861</v>
      </c>
      <c r="E120" s="16" t="s">
        <v>1845</v>
      </c>
      <c r="F120" s="17" t="s">
        <v>1016</v>
      </c>
      <c r="G120" s="3" t="s">
        <v>3528</v>
      </c>
      <c r="H120" s="6">
        <v>22175.583999999999</v>
      </c>
      <c r="I120">
        <f t="shared" si="2"/>
        <v>10</v>
      </c>
      <c r="J120">
        <f t="shared" si="3"/>
        <v>97</v>
      </c>
    </row>
    <row r="121" spans="2:10" ht="15.5" hidden="1" x14ac:dyDescent="0.35">
      <c r="B121" s="3" t="s">
        <v>157</v>
      </c>
      <c r="C121" s="16" t="s">
        <v>2705</v>
      </c>
      <c r="D121" s="17" t="s">
        <v>861</v>
      </c>
      <c r="E121" s="16" t="s">
        <v>1846</v>
      </c>
      <c r="F121" s="17" t="s">
        <v>1017</v>
      </c>
      <c r="G121" s="3" t="s">
        <v>3529</v>
      </c>
      <c r="H121" s="6">
        <v>7844.4160000000002</v>
      </c>
      <c r="I121">
        <f t="shared" si="2"/>
        <v>81</v>
      </c>
      <c r="J121">
        <f t="shared" si="3"/>
        <v>73</v>
      </c>
    </row>
    <row r="122" spans="2:10" ht="15.5" x14ac:dyDescent="0.35">
      <c r="B122" s="3" t="s">
        <v>158</v>
      </c>
      <c r="C122" s="16" t="s">
        <v>2706</v>
      </c>
      <c r="D122" s="17" t="s">
        <v>861</v>
      </c>
      <c r="E122" s="16" t="s">
        <v>1847</v>
      </c>
      <c r="F122" s="17" t="s">
        <v>1018</v>
      </c>
      <c r="G122" s="3" t="s">
        <v>3530</v>
      </c>
      <c r="H122" s="6">
        <v>16070.351999999999</v>
      </c>
      <c r="I122">
        <f t="shared" si="2"/>
        <v>11</v>
      </c>
      <c r="J122">
        <f t="shared" si="3"/>
        <v>97</v>
      </c>
    </row>
    <row r="123" spans="2:10" ht="15.5" x14ac:dyDescent="0.35">
      <c r="B123" s="3" t="s">
        <v>159</v>
      </c>
      <c r="C123" s="16" t="s">
        <v>2707</v>
      </c>
      <c r="D123" s="17" t="s">
        <v>861</v>
      </c>
      <c r="E123" s="16" t="s">
        <v>1848</v>
      </c>
      <c r="F123" s="17" t="s">
        <v>1019</v>
      </c>
      <c r="G123" s="3" t="s">
        <v>3531</v>
      </c>
      <c r="H123" s="6">
        <v>11917.103999999999</v>
      </c>
      <c r="I123">
        <f t="shared" si="2"/>
        <v>5</v>
      </c>
      <c r="J123">
        <f t="shared" si="3"/>
        <v>97</v>
      </c>
    </row>
    <row r="124" spans="2:10" ht="15.5" hidden="1" x14ac:dyDescent="0.35">
      <c r="B124" s="3" t="s">
        <v>160</v>
      </c>
      <c r="C124" s="16" t="s">
        <v>2708</v>
      </c>
      <c r="D124" s="17" t="s">
        <v>861</v>
      </c>
      <c r="E124" s="16" t="s">
        <v>1849</v>
      </c>
      <c r="F124" s="17" t="s">
        <v>1020</v>
      </c>
      <c r="G124" s="3" t="s">
        <v>3532</v>
      </c>
      <c r="H124" s="6">
        <v>5899.12</v>
      </c>
      <c r="I124">
        <f t="shared" si="2"/>
        <v>85</v>
      </c>
      <c r="J124">
        <f t="shared" si="3"/>
        <v>73</v>
      </c>
    </row>
    <row r="125" spans="2:10" ht="15.5" x14ac:dyDescent="0.35">
      <c r="B125" s="3" t="s">
        <v>161</v>
      </c>
      <c r="C125" s="16" t="s">
        <v>2709</v>
      </c>
      <c r="D125" s="17" t="s">
        <v>860</v>
      </c>
      <c r="E125" s="16" t="s">
        <v>1850</v>
      </c>
      <c r="F125" s="17" t="s">
        <v>1021</v>
      </c>
      <c r="G125" s="3" t="s">
        <v>3533</v>
      </c>
      <c r="H125" s="6">
        <v>15661.471999999998</v>
      </c>
      <c r="I125">
        <f t="shared" si="2"/>
        <v>8</v>
      </c>
      <c r="J125">
        <f t="shared" si="3"/>
        <v>97</v>
      </c>
    </row>
    <row r="126" spans="2:10" ht="15.5" x14ac:dyDescent="0.35">
      <c r="B126" s="3" t="s">
        <v>162</v>
      </c>
      <c r="C126" s="16" t="s">
        <v>2710</v>
      </c>
      <c r="D126" s="17" t="s">
        <v>861</v>
      </c>
      <c r="E126" s="16" t="s">
        <v>1851</v>
      </c>
      <c r="F126" s="17" t="s">
        <v>1022</v>
      </c>
      <c r="G126" s="3" t="s">
        <v>3534</v>
      </c>
      <c r="H126" s="6">
        <v>17736.576000000001</v>
      </c>
      <c r="I126">
        <f t="shared" si="2"/>
        <v>11</v>
      </c>
      <c r="J126">
        <f t="shared" si="3"/>
        <v>97</v>
      </c>
    </row>
    <row r="127" spans="2:10" ht="15.5" x14ac:dyDescent="0.35">
      <c r="B127" s="3" t="s">
        <v>163</v>
      </c>
      <c r="C127" s="16" t="s">
        <v>2711</v>
      </c>
      <c r="D127" s="17" t="s">
        <v>861</v>
      </c>
      <c r="E127" s="16" t="s">
        <v>1852</v>
      </c>
      <c r="F127" s="17" t="s">
        <v>1023</v>
      </c>
      <c r="G127" s="3" t="s">
        <v>3535</v>
      </c>
      <c r="H127" s="6">
        <v>20029.344000000001</v>
      </c>
      <c r="I127">
        <f t="shared" si="2"/>
        <v>3</v>
      </c>
      <c r="J127">
        <f t="shared" si="3"/>
        <v>97</v>
      </c>
    </row>
    <row r="128" spans="2:10" ht="15.5" x14ac:dyDescent="0.35">
      <c r="B128" s="3" t="s">
        <v>164</v>
      </c>
      <c r="C128" s="16" t="s">
        <v>2712</v>
      </c>
      <c r="D128" s="17" t="s">
        <v>860</v>
      </c>
      <c r="E128" s="16" t="s">
        <v>1853</v>
      </c>
      <c r="F128" s="17" t="s">
        <v>1024</v>
      </c>
      <c r="G128" s="3" t="s">
        <v>3536</v>
      </c>
      <c r="H128" s="6">
        <v>8193.7119999999995</v>
      </c>
      <c r="I128">
        <f t="shared" si="2"/>
        <v>8</v>
      </c>
      <c r="J128">
        <f t="shared" si="3"/>
        <v>97</v>
      </c>
    </row>
    <row r="129" spans="2:10" ht="15.5" hidden="1" x14ac:dyDescent="0.35">
      <c r="B129" s="3" t="s">
        <v>167</v>
      </c>
      <c r="C129" s="16" t="s">
        <v>2715</v>
      </c>
      <c r="D129" s="17" t="s">
        <v>860</v>
      </c>
      <c r="E129" s="16" t="s">
        <v>1856</v>
      </c>
      <c r="F129" s="17" t="s">
        <v>1027</v>
      </c>
      <c r="G129" s="3" t="s">
        <v>3537</v>
      </c>
      <c r="H129" s="6">
        <v>20127.232</v>
      </c>
      <c r="I129">
        <f t="shared" si="2"/>
        <v>92</v>
      </c>
      <c r="J129">
        <f t="shared" si="3"/>
        <v>73</v>
      </c>
    </row>
    <row r="130" spans="2:10" ht="15.5" hidden="1" x14ac:dyDescent="0.35">
      <c r="B130" s="3" t="s">
        <v>168</v>
      </c>
      <c r="C130" s="16" t="s">
        <v>2716</v>
      </c>
      <c r="D130" s="17" t="s">
        <v>860</v>
      </c>
      <c r="E130" s="16" t="s">
        <v>1857</v>
      </c>
      <c r="F130" s="17" t="s">
        <v>1028</v>
      </c>
      <c r="G130" s="3" t="s">
        <v>3538</v>
      </c>
      <c r="H130" s="6">
        <v>8859.4719999999998</v>
      </c>
      <c r="I130">
        <f t="shared" si="2"/>
        <v>92</v>
      </c>
      <c r="J130">
        <f t="shared" si="3"/>
        <v>73</v>
      </c>
    </row>
    <row r="131" spans="2:10" ht="15.5" x14ac:dyDescent="0.35">
      <c r="B131" s="3" t="s">
        <v>169</v>
      </c>
      <c r="C131" s="16" t="s">
        <v>2717</v>
      </c>
      <c r="D131" s="17" t="s">
        <v>861</v>
      </c>
      <c r="E131" s="16" t="s">
        <v>1858</v>
      </c>
      <c r="F131" s="17" t="s">
        <v>1029</v>
      </c>
      <c r="G131" s="3" t="s">
        <v>3539</v>
      </c>
      <c r="H131" s="6">
        <v>8401.3439999999991</v>
      </c>
      <c r="I131">
        <f t="shared" si="2"/>
        <v>0</v>
      </c>
      <c r="J131">
        <f t="shared" si="3"/>
        <v>97</v>
      </c>
    </row>
    <row r="132" spans="2:10" ht="15.5" x14ac:dyDescent="0.35">
      <c r="B132" s="3" t="s">
        <v>170</v>
      </c>
      <c r="C132" s="16" t="s">
        <v>2718</v>
      </c>
      <c r="D132" s="17" t="s">
        <v>861</v>
      </c>
      <c r="E132" s="16" t="s">
        <v>1859</v>
      </c>
      <c r="F132" s="17" t="s">
        <v>1030</v>
      </c>
      <c r="G132" s="3" t="s">
        <v>3540</v>
      </c>
      <c r="H132" s="6">
        <v>5639.808</v>
      </c>
      <c r="I132">
        <f t="shared" ref="I132:I195" si="4">_xlfn.NUMBERVALUE(MID(C132,3,2))</f>
        <v>11</v>
      </c>
      <c r="J132">
        <f t="shared" ref="J132:J195" si="5">IF(I132&gt;25,IF(I132&lt;=97,73,97),97)</f>
        <v>97</v>
      </c>
    </row>
    <row r="133" spans="2:10" ht="15.5" hidden="1" x14ac:dyDescent="0.35">
      <c r="B133" s="3" t="s">
        <v>171</v>
      </c>
      <c r="C133" s="16" t="s">
        <v>2719</v>
      </c>
      <c r="D133" s="17" t="s">
        <v>861</v>
      </c>
      <c r="E133" s="16" t="s">
        <v>1860</v>
      </c>
      <c r="F133" s="17" t="s">
        <v>1031</v>
      </c>
      <c r="G133" s="3" t="s">
        <v>3541</v>
      </c>
      <c r="H133" s="6">
        <v>17295.471999999998</v>
      </c>
      <c r="I133">
        <f t="shared" si="4"/>
        <v>97</v>
      </c>
      <c r="J133">
        <f t="shared" si="5"/>
        <v>73</v>
      </c>
    </row>
    <row r="134" spans="2:10" ht="15.5" x14ac:dyDescent="0.35">
      <c r="B134" s="3" t="s">
        <v>172</v>
      </c>
      <c r="C134" s="16" t="s">
        <v>2720</v>
      </c>
      <c r="D134" s="17" t="s">
        <v>860</v>
      </c>
      <c r="E134" s="16" t="s">
        <v>1861</v>
      </c>
      <c r="F134" s="17" t="s">
        <v>1032</v>
      </c>
      <c r="G134" s="3" t="s">
        <v>3541</v>
      </c>
      <c r="H134" s="6">
        <v>15991.919999999998</v>
      </c>
      <c r="I134">
        <f t="shared" si="4"/>
        <v>1</v>
      </c>
      <c r="J134">
        <f t="shared" si="5"/>
        <v>97</v>
      </c>
    </row>
    <row r="135" spans="2:10" ht="15.5" hidden="1" x14ac:dyDescent="0.35">
      <c r="B135" s="3" t="s">
        <v>174</v>
      </c>
      <c r="C135" s="16" t="s">
        <v>2722</v>
      </c>
      <c r="D135" s="17" t="s">
        <v>860</v>
      </c>
      <c r="E135" s="16" t="s">
        <v>1863</v>
      </c>
      <c r="F135" s="17" t="s">
        <v>1034</v>
      </c>
      <c r="G135" s="3" t="s">
        <v>3542</v>
      </c>
      <c r="H135" s="6">
        <v>10483.744000000001</v>
      </c>
      <c r="I135">
        <f t="shared" si="4"/>
        <v>89</v>
      </c>
      <c r="J135">
        <f t="shared" si="5"/>
        <v>73</v>
      </c>
    </row>
    <row r="136" spans="2:10" ht="15.5" x14ac:dyDescent="0.35">
      <c r="B136" s="3" t="s">
        <v>175</v>
      </c>
      <c r="C136" s="16" t="s">
        <v>2723</v>
      </c>
      <c r="D136" s="17" t="s">
        <v>861</v>
      </c>
      <c r="E136" s="16" t="s">
        <v>1864</v>
      </c>
      <c r="F136" s="17" t="s">
        <v>1035</v>
      </c>
      <c r="G136" s="3" t="s">
        <v>3543</v>
      </c>
      <c r="H136" s="6">
        <v>12196.48</v>
      </c>
      <c r="I136">
        <f t="shared" si="4"/>
        <v>6</v>
      </c>
      <c r="J136">
        <f t="shared" si="5"/>
        <v>97</v>
      </c>
    </row>
    <row r="137" spans="2:10" ht="15.5" x14ac:dyDescent="0.35">
      <c r="B137" s="3" t="s">
        <v>176</v>
      </c>
      <c r="C137" s="16" t="s">
        <v>2724</v>
      </c>
      <c r="D137" s="17" t="s">
        <v>860</v>
      </c>
      <c r="E137" s="16" t="s">
        <v>1865</v>
      </c>
      <c r="F137" s="17" t="s">
        <v>1036</v>
      </c>
      <c r="G137" s="3" t="s">
        <v>3543</v>
      </c>
      <c r="H137" s="6">
        <v>9900.9759999999987</v>
      </c>
      <c r="I137">
        <f t="shared" si="4"/>
        <v>7</v>
      </c>
      <c r="J137">
        <f t="shared" si="5"/>
        <v>97</v>
      </c>
    </row>
    <row r="138" spans="2:10" ht="15.5" x14ac:dyDescent="0.35">
      <c r="B138" s="3" t="s">
        <v>178</v>
      </c>
      <c r="C138" s="16" t="s">
        <v>2726</v>
      </c>
      <c r="D138" s="17" t="s">
        <v>860</v>
      </c>
      <c r="E138" s="16" t="s">
        <v>1867</v>
      </c>
      <c r="F138" s="17" t="s">
        <v>929</v>
      </c>
      <c r="G138" s="3" t="s">
        <v>3544</v>
      </c>
      <c r="H138" s="6">
        <v>17572.719999999998</v>
      </c>
      <c r="I138">
        <f t="shared" si="4"/>
        <v>5</v>
      </c>
      <c r="J138">
        <f t="shared" si="5"/>
        <v>97</v>
      </c>
    </row>
    <row r="139" spans="2:10" ht="15.5" hidden="1" x14ac:dyDescent="0.35">
      <c r="B139" s="3" t="s">
        <v>179</v>
      </c>
      <c r="C139" s="16" t="s">
        <v>2727</v>
      </c>
      <c r="D139" s="17" t="s">
        <v>860</v>
      </c>
      <c r="E139" s="16" t="s">
        <v>1868</v>
      </c>
      <c r="F139" s="17" t="s">
        <v>1038</v>
      </c>
      <c r="G139" s="3" t="s">
        <v>3545</v>
      </c>
      <c r="H139" s="6">
        <v>10128.368</v>
      </c>
      <c r="I139">
        <f t="shared" si="4"/>
        <v>96</v>
      </c>
      <c r="J139">
        <f t="shared" si="5"/>
        <v>73</v>
      </c>
    </row>
    <row r="140" spans="2:10" ht="15.5" hidden="1" x14ac:dyDescent="0.35">
      <c r="B140" s="3" t="s">
        <v>183</v>
      </c>
      <c r="C140" s="16" t="s">
        <v>2731</v>
      </c>
      <c r="D140" s="17" t="s">
        <v>860</v>
      </c>
      <c r="E140" s="16" t="s">
        <v>1872</v>
      </c>
      <c r="F140" s="17" t="s">
        <v>1042</v>
      </c>
      <c r="G140" s="3" t="s">
        <v>3546</v>
      </c>
      <c r="H140" s="6">
        <v>22138.191999999999</v>
      </c>
      <c r="I140">
        <f t="shared" si="4"/>
        <v>81</v>
      </c>
      <c r="J140">
        <f t="shared" si="5"/>
        <v>73</v>
      </c>
    </row>
    <row r="141" spans="2:10" ht="15.5" x14ac:dyDescent="0.35">
      <c r="B141" s="3" t="s">
        <v>184</v>
      </c>
      <c r="C141" s="16" t="s">
        <v>2732</v>
      </c>
      <c r="D141" s="17" t="s">
        <v>861</v>
      </c>
      <c r="E141" s="16" t="s">
        <v>1873</v>
      </c>
      <c r="F141" s="17" t="s">
        <v>1043</v>
      </c>
      <c r="G141" s="3" t="s">
        <v>3547</v>
      </c>
      <c r="H141" s="6">
        <v>5639.808</v>
      </c>
      <c r="I141">
        <f t="shared" si="4"/>
        <v>2</v>
      </c>
      <c r="J141">
        <f t="shared" si="5"/>
        <v>97</v>
      </c>
    </row>
    <row r="142" spans="2:10" ht="15.5" x14ac:dyDescent="0.35">
      <c r="B142" s="3" t="s">
        <v>185</v>
      </c>
      <c r="C142" s="16" t="s">
        <v>2733</v>
      </c>
      <c r="D142" s="17" t="s">
        <v>861</v>
      </c>
      <c r="E142" s="16" t="s">
        <v>1874</v>
      </c>
      <c r="F142" s="17" t="s">
        <v>1044</v>
      </c>
      <c r="G142" s="3" t="s">
        <v>3548</v>
      </c>
      <c r="H142" s="6">
        <v>13235.248</v>
      </c>
      <c r="I142">
        <f t="shared" si="4"/>
        <v>5</v>
      </c>
      <c r="J142">
        <f t="shared" si="5"/>
        <v>97</v>
      </c>
    </row>
    <row r="143" spans="2:10" ht="15.5" x14ac:dyDescent="0.35">
      <c r="B143" s="3" t="s">
        <v>187</v>
      </c>
      <c r="C143" s="16" t="s">
        <v>2735</v>
      </c>
      <c r="D143" s="17" t="s">
        <v>861</v>
      </c>
      <c r="E143" s="16" t="s">
        <v>1876</v>
      </c>
      <c r="F143" s="17" t="s">
        <v>1046</v>
      </c>
      <c r="G143" s="3" t="s">
        <v>3549</v>
      </c>
      <c r="H143" s="6">
        <v>19263.263999999999</v>
      </c>
      <c r="I143">
        <f t="shared" si="4"/>
        <v>5</v>
      </c>
      <c r="J143">
        <f t="shared" si="5"/>
        <v>97</v>
      </c>
    </row>
    <row r="144" spans="2:10" ht="15.5" hidden="1" x14ac:dyDescent="0.35">
      <c r="B144" s="3" t="s">
        <v>188</v>
      </c>
      <c r="C144" s="16" t="s">
        <v>2736</v>
      </c>
      <c r="D144" s="17" t="s">
        <v>861</v>
      </c>
      <c r="E144" s="16" t="s">
        <v>1877</v>
      </c>
      <c r="F144" s="17" t="s">
        <v>1047</v>
      </c>
      <c r="G144" s="3" t="s">
        <v>3550</v>
      </c>
      <c r="H144" s="6">
        <v>17740.223999999998</v>
      </c>
      <c r="I144">
        <f t="shared" si="4"/>
        <v>94</v>
      </c>
      <c r="J144">
        <f t="shared" si="5"/>
        <v>73</v>
      </c>
    </row>
    <row r="145" spans="2:10" ht="15.5" x14ac:dyDescent="0.35">
      <c r="B145" s="3" t="s">
        <v>190</v>
      </c>
      <c r="C145" s="16" t="s">
        <v>2738</v>
      </c>
      <c r="D145" s="17" t="s">
        <v>861</v>
      </c>
      <c r="E145" s="16" t="s">
        <v>1879</v>
      </c>
      <c r="F145" s="17" t="s">
        <v>1049</v>
      </c>
      <c r="G145" s="3" t="s">
        <v>3551</v>
      </c>
      <c r="H145" s="6">
        <v>24264.671999999999</v>
      </c>
      <c r="I145">
        <f t="shared" si="4"/>
        <v>4</v>
      </c>
      <c r="J145">
        <f t="shared" si="5"/>
        <v>97</v>
      </c>
    </row>
    <row r="146" spans="2:10" ht="15.5" hidden="1" x14ac:dyDescent="0.35">
      <c r="B146" s="3" t="s">
        <v>192</v>
      </c>
      <c r="C146" s="16" t="s">
        <v>2740</v>
      </c>
      <c r="D146" s="17" t="s">
        <v>861</v>
      </c>
      <c r="E146" s="16" t="s">
        <v>1881</v>
      </c>
      <c r="F146" s="17" t="s">
        <v>1051</v>
      </c>
      <c r="G146" s="3" t="s">
        <v>3552</v>
      </c>
      <c r="H146" s="6">
        <v>8475.52</v>
      </c>
      <c r="I146">
        <f t="shared" si="4"/>
        <v>97</v>
      </c>
      <c r="J146">
        <f t="shared" si="5"/>
        <v>73</v>
      </c>
    </row>
    <row r="147" spans="2:10" ht="15.5" hidden="1" x14ac:dyDescent="0.35">
      <c r="B147" s="3" t="s">
        <v>193</v>
      </c>
      <c r="C147" s="16" t="s">
        <v>2741</v>
      </c>
      <c r="D147" s="17" t="s">
        <v>860</v>
      </c>
      <c r="E147" s="16" t="s">
        <v>1882</v>
      </c>
      <c r="F147" s="17" t="s">
        <v>1052</v>
      </c>
      <c r="G147" s="3" t="s">
        <v>3553</v>
      </c>
      <c r="H147" s="6">
        <v>10983.216</v>
      </c>
      <c r="I147">
        <f t="shared" si="4"/>
        <v>80</v>
      </c>
      <c r="J147">
        <f t="shared" si="5"/>
        <v>73</v>
      </c>
    </row>
    <row r="148" spans="2:10" ht="15.5" x14ac:dyDescent="0.35">
      <c r="B148" s="3" t="s">
        <v>195</v>
      </c>
      <c r="C148" s="16" t="s">
        <v>2743</v>
      </c>
      <c r="D148" s="17" t="s">
        <v>861</v>
      </c>
      <c r="E148" s="16" t="s">
        <v>1884</v>
      </c>
      <c r="F148" s="17" t="s">
        <v>1054</v>
      </c>
      <c r="G148" s="3" t="s">
        <v>3553</v>
      </c>
      <c r="H148" s="6">
        <v>22150.047999999999</v>
      </c>
      <c r="I148">
        <f t="shared" si="4"/>
        <v>6</v>
      </c>
      <c r="J148">
        <f t="shared" si="5"/>
        <v>97</v>
      </c>
    </row>
    <row r="149" spans="2:10" ht="15.5" x14ac:dyDescent="0.35">
      <c r="B149" s="3" t="s">
        <v>197</v>
      </c>
      <c r="C149" s="16" t="s">
        <v>2745</v>
      </c>
      <c r="D149" s="17" t="s">
        <v>861</v>
      </c>
      <c r="E149" s="16" t="s">
        <v>1886</v>
      </c>
      <c r="F149" s="17" t="s">
        <v>1056</v>
      </c>
      <c r="G149" s="3" t="s">
        <v>3554</v>
      </c>
      <c r="H149" s="6">
        <v>22966.896000000001</v>
      </c>
      <c r="I149">
        <f t="shared" si="4"/>
        <v>3</v>
      </c>
      <c r="J149">
        <f t="shared" si="5"/>
        <v>97</v>
      </c>
    </row>
    <row r="150" spans="2:10" ht="15.5" x14ac:dyDescent="0.35">
      <c r="B150" s="3" t="s">
        <v>198</v>
      </c>
      <c r="C150" s="16" t="s">
        <v>2746</v>
      </c>
      <c r="D150" s="17" t="s">
        <v>861</v>
      </c>
      <c r="E150" s="16" t="s">
        <v>1887</v>
      </c>
      <c r="F150" s="17" t="s">
        <v>1057</v>
      </c>
      <c r="G150" s="3" t="s">
        <v>3555</v>
      </c>
      <c r="H150" s="6">
        <v>11312.751999999999</v>
      </c>
      <c r="I150">
        <f t="shared" si="4"/>
        <v>1</v>
      </c>
      <c r="J150">
        <f t="shared" si="5"/>
        <v>97</v>
      </c>
    </row>
    <row r="151" spans="2:10" ht="15.5" hidden="1" x14ac:dyDescent="0.35">
      <c r="B151" s="3" t="s">
        <v>199</v>
      </c>
      <c r="C151" s="16" t="s">
        <v>2747</v>
      </c>
      <c r="D151" s="17" t="s">
        <v>861</v>
      </c>
      <c r="E151" s="16" t="s">
        <v>1888</v>
      </c>
      <c r="F151" s="17" t="s">
        <v>1058</v>
      </c>
      <c r="G151" s="3" t="s">
        <v>3556</v>
      </c>
      <c r="H151" s="6">
        <v>26031.519999999997</v>
      </c>
      <c r="I151">
        <f t="shared" si="4"/>
        <v>92</v>
      </c>
      <c r="J151">
        <f t="shared" si="5"/>
        <v>73</v>
      </c>
    </row>
    <row r="152" spans="2:10" ht="15.5" hidden="1" x14ac:dyDescent="0.35">
      <c r="B152" s="3" t="s">
        <v>200</v>
      </c>
      <c r="C152" s="16" t="s">
        <v>2748</v>
      </c>
      <c r="D152" s="17" t="s">
        <v>861</v>
      </c>
      <c r="E152" s="16" t="s">
        <v>1889</v>
      </c>
      <c r="F152" s="17" t="s">
        <v>1059</v>
      </c>
      <c r="G152" s="3" t="s">
        <v>3557</v>
      </c>
      <c r="H152" s="6">
        <v>24121.791999999998</v>
      </c>
      <c r="I152">
        <f t="shared" si="4"/>
        <v>95</v>
      </c>
      <c r="J152">
        <f t="shared" si="5"/>
        <v>73</v>
      </c>
    </row>
    <row r="153" spans="2:10" ht="15.5" x14ac:dyDescent="0.35">
      <c r="B153" s="3" t="s">
        <v>201</v>
      </c>
      <c r="C153" s="16" t="s">
        <v>2749</v>
      </c>
      <c r="D153" s="17" t="s">
        <v>860</v>
      </c>
      <c r="E153" s="16" t="s">
        <v>1890</v>
      </c>
      <c r="F153" s="17" t="s">
        <v>1060</v>
      </c>
      <c r="G153" s="3" t="s">
        <v>3558</v>
      </c>
      <c r="H153" s="6">
        <v>20103.215999999997</v>
      </c>
      <c r="I153">
        <f t="shared" si="4"/>
        <v>12</v>
      </c>
      <c r="J153">
        <f t="shared" si="5"/>
        <v>97</v>
      </c>
    </row>
    <row r="154" spans="2:10" ht="15.5" x14ac:dyDescent="0.35">
      <c r="B154" s="3" t="s">
        <v>203</v>
      </c>
      <c r="C154" s="16" t="s">
        <v>2751</v>
      </c>
      <c r="D154" s="17" t="s">
        <v>860</v>
      </c>
      <c r="E154" s="16" t="s">
        <v>1892</v>
      </c>
      <c r="F154" s="17" t="s">
        <v>1062</v>
      </c>
      <c r="G154" s="3" t="s">
        <v>3559</v>
      </c>
      <c r="H154" s="6">
        <v>37314.480000000003</v>
      </c>
      <c r="I154">
        <f t="shared" si="4"/>
        <v>13</v>
      </c>
      <c r="J154">
        <f t="shared" si="5"/>
        <v>97</v>
      </c>
    </row>
    <row r="155" spans="2:10" ht="15.5" x14ac:dyDescent="0.35">
      <c r="B155" s="3" t="s">
        <v>204</v>
      </c>
      <c r="C155" s="16" t="s">
        <v>2752</v>
      </c>
      <c r="D155" s="17" t="s">
        <v>861</v>
      </c>
      <c r="E155" s="16" t="s">
        <v>1893</v>
      </c>
      <c r="F155" s="17" t="s">
        <v>1063</v>
      </c>
      <c r="G155" s="3" t="s">
        <v>3560</v>
      </c>
      <c r="H155" s="6">
        <v>10150.255999999999</v>
      </c>
      <c r="I155">
        <f t="shared" si="4"/>
        <v>0</v>
      </c>
      <c r="J155">
        <f t="shared" si="5"/>
        <v>97</v>
      </c>
    </row>
    <row r="156" spans="2:10" ht="15.5" x14ac:dyDescent="0.35">
      <c r="B156" s="3" t="s">
        <v>205</v>
      </c>
      <c r="C156" s="16" t="s">
        <v>2753</v>
      </c>
      <c r="D156" s="17" t="s">
        <v>861</v>
      </c>
      <c r="E156" s="16" t="s">
        <v>1894</v>
      </c>
      <c r="F156" s="17" t="s">
        <v>1064</v>
      </c>
      <c r="G156" s="3" t="s">
        <v>3561</v>
      </c>
      <c r="H156" s="6">
        <v>9264.0959999999995</v>
      </c>
      <c r="I156">
        <f t="shared" si="4"/>
        <v>4</v>
      </c>
      <c r="J156">
        <f t="shared" si="5"/>
        <v>97</v>
      </c>
    </row>
    <row r="157" spans="2:10" ht="15.5" hidden="1" x14ac:dyDescent="0.35">
      <c r="B157" s="3" t="s">
        <v>206</v>
      </c>
      <c r="C157" s="16" t="s">
        <v>2754</v>
      </c>
      <c r="D157" s="17" t="s">
        <v>860</v>
      </c>
      <c r="E157" s="16" t="s">
        <v>1895</v>
      </c>
      <c r="F157" s="17" t="s">
        <v>1065</v>
      </c>
      <c r="G157" s="3" t="s">
        <v>3562</v>
      </c>
      <c r="H157" s="6">
        <v>10568.56</v>
      </c>
      <c r="I157">
        <f t="shared" si="4"/>
        <v>97</v>
      </c>
      <c r="J157">
        <f t="shared" si="5"/>
        <v>73</v>
      </c>
    </row>
    <row r="158" spans="2:10" ht="15.5" x14ac:dyDescent="0.35">
      <c r="B158" s="3" t="s">
        <v>207</v>
      </c>
      <c r="C158" s="16" t="s">
        <v>2755</v>
      </c>
      <c r="D158" s="17" t="s">
        <v>860</v>
      </c>
      <c r="E158" s="16" t="s">
        <v>1896</v>
      </c>
      <c r="F158" s="17" t="s">
        <v>1066</v>
      </c>
      <c r="G158" s="3" t="s">
        <v>3563</v>
      </c>
      <c r="H158" s="6">
        <v>7011.76</v>
      </c>
      <c r="I158">
        <f t="shared" si="4"/>
        <v>13</v>
      </c>
      <c r="J158">
        <f t="shared" si="5"/>
        <v>97</v>
      </c>
    </row>
    <row r="159" spans="2:10" ht="15.5" hidden="1" x14ac:dyDescent="0.35">
      <c r="B159" s="3" t="s">
        <v>208</v>
      </c>
      <c r="C159" s="16" t="s">
        <v>2756</v>
      </c>
      <c r="D159" s="17" t="s">
        <v>860</v>
      </c>
      <c r="E159" s="16" t="s">
        <v>1897</v>
      </c>
      <c r="F159" s="17" t="s">
        <v>1067</v>
      </c>
      <c r="G159" s="3" t="s">
        <v>3564</v>
      </c>
      <c r="H159" s="6">
        <v>8574.9279999999999</v>
      </c>
      <c r="I159">
        <f t="shared" si="4"/>
        <v>86</v>
      </c>
      <c r="J159">
        <f t="shared" si="5"/>
        <v>73</v>
      </c>
    </row>
    <row r="160" spans="2:10" ht="15.5" hidden="1" x14ac:dyDescent="0.35">
      <c r="B160" s="3" t="s">
        <v>209</v>
      </c>
      <c r="C160" s="16" t="s">
        <v>2757</v>
      </c>
      <c r="D160" s="17" t="s">
        <v>861</v>
      </c>
      <c r="E160" s="16" t="s">
        <v>1898</v>
      </c>
      <c r="F160" s="17" t="s">
        <v>1068</v>
      </c>
      <c r="G160" s="3" t="s">
        <v>3565</v>
      </c>
      <c r="H160" s="6">
        <v>27496.495999999999</v>
      </c>
      <c r="I160">
        <f t="shared" si="4"/>
        <v>84</v>
      </c>
      <c r="J160">
        <f t="shared" si="5"/>
        <v>73</v>
      </c>
    </row>
    <row r="161" spans="2:10" ht="15.5" x14ac:dyDescent="0.35">
      <c r="B161" s="3" t="s">
        <v>211</v>
      </c>
      <c r="C161" s="16" t="s">
        <v>2759</v>
      </c>
      <c r="D161" s="17" t="s">
        <v>861</v>
      </c>
      <c r="E161" s="16" t="s">
        <v>1900</v>
      </c>
      <c r="F161" s="17" t="s">
        <v>1070</v>
      </c>
      <c r="G161" s="3" t="s">
        <v>3566</v>
      </c>
      <c r="H161" s="6">
        <v>10397.712</v>
      </c>
      <c r="I161">
        <f t="shared" si="4"/>
        <v>98</v>
      </c>
      <c r="J161">
        <f t="shared" si="5"/>
        <v>97</v>
      </c>
    </row>
    <row r="162" spans="2:10" ht="15.5" x14ac:dyDescent="0.35">
      <c r="B162" s="3" t="s">
        <v>212</v>
      </c>
      <c r="C162" s="16" t="s">
        <v>2760</v>
      </c>
      <c r="D162" s="17" t="s">
        <v>860</v>
      </c>
      <c r="E162" s="16" t="s">
        <v>1901</v>
      </c>
      <c r="F162" s="17" t="s">
        <v>1071</v>
      </c>
      <c r="G162" s="3" t="s">
        <v>3567</v>
      </c>
      <c r="H162" s="6">
        <v>7999.7599999999993</v>
      </c>
      <c r="I162">
        <f t="shared" si="4"/>
        <v>1</v>
      </c>
      <c r="J162">
        <f t="shared" si="5"/>
        <v>97</v>
      </c>
    </row>
    <row r="163" spans="2:10" ht="15.5" x14ac:dyDescent="0.35">
      <c r="B163" s="3" t="s">
        <v>213</v>
      </c>
      <c r="C163" s="16" t="s">
        <v>2761</v>
      </c>
      <c r="D163" s="17" t="s">
        <v>861</v>
      </c>
      <c r="E163" s="16" t="s">
        <v>1902</v>
      </c>
      <c r="F163" s="17" t="s">
        <v>1072</v>
      </c>
      <c r="G163" s="3" t="s">
        <v>3568</v>
      </c>
      <c r="H163" s="6">
        <v>23270.592000000001</v>
      </c>
      <c r="I163">
        <f t="shared" si="4"/>
        <v>99</v>
      </c>
      <c r="J163">
        <f t="shared" si="5"/>
        <v>97</v>
      </c>
    </row>
    <row r="164" spans="2:10" ht="15.5" x14ac:dyDescent="0.35">
      <c r="B164" s="3" t="s">
        <v>215</v>
      </c>
      <c r="C164" s="16" t="s">
        <v>2763</v>
      </c>
      <c r="D164" s="17" t="s">
        <v>861</v>
      </c>
      <c r="E164" s="16" t="s">
        <v>1904</v>
      </c>
      <c r="F164" s="17" t="s">
        <v>1051</v>
      </c>
      <c r="G164" s="3" t="s">
        <v>3569</v>
      </c>
      <c r="H164" s="6">
        <v>10070</v>
      </c>
      <c r="I164">
        <f t="shared" si="4"/>
        <v>14</v>
      </c>
      <c r="J164">
        <f t="shared" si="5"/>
        <v>97</v>
      </c>
    </row>
    <row r="165" spans="2:10" ht="15.5" x14ac:dyDescent="0.35">
      <c r="B165" s="3" t="s">
        <v>219</v>
      </c>
      <c r="C165" s="16" t="s">
        <v>2767</v>
      </c>
      <c r="D165" s="17" t="s">
        <v>861</v>
      </c>
      <c r="E165" s="16" t="s">
        <v>1908</v>
      </c>
      <c r="F165" s="17" t="s">
        <v>1077</v>
      </c>
      <c r="G165" s="3" t="s">
        <v>3570</v>
      </c>
      <c r="H165" s="6">
        <v>11468.704</v>
      </c>
      <c r="I165">
        <f t="shared" si="4"/>
        <v>14</v>
      </c>
      <c r="J165">
        <f t="shared" si="5"/>
        <v>97</v>
      </c>
    </row>
    <row r="166" spans="2:10" ht="15.5" x14ac:dyDescent="0.35">
      <c r="B166" s="3" t="s">
        <v>220</v>
      </c>
      <c r="C166" s="16" t="s">
        <v>2768</v>
      </c>
      <c r="D166" s="17" t="s">
        <v>861</v>
      </c>
      <c r="E166" s="16" t="s">
        <v>1909</v>
      </c>
      <c r="F166" s="17" t="s">
        <v>1078</v>
      </c>
      <c r="G166" s="3" t="s">
        <v>3571</v>
      </c>
      <c r="H166" s="6">
        <v>18441.856</v>
      </c>
      <c r="I166">
        <f t="shared" si="4"/>
        <v>12</v>
      </c>
      <c r="J166">
        <f t="shared" si="5"/>
        <v>97</v>
      </c>
    </row>
    <row r="167" spans="2:10" ht="15.5" hidden="1" x14ac:dyDescent="0.35">
      <c r="B167" s="3" t="s">
        <v>222</v>
      </c>
      <c r="C167" s="16" t="s">
        <v>2770</v>
      </c>
      <c r="D167" s="17" t="s">
        <v>861</v>
      </c>
      <c r="E167" s="16" t="s">
        <v>1911</v>
      </c>
      <c r="F167" s="17" t="s">
        <v>1080</v>
      </c>
      <c r="G167" s="3" t="s">
        <v>3572</v>
      </c>
      <c r="H167" s="6">
        <v>6435.3759999999993</v>
      </c>
      <c r="I167">
        <f t="shared" si="4"/>
        <v>76</v>
      </c>
      <c r="J167">
        <f t="shared" si="5"/>
        <v>73</v>
      </c>
    </row>
    <row r="168" spans="2:10" ht="15.5" x14ac:dyDescent="0.35">
      <c r="B168" s="3" t="s">
        <v>224</v>
      </c>
      <c r="C168" s="16" t="s">
        <v>2772</v>
      </c>
      <c r="D168" s="17" t="s">
        <v>861</v>
      </c>
      <c r="E168" s="16" t="s">
        <v>1913</v>
      </c>
      <c r="F168" s="17" t="s">
        <v>1082</v>
      </c>
      <c r="G168" s="3" t="s">
        <v>3573</v>
      </c>
      <c r="H168" s="6">
        <v>7848.9759999999997</v>
      </c>
      <c r="I168">
        <f t="shared" si="4"/>
        <v>6</v>
      </c>
      <c r="J168">
        <f t="shared" si="5"/>
        <v>97</v>
      </c>
    </row>
    <row r="169" spans="2:10" ht="15.5" hidden="1" x14ac:dyDescent="0.35">
      <c r="B169" s="3" t="s">
        <v>226</v>
      </c>
      <c r="C169" s="16" t="s">
        <v>2774</v>
      </c>
      <c r="D169" s="17" t="s">
        <v>860</v>
      </c>
      <c r="E169" s="16" t="s">
        <v>1915</v>
      </c>
      <c r="F169" s="17" t="s">
        <v>1084</v>
      </c>
      <c r="G169" s="3" t="s">
        <v>3574</v>
      </c>
      <c r="H169" s="6">
        <v>5857.4719999999998</v>
      </c>
      <c r="I169">
        <f t="shared" si="4"/>
        <v>78</v>
      </c>
      <c r="J169">
        <f t="shared" si="5"/>
        <v>73</v>
      </c>
    </row>
    <row r="170" spans="2:10" ht="15.5" x14ac:dyDescent="0.35">
      <c r="B170" s="3" t="s">
        <v>227</v>
      </c>
      <c r="C170" s="16" t="s">
        <v>2775</v>
      </c>
      <c r="D170" s="17" t="s">
        <v>861</v>
      </c>
      <c r="E170" s="16" t="s">
        <v>1916</v>
      </c>
      <c r="F170" s="17" t="s">
        <v>1085</v>
      </c>
      <c r="G170" s="3" t="s">
        <v>3575</v>
      </c>
      <c r="H170" s="6">
        <v>19202.464</v>
      </c>
      <c r="I170">
        <f t="shared" si="4"/>
        <v>14</v>
      </c>
      <c r="J170">
        <f t="shared" si="5"/>
        <v>97</v>
      </c>
    </row>
    <row r="171" spans="2:10" ht="15.5" hidden="1" x14ac:dyDescent="0.35">
      <c r="B171" s="3" t="s">
        <v>228</v>
      </c>
      <c r="C171" s="16" t="s">
        <v>2776</v>
      </c>
      <c r="D171" s="17" t="s">
        <v>860</v>
      </c>
      <c r="E171" s="16" t="s">
        <v>1917</v>
      </c>
      <c r="F171" s="17" t="s">
        <v>1086</v>
      </c>
      <c r="G171" s="3" t="s">
        <v>3576</v>
      </c>
      <c r="H171" s="6">
        <v>11023.343999999999</v>
      </c>
      <c r="I171">
        <f t="shared" si="4"/>
        <v>92</v>
      </c>
      <c r="J171">
        <f t="shared" si="5"/>
        <v>73</v>
      </c>
    </row>
    <row r="172" spans="2:10" ht="15.5" x14ac:dyDescent="0.35">
      <c r="B172" s="3" t="s">
        <v>229</v>
      </c>
      <c r="C172" s="16" t="s">
        <v>2777</v>
      </c>
      <c r="D172" s="17" t="s">
        <v>861</v>
      </c>
      <c r="E172" s="16" t="s">
        <v>1918</v>
      </c>
      <c r="F172" s="17" t="s">
        <v>1087</v>
      </c>
      <c r="G172" s="3" t="s">
        <v>3577</v>
      </c>
      <c r="H172" s="6">
        <v>21577.311999999998</v>
      </c>
      <c r="I172">
        <f t="shared" si="4"/>
        <v>6</v>
      </c>
      <c r="J172">
        <f t="shared" si="5"/>
        <v>97</v>
      </c>
    </row>
    <row r="173" spans="2:10" ht="15.5" hidden="1" x14ac:dyDescent="0.35">
      <c r="B173" s="3" t="s">
        <v>230</v>
      </c>
      <c r="C173" s="16" t="s">
        <v>2778</v>
      </c>
      <c r="D173" s="17" t="s">
        <v>861</v>
      </c>
      <c r="E173" s="16" t="s">
        <v>1919</v>
      </c>
      <c r="F173" s="17" t="s">
        <v>1088</v>
      </c>
      <c r="G173" s="3" t="s">
        <v>3577</v>
      </c>
      <c r="H173" s="6">
        <v>24388.703999999998</v>
      </c>
      <c r="I173">
        <f t="shared" si="4"/>
        <v>91</v>
      </c>
      <c r="J173">
        <f t="shared" si="5"/>
        <v>73</v>
      </c>
    </row>
    <row r="174" spans="2:10" ht="15.5" hidden="1" x14ac:dyDescent="0.35">
      <c r="B174" s="3" t="s">
        <v>233</v>
      </c>
      <c r="C174" s="16" t="s">
        <v>2781</v>
      </c>
      <c r="D174" s="17" t="s">
        <v>861</v>
      </c>
      <c r="E174" s="16" t="s">
        <v>1922</v>
      </c>
      <c r="F174" s="17" t="s">
        <v>1091</v>
      </c>
      <c r="G174" s="3" t="s">
        <v>3578</v>
      </c>
      <c r="H174" s="6">
        <v>16398.671999999999</v>
      </c>
      <c r="I174">
        <f t="shared" si="4"/>
        <v>92</v>
      </c>
      <c r="J174">
        <f t="shared" si="5"/>
        <v>73</v>
      </c>
    </row>
    <row r="175" spans="2:10" ht="15.5" hidden="1" x14ac:dyDescent="0.35">
      <c r="B175" s="3" t="s">
        <v>234</v>
      </c>
      <c r="C175" s="16" t="s">
        <v>2782</v>
      </c>
      <c r="D175" s="17" t="s">
        <v>860</v>
      </c>
      <c r="E175" s="16" t="s">
        <v>1923</v>
      </c>
      <c r="F175" s="17" t="s">
        <v>1092</v>
      </c>
      <c r="G175" s="3" t="s">
        <v>3579</v>
      </c>
      <c r="H175" s="6">
        <v>8473.3919999999998</v>
      </c>
      <c r="I175">
        <f t="shared" si="4"/>
        <v>90</v>
      </c>
      <c r="J175">
        <f t="shared" si="5"/>
        <v>73</v>
      </c>
    </row>
    <row r="176" spans="2:10" ht="15.5" x14ac:dyDescent="0.35">
      <c r="B176" s="3" t="s">
        <v>236</v>
      </c>
      <c r="C176" s="16" t="s">
        <v>2784</v>
      </c>
      <c r="D176" s="17" t="s">
        <v>861</v>
      </c>
      <c r="E176" s="16" t="s">
        <v>1925</v>
      </c>
      <c r="F176" s="17" t="s">
        <v>1094</v>
      </c>
      <c r="G176" s="3" t="s">
        <v>3580</v>
      </c>
      <c r="H176" s="6">
        <v>17135.567999999999</v>
      </c>
      <c r="I176">
        <f t="shared" si="4"/>
        <v>5</v>
      </c>
      <c r="J176">
        <f t="shared" si="5"/>
        <v>97</v>
      </c>
    </row>
    <row r="177" spans="2:10" ht="15.5" x14ac:dyDescent="0.35">
      <c r="B177" s="3" t="s">
        <v>3581</v>
      </c>
      <c r="C177" s="16" t="s">
        <v>3582</v>
      </c>
      <c r="D177" s="17" t="s">
        <v>860</v>
      </c>
      <c r="E177" s="16" t="s">
        <v>3583</v>
      </c>
      <c r="F177" s="17" t="s">
        <v>3584</v>
      </c>
      <c r="G177" s="3" t="s">
        <v>3585</v>
      </c>
      <c r="H177" s="6">
        <v>13656.592000000001</v>
      </c>
      <c r="I177">
        <f t="shared" si="4"/>
        <v>14</v>
      </c>
      <c r="J177">
        <f t="shared" si="5"/>
        <v>97</v>
      </c>
    </row>
    <row r="178" spans="2:10" ht="15.5" hidden="1" x14ac:dyDescent="0.35">
      <c r="B178" s="3" t="s">
        <v>3586</v>
      </c>
      <c r="C178" s="16" t="s">
        <v>3587</v>
      </c>
      <c r="D178" s="17" t="s">
        <v>861</v>
      </c>
      <c r="E178" s="16" t="s">
        <v>3588</v>
      </c>
      <c r="F178" s="17" t="s">
        <v>3589</v>
      </c>
      <c r="G178" s="3" t="s">
        <v>3590</v>
      </c>
      <c r="H178" s="6">
        <v>5602.72</v>
      </c>
      <c r="I178">
        <f t="shared" si="4"/>
        <v>93</v>
      </c>
      <c r="J178">
        <f t="shared" si="5"/>
        <v>73</v>
      </c>
    </row>
    <row r="179" spans="2:10" ht="15.5" x14ac:dyDescent="0.35">
      <c r="B179" s="3" t="s">
        <v>237</v>
      </c>
      <c r="C179" s="16" t="s">
        <v>2785</v>
      </c>
      <c r="D179" s="17" t="s">
        <v>861</v>
      </c>
      <c r="E179" s="16" t="s">
        <v>1926</v>
      </c>
      <c r="F179" s="17" t="s">
        <v>1095</v>
      </c>
      <c r="G179" s="3" t="s">
        <v>3591</v>
      </c>
      <c r="H179" s="6">
        <v>16772.896000000001</v>
      </c>
      <c r="I179">
        <f t="shared" si="4"/>
        <v>12</v>
      </c>
      <c r="J179">
        <f t="shared" si="5"/>
        <v>97</v>
      </c>
    </row>
    <row r="180" spans="2:10" ht="15.5" x14ac:dyDescent="0.35">
      <c r="B180" s="3" t="s">
        <v>238</v>
      </c>
      <c r="C180" s="16" t="s">
        <v>2786</v>
      </c>
      <c r="D180" s="17" t="s">
        <v>861</v>
      </c>
      <c r="E180" s="16" t="s">
        <v>1927</v>
      </c>
      <c r="F180" s="17" t="s">
        <v>1096</v>
      </c>
      <c r="G180" s="3" t="s">
        <v>3592</v>
      </c>
      <c r="H180" s="6">
        <v>14165.183999999999</v>
      </c>
      <c r="I180">
        <f t="shared" si="4"/>
        <v>9</v>
      </c>
      <c r="J180">
        <f t="shared" si="5"/>
        <v>97</v>
      </c>
    </row>
    <row r="181" spans="2:10" ht="15.5" x14ac:dyDescent="0.35">
      <c r="B181" s="3" t="s">
        <v>241</v>
      </c>
      <c r="C181" s="16" t="s">
        <v>2789</v>
      </c>
      <c r="D181" s="17" t="s">
        <v>861</v>
      </c>
      <c r="E181" s="16" t="s">
        <v>1930</v>
      </c>
      <c r="F181" s="17" t="s">
        <v>1099</v>
      </c>
      <c r="G181" s="3" t="s">
        <v>3593</v>
      </c>
      <c r="H181" s="6">
        <v>13798.56</v>
      </c>
      <c r="I181">
        <f t="shared" si="4"/>
        <v>14</v>
      </c>
      <c r="J181">
        <f t="shared" si="5"/>
        <v>97</v>
      </c>
    </row>
    <row r="182" spans="2:10" ht="15.5" x14ac:dyDescent="0.35">
      <c r="B182" s="3" t="s">
        <v>242</v>
      </c>
      <c r="C182" s="16" t="s">
        <v>2790</v>
      </c>
      <c r="D182" s="17" t="s">
        <v>861</v>
      </c>
      <c r="E182" s="16" t="s">
        <v>1931</v>
      </c>
      <c r="F182" s="17" t="s">
        <v>1100</v>
      </c>
      <c r="G182" s="3" t="s">
        <v>3594</v>
      </c>
      <c r="H182" s="6">
        <v>12287.679999999998</v>
      </c>
      <c r="I182">
        <f t="shared" si="4"/>
        <v>7</v>
      </c>
      <c r="J182">
        <f t="shared" si="5"/>
        <v>97</v>
      </c>
    </row>
    <row r="183" spans="2:10" ht="15.5" x14ac:dyDescent="0.35">
      <c r="B183" s="3" t="s">
        <v>243</v>
      </c>
      <c r="C183" s="16" t="s">
        <v>2791</v>
      </c>
      <c r="D183" s="17" t="s">
        <v>861</v>
      </c>
      <c r="E183" s="16" t="s">
        <v>1932</v>
      </c>
      <c r="F183" s="17" t="s">
        <v>1101</v>
      </c>
      <c r="G183" s="3" t="s">
        <v>3595</v>
      </c>
      <c r="H183" s="6">
        <v>19260.223999999998</v>
      </c>
      <c r="I183">
        <f t="shared" si="4"/>
        <v>8</v>
      </c>
      <c r="J183">
        <f t="shared" si="5"/>
        <v>97</v>
      </c>
    </row>
    <row r="184" spans="2:10" ht="15.5" x14ac:dyDescent="0.35">
      <c r="B184" s="3" t="s">
        <v>246</v>
      </c>
      <c r="C184" s="16" t="s">
        <v>2794</v>
      </c>
      <c r="D184" s="17" t="s">
        <v>861</v>
      </c>
      <c r="E184" s="16" t="s">
        <v>1935</v>
      </c>
      <c r="F184" s="17" t="s">
        <v>1104</v>
      </c>
      <c r="G184" s="3" t="s">
        <v>3596</v>
      </c>
      <c r="H184" s="6">
        <v>8326.56</v>
      </c>
      <c r="I184">
        <f t="shared" si="4"/>
        <v>4</v>
      </c>
      <c r="J184">
        <f t="shared" si="5"/>
        <v>97</v>
      </c>
    </row>
    <row r="185" spans="2:10" ht="15.5" x14ac:dyDescent="0.35">
      <c r="B185" s="3" t="s">
        <v>247</v>
      </c>
      <c r="C185" s="16" t="s">
        <v>2795</v>
      </c>
      <c r="D185" s="17" t="s">
        <v>861</v>
      </c>
      <c r="E185" s="16" t="s">
        <v>1936</v>
      </c>
      <c r="F185" s="17" t="s">
        <v>1105</v>
      </c>
      <c r="G185" s="3" t="s">
        <v>3597</v>
      </c>
      <c r="H185" s="6">
        <v>6000.655999999999</v>
      </c>
      <c r="I185">
        <f t="shared" si="4"/>
        <v>14</v>
      </c>
      <c r="J185">
        <f t="shared" si="5"/>
        <v>97</v>
      </c>
    </row>
    <row r="186" spans="2:10" ht="15.5" x14ac:dyDescent="0.35">
      <c r="B186" s="3" t="s">
        <v>248</v>
      </c>
      <c r="C186" s="16" t="s">
        <v>2796</v>
      </c>
      <c r="D186" s="17" t="s">
        <v>861</v>
      </c>
      <c r="E186" s="16" t="s">
        <v>1937</v>
      </c>
      <c r="F186" s="17" t="s">
        <v>1106</v>
      </c>
      <c r="G186" s="3" t="s">
        <v>3598</v>
      </c>
      <c r="H186" s="6">
        <v>22369.84</v>
      </c>
      <c r="I186">
        <f t="shared" si="4"/>
        <v>8</v>
      </c>
      <c r="J186">
        <f t="shared" si="5"/>
        <v>97</v>
      </c>
    </row>
    <row r="187" spans="2:10" ht="15.5" hidden="1" x14ac:dyDescent="0.35">
      <c r="B187" s="3" t="s">
        <v>249</v>
      </c>
      <c r="C187" s="16" t="s">
        <v>2797</v>
      </c>
      <c r="D187" s="17" t="s">
        <v>860</v>
      </c>
      <c r="E187" s="16" t="s">
        <v>1938</v>
      </c>
      <c r="F187" s="17" t="s">
        <v>1107</v>
      </c>
      <c r="G187" s="3" t="s">
        <v>3599</v>
      </c>
      <c r="H187" s="6">
        <v>10498.944</v>
      </c>
      <c r="I187">
        <f t="shared" si="4"/>
        <v>92</v>
      </c>
      <c r="J187">
        <f t="shared" si="5"/>
        <v>73</v>
      </c>
    </row>
    <row r="188" spans="2:10" ht="15.5" x14ac:dyDescent="0.35">
      <c r="B188" s="3" t="s">
        <v>250</v>
      </c>
      <c r="C188" s="16" t="s">
        <v>2798</v>
      </c>
      <c r="D188" s="17" t="s">
        <v>861</v>
      </c>
      <c r="E188" s="16" t="s">
        <v>1939</v>
      </c>
      <c r="F188" s="17" t="s">
        <v>1108</v>
      </c>
      <c r="G188" s="3" t="s">
        <v>3600</v>
      </c>
      <c r="H188" s="6">
        <v>9179.2799999999988</v>
      </c>
      <c r="I188">
        <f t="shared" si="4"/>
        <v>7</v>
      </c>
      <c r="J188">
        <f t="shared" si="5"/>
        <v>97</v>
      </c>
    </row>
    <row r="189" spans="2:10" ht="15.5" x14ac:dyDescent="0.35">
      <c r="B189" s="3" t="s">
        <v>252</v>
      </c>
      <c r="C189" s="16" t="s">
        <v>2800</v>
      </c>
      <c r="D189" s="17" t="s">
        <v>860</v>
      </c>
      <c r="E189" s="16" t="s">
        <v>1941</v>
      </c>
      <c r="F189" s="17" t="s">
        <v>1110</v>
      </c>
      <c r="G189" s="3" t="s">
        <v>3601</v>
      </c>
      <c r="H189" s="6">
        <v>15892.815999999999</v>
      </c>
      <c r="I189">
        <f t="shared" si="4"/>
        <v>4</v>
      </c>
      <c r="J189">
        <f t="shared" si="5"/>
        <v>97</v>
      </c>
    </row>
    <row r="190" spans="2:10" ht="15.5" x14ac:dyDescent="0.35">
      <c r="B190" s="3" t="s">
        <v>253</v>
      </c>
      <c r="C190" s="16" t="s">
        <v>2801</v>
      </c>
      <c r="D190" s="17" t="s">
        <v>860</v>
      </c>
      <c r="E190" s="16" t="s">
        <v>1942</v>
      </c>
      <c r="F190" s="17" t="s">
        <v>1111</v>
      </c>
      <c r="G190" s="3" t="s">
        <v>3602</v>
      </c>
      <c r="H190" s="6">
        <v>7430.0639999999994</v>
      </c>
      <c r="I190">
        <f t="shared" si="4"/>
        <v>10</v>
      </c>
      <c r="J190">
        <f t="shared" si="5"/>
        <v>97</v>
      </c>
    </row>
    <row r="191" spans="2:10" ht="15.5" hidden="1" x14ac:dyDescent="0.35">
      <c r="B191" s="3" t="s">
        <v>254</v>
      </c>
      <c r="C191" s="16" t="s">
        <v>2802</v>
      </c>
      <c r="D191" s="17" t="s">
        <v>861</v>
      </c>
      <c r="E191" s="16" t="s">
        <v>1943</v>
      </c>
      <c r="F191" s="17" t="s">
        <v>1112</v>
      </c>
      <c r="G191" s="3" t="s">
        <v>3602</v>
      </c>
      <c r="H191" s="6">
        <v>18507.215999999997</v>
      </c>
      <c r="I191">
        <f t="shared" si="4"/>
        <v>78</v>
      </c>
      <c r="J191">
        <f t="shared" si="5"/>
        <v>73</v>
      </c>
    </row>
    <row r="192" spans="2:10" ht="15.5" hidden="1" x14ac:dyDescent="0.35">
      <c r="B192" s="3" t="s">
        <v>255</v>
      </c>
      <c r="C192" s="16" t="s">
        <v>2803</v>
      </c>
      <c r="D192" s="17" t="s">
        <v>861</v>
      </c>
      <c r="E192" s="16" t="s">
        <v>1944</v>
      </c>
      <c r="F192" s="17" t="s">
        <v>1113</v>
      </c>
      <c r="G192" s="3" t="s">
        <v>3603</v>
      </c>
      <c r="H192" s="6">
        <v>7381.12</v>
      </c>
      <c r="I192">
        <f t="shared" si="4"/>
        <v>88</v>
      </c>
      <c r="J192">
        <f t="shared" si="5"/>
        <v>73</v>
      </c>
    </row>
    <row r="193" spans="2:10" ht="15.5" x14ac:dyDescent="0.35">
      <c r="B193" s="3" t="s">
        <v>256</v>
      </c>
      <c r="C193" s="16" t="s">
        <v>2804</v>
      </c>
      <c r="D193" s="17" t="s">
        <v>860</v>
      </c>
      <c r="E193" s="16" t="s">
        <v>1945</v>
      </c>
      <c r="F193" s="17" t="s">
        <v>1114</v>
      </c>
      <c r="G193" s="3" t="s">
        <v>3604</v>
      </c>
      <c r="H193" s="6">
        <v>19443.84</v>
      </c>
      <c r="I193">
        <f t="shared" si="4"/>
        <v>14</v>
      </c>
      <c r="J193">
        <f t="shared" si="5"/>
        <v>97</v>
      </c>
    </row>
    <row r="194" spans="2:10" ht="15.5" hidden="1" x14ac:dyDescent="0.35">
      <c r="B194" s="3" t="s">
        <v>257</v>
      </c>
      <c r="C194" s="16" t="s">
        <v>2805</v>
      </c>
      <c r="D194" s="17" t="s">
        <v>860</v>
      </c>
      <c r="E194" s="16" t="s">
        <v>1946</v>
      </c>
      <c r="F194" s="17" t="s">
        <v>1115</v>
      </c>
      <c r="G194" s="3" t="s">
        <v>3605</v>
      </c>
      <c r="H194" s="6">
        <v>7870.5599999999986</v>
      </c>
      <c r="I194">
        <f t="shared" si="4"/>
        <v>87</v>
      </c>
      <c r="J194">
        <f t="shared" si="5"/>
        <v>73</v>
      </c>
    </row>
    <row r="195" spans="2:10" ht="15.5" x14ac:dyDescent="0.35">
      <c r="B195" s="3" t="s">
        <v>258</v>
      </c>
      <c r="C195" s="16" t="s">
        <v>2806</v>
      </c>
      <c r="D195" s="17" t="s">
        <v>860</v>
      </c>
      <c r="E195" s="16" t="s">
        <v>1947</v>
      </c>
      <c r="F195" s="17" t="s">
        <v>1116</v>
      </c>
      <c r="G195" s="3" t="s">
        <v>3605</v>
      </c>
      <c r="H195" s="6">
        <v>13217.92</v>
      </c>
      <c r="I195">
        <f t="shared" si="4"/>
        <v>3</v>
      </c>
      <c r="J195">
        <f t="shared" si="5"/>
        <v>97</v>
      </c>
    </row>
    <row r="196" spans="2:10" ht="15.5" x14ac:dyDescent="0.35">
      <c r="B196" s="3" t="s">
        <v>259</v>
      </c>
      <c r="C196" s="16" t="s">
        <v>2807</v>
      </c>
      <c r="D196" s="17" t="s">
        <v>861</v>
      </c>
      <c r="E196" s="16" t="s">
        <v>1948</v>
      </c>
      <c r="F196" s="17" t="s">
        <v>1117</v>
      </c>
      <c r="G196" s="3" t="s">
        <v>3606</v>
      </c>
      <c r="H196" s="6">
        <v>18177.68</v>
      </c>
      <c r="I196">
        <f t="shared" ref="I196:I259" si="6">_xlfn.NUMBERVALUE(MID(C196,3,2))</f>
        <v>9</v>
      </c>
      <c r="J196">
        <f t="shared" ref="J196:J259" si="7">IF(I196&gt;25,IF(I196&lt;=97,73,97),97)</f>
        <v>97</v>
      </c>
    </row>
    <row r="197" spans="2:10" ht="15.5" x14ac:dyDescent="0.35">
      <c r="B197" s="3" t="s">
        <v>260</v>
      </c>
      <c r="C197" s="16" t="s">
        <v>2808</v>
      </c>
      <c r="D197" s="17" t="s">
        <v>861</v>
      </c>
      <c r="E197" s="16" t="s">
        <v>1949</v>
      </c>
      <c r="F197" s="17" t="s">
        <v>1118</v>
      </c>
      <c r="G197" s="3" t="s">
        <v>3607</v>
      </c>
      <c r="H197" s="6">
        <v>7430.0639999999994</v>
      </c>
      <c r="I197">
        <f t="shared" si="6"/>
        <v>0</v>
      </c>
      <c r="J197">
        <f t="shared" si="7"/>
        <v>97</v>
      </c>
    </row>
    <row r="198" spans="2:10" ht="15.5" x14ac:dyDescent="0.35">
      <c r="B198" s="3" t="s">
        <v>261</v>
      </c>
      <c r="C198" s="16" t="s">
        <v>2809</v>
      </c>
      <c r="D198" s="17" t="s">
        <v>861</v>
      </c>
      <c r="E198" s="16" t="s">
        <v>1950</v>
      </c>
      <c r="F198" s="17" t="s">
        <v>1119</v>
      </c>
      <c r="G198" s="3" t="s">
        <v>3608</v>
      </c>
      <c r="H198" s="6">
        <v>11595.776</v>
      </c>
      <c r="I198">
        <f t="shared" si="6"/>
        <v>14</v>
      </c>
      <c r="J198">
        <f t="shared" si="7"/>
        <v>97</v>
      </c>
    </row>
    <row r="199" spans="2:10" ht="15.5" x14ac:dyDescent="0.35">
      <c r="B199" s="3" t="s">
        <v>262</v>
      </c>
      <c r="C199" s="16" t="s">
        <v>2810</v>
      </c>
      <c r="D199" s="17" t="s">
        <v>861</v>
      </c>
      <c r="E199" s="16" t="s">
        <v>1951</v>
      </c>
      <c r="F199" s="17" t="s">
        <v>1120</v>
      </c>
      <c r="G199" s="3" t="s">
        <v>3609</v>
      </c>
      <c r="H199" s="6">
        <v>15753.28</v>
      </c>
      <c r="I199">
        <f t="shared" si="6"/>
        <v>7</v>
      </c>
      <c r="J199">
        <f t="shared" si="7"/>
        <v>97</v>
      </c>
    </row>
    <row r="200" spans="2:10" ht="15.5" hidden="1" x14ac:dyDescent="0.35">
      <c r="B200" s="3" t="s">
        <v>264</v>
      </c>
      <c r="C200" s="16" t="s">
        <v>2812</v>
      </c>
      <c r="D200" s="17" t="s">
        <v>861</v>
      </c>
      <c r="E200" s="16" t="s">
        <v>1953</v>
      </c>
      <c r="F200" s="17" t="s">
        <v>1122</v>
      </c>
      <c r="G200" s="3" t="s">
        <v>3610</v>
      </c>
      <c r="H200" s="6">
        <v>5632.2079999999996</v>
      </c>
      <c r="I200">
        <f t="shared" si="6"/>
        <v>89</v>
      </c>
      <c r="J200">
        <f t="shared" si="7"/>
        <v>73</v>
      </c>
    </row>
    <row r="201" spans="2:10" ht="15.5" x14ac:dyDescent="0.35">
      <c r="B201" s="3" t="s">
        <v>265</v>
      </c>
      <c r="C201" s="16" t="s">
        <v>2813</v>
      </c>
      <c r="D201" s="17" t="s">
        <v>861</v>
      </c>
      <c r="E201" s="16" t="s">
        <v>1954</v>
      </c>
      <c r="F201" s="17" t="s">
        <v>1123</v>
      </c>
      <c r="G201" s="3" t="s">
        <v>3611</v>
      </c>
      <c r="H201" s="6">
        <v>10073.951999999999</v>
      </c>
      <c r="I201">
        <f t="shared" si="6"/>
        <v>7</v>
      </c>
      <c r="J201">
        <f t="shared" si="7"/>
        <v>97</v>
      </c>
    </row>
    <row r="202" spans="2:10" ht="15.5" hidden="1" x14ac:dyDescent="0.35">
      <c r="B202" s="3" t="s">
        <v>266</v>
      </c>
      <c r="C202" s="16" t="s">
        <v>2814</v>
      </c>
      <c r="D202" s="17" t="s">
        <v>861</v>
      </c>
      <c r="E202" s="16" t="s">
        <v>1955</v>
      </c>
      <c r="F202" s="17" t="s">
        <v>1124</v>
      </c>
      <c r="G202" s="3" t="s">
        <v>3612</v>
      </c>
      <c r="H202" s="6">
        <v>9079.8719999999994</v>
      </c>
      <c r="I202">
        <f t="shared" si="6"/>
        <v>80</v>
      </c>
      <c r="J202">
        <f t="shared" si="7"/>
        <v>73</v>
      </c>
    </row>
    <row r="203" spans="2:10" ht="15.5" x14ac:dyDescent="0.35">
      <c r="B203" s="3" t="s">
        <v>267</v>
      </c>
      <c r="C203" s="16" t="s">
        <v>2815</v>
      </c>
      <c r="D203" s="17" t="s">
        <v>861</v>
      </c>
      <c r="E203" s="16" t="s">
        <v>1956</v>
      </c>
      <c r="F203" s="17" t="s">
        <v>1125</v>
      </c>
      <c r="G203" s="3" t="s">
        <v>3613</v>
      </c>
      <c r="H203" s="6">
        <v>17380.896000000001</v>
      </c>
      <c r="I203">
        <f t="shared" si="6"/>
        <v>4</v>
      </c>
      <c r="J203">
        <f t="shared" si="7"/>
        <v>97</v>
      </c>
    </row>
    <row r="204" spans="2:10" ht="15.5" x14ac:dyDescent="0.35">
      <c r="B204" s="3" t="s">
        <v>269</v>
      </c>
      <c r="C204" s="16" t="s">
        <v>2817</v>
      </c>
      <c r="D204" s="17" t="s">
        <v>860</v>
      </c>
      <c r="E204" s="16" t="s">
        <v>1958</v>
      </c>
      <c r="F204" s="17" t="s">
        <v>1127</v>
      </c>
      <c r="G204" s="3" t="s">
        <v>3614</v>
      </c>
      <c r="H204" s="6">
        <v>27210.128000000001</v>
      </c>
      <c r="I204">
        <f t="shared" si="6"/>
        <v>0</v>
      </c>
      <c r="J204">
        <f t="shared" si="7"/>
        <v>97</v>
      </c>
    </row>
    <row r="205" spans="2:10" ht="15.5" hidden="1" x14ac:dyDescent="0.35">
      <c r="B205" s="3" t="s">
        <v>271</v>
      </c>
      <c r="C205" s="16" t="s">
        <v>2819</v>
      </c>
      <c r="D205" s="17" t="s">
        <v>860</v>
      </c>
      <c r="E205" s="16" t="s">
        <v>1960</v>
      </c>
      <c r="F205" s="17" t="s">
        <v>1129</v>
      </c>
      <c r="G205" s="3" t="s">
        <v>3615</v>
      </c>
      <c r="H205" s="6">
        <v>22011.423999999999</v>
      </c>
      <c r="I205">
        <f t="shared" si="6"/>
        <v>92</v>
      </c>
      <c r="J205">
        <f t="shared" si="7"/>
        <v>73</v>
      </c>
    </row>
    <row r="206" spans="2:10" ht="15.5" x14ac:dyDescent="0.35">
      <c r="B206" s="3" t="s">
        <v>272</v>
      </c>
      <c r="C206" s="16" t="s">
        <v>2820</v>
      </c>
      <c r="D206" s="17" t="s">
        <v>860</v>
      </c>
      <c r="E206" s="16" t="s">
        <v>1961</v>
      </c>
      <c r="F206" s="17" t="s">
        <v>1130</v>
      </c>
      <c r="G206" s="3" t="s">
        <v>3615</v>
      </c>
      <c r="H206" s="6">
        <v>12936.111999999999</v>
      </c>
      <c r="I206">
        <f t="shared" si="6"/>
        <v>15</v>
      </c>
      <c r="J206">
        <f t="shared" si="7"/>
        <v>97</v>
      </c>
    </row>
    <row r="207" spans="2:10" ht="15.5" x14ac:dyDescent="0.35">
      <c r="B207" s="3" t="s">
        <v>275</v>
      </c>
      <c r="C207" s="16" t="s">
        <v>2823</v>
      </c>
      <c r="D207" s="17" t="s">
        <v>860</v>
      </c>
      <c r="E207" s="16" t="s">
        <v>1964</v>
      </c>
      <c r="F207" s="17" t="s">
        <v>1133</v>
      </c>
      <c r="G207" s="3" t="s">
        <v>3616</v>
      </c>
      <c r="H207" s="6">
        <v>18738.863999999998</v>
      </c>
      <c r="I207">
        <f t="shared" si="6"/>
        <v>6</v>
      </c>
      <c r="J207">
        <f t="shared" si="7"/>
        <v>97</v>
      </c>
    </row>
    <row r="208" spans="2:10" ht="15.5" x14ac:dyDescent="0.35">
      <c r="B208" s="3" t="s">
        <v>276</v>
      </c>
      <c r="C208" s="16" t="s">
        <v>2824</v>
      </c>
      <c r="D208" s="17" t="s">
        <v>861</v>
      </c>
      <c r="E208" s="16" t="s">
        <v>1965</v>
      </c>
      <c r="F208" s="17" t="s">
        <v>1134</v>
      </c>
      <c r="G208" s="3" t="s">
        <v>3617</v>
      </c>
      <c r="H208" s="6">
        <v>19748.144</v>
      </c>
      <c r="I208">
        <f t="shared" si="6"/>
        <v>4</v>
      </c>
      <c r="J208">
        <f t="shared" si="7"/>
        <v>97</v>
      </c>
    </row>
    <row r="209" spans="2:10" ht="15.5" x14ac:dyDescent="0.35">
      <c r="B209" s="3" t="s">
        <v>277</v>
      </c>
      <c r="C209" s="16" t="s">
        <v>2825</v>
      </c>
      <c r="D209" s="17" t="s">
        <v>861</v>
      </c>
      <c r="E209" s="16" t="s">
        <v>1966</v>
      </c>
      <c r="F209" s="17" t="s">
        <v>1135</v>
      </c>
      <c r="G209" s="3" t="s">
        <v>3618</v>
      </c>
      <c r="H209" s="6">
        <v>14659.791999999999</v>
      </c>
      <c r="I209">
        <f t="shared" si="6"/>
        <v>15</v>
      </c>
      <c r="J209">
        <f t="shared" si="7"/>
        <v>97</v>
      </c>
    </row>
    <row r="210" spans="2:10" ht="15.5" x14ac:dyDescent="0.35">
      <c r="B210" s="3" t="s">
        <v>278</v>
      </c>
      <c r="C210" s="16" t="s">
        <v>2826</v>
      </c>
      <c r="D210" s="17" t="s">
        <v>861</v>
      </c>
      <c r="E210" s="16" t="s">
        <v>1967</v>
      </c>
      <c r="F210" s="17" t="s">
        <v>1136</v>
      </c>
      <c r="G210" s="3" t="s">
        <v>3619</v>
      </c>
      <c r="H210" s="6">
        <v>8480.9920000000002</v>
      </c>
      <c r="I210">
        <f t="shared" si="6"/>
        <v>2</v>
      </c>
      <c r="J210">
        <f t="shared" si="7"/>
        <v>97</v>
      </c>
    </row>
    <row r="211" spans="2:10" ht="15.5" x14ac:dyDescent="0.35">
      <c r="B211" s="3" t="s">
        <v>280</v>
      </c>
      <c r="C211" s="16" t="s">
        <v>2828</v>
      </c>
      <c r="D211" s="17" t="s">
        <v>861</v>
      </c>
      <c r="E211" s="16" t="s">
        <v>1969</v>
      </c>
      <c r="F211" s="17" t="s">
        <v>1138</v>
      </c>
      <c r="G211" s="3" t="s">
        <v>3620</v>
      </c>
      <c r="H211" s="6">
        <v>11839.279999999999</v>
      </c>
      <c r="I211">
        <f t="shared" si="6"/>
        <v>11</v>
      </c>
      <c r="J211">
        <f t="shared" si="7"/>
        <v>97</v>
      </c>
    </row>
    <row r="212" spans="2:10" ht="15.5" x14ac:dyDescent="0.35">
      <c r="B212" s="3" t="s">
        <v>281</v>
      </c>
      <c r="C212" s="16" t="s">
        <v>2829</v>
      </c>
      <c r="D212" s="17" t="s">
        <v>860</v>
      </c>
      <c r="E212" s="16" t="s">
        <v>1970</v>
      </c>
      <c r="F212" s="17" t="s">
        <v>1139</v>
      </c>
      <c r="G212" s="3" t="s">
        <v>3621</v>
      </c>
      <c r="H212" s="6">
        <v>9169.2479999999996</v>
      </c>
      <c r="I212">
        <f t="shared" si="6"/>
        <v>6</v>
      </c>
      <c r="J212">
        <f t="shared" si="7"/>
        <v>97</v>
      </c>
    </row>
    <row r="213" spans="2:10" ht="15.5" hidden="1" x14ac:dyDescent="0.35">
      <c r="B213" s="3" t="s">
        <v>283</v>
      </c>
      <c r="C213" s="16" t="s">
        <v>2831</v>
      </c>
      <c r="D213" s="17" t="s">
        <v>861</v>
      </c>
      <c r="E213" s="16" t="s">
        <v>1972</v>
      </c>
      <c r="F213" s="17" t="s">
        <v>1141</v>
      </c>
      <c r="G213" s="3" t="s">
        <v>3622</v>
      </c>
      <c r="H213" s="6">
        <v>5632.2079999999996</v>
      </c>
      <c r="I213">
        <f t="shared" si="6"/>
        <v>97</v>
      </c>
      <c r="J213">
        <f t="shared" si="7"/>
        <v>73</v>
      </c>
    </row>
    <row r="214" spans="2:10" ht="15.5" hidden="1" x14ac:dyDescent="0.35">
      <c r="B214" s="3" t="s">
        <v>286</v>
      </c>
      <c r="C214" s="16" t="s">
        <v>2834</v>
      </c>
      <c r="D214" s="17" t="s">
        <v>860</v>
      </c>
      <c r="E214" s="16" t="s">
        <v>1975</v>
      </c>
      <c r="F214" s="17" t="s">
        <v>1144</v>
      </c>
      <c r="G214" s="3" t="s">
        <v>3623</v>
      </c>
      <c r="H214" s="6">
        <v>11811.311999999998</v>
      </c>
      <c r="I214">
        <f t="shared" si="6"/>
        <v>81</v>
      </c>
      <c r="J214">
        <f t="shared" si="7"/>
        <v>73</v>
      </c>
    </row>
    <row r="215" spans="2:10" ht="15.5" x14ac:dyDescent="0.35">
      <c r="B215" s="3" t="s">
        <v>287</v>
      </c>
      <c r="C215" s="16" t="s">
        <v>2835</v>
      </c>
      <c r="D215" s="17" t="s">
        <v>861</v>
      </c>
      <c r="E215" s="16" t="s">
        <v>1976</v>
      </c>
      <c r="F215" s="17" t="s">
        <v>1145</v>
      </c>
      <c r="G215" s="3" t="s">
        <v>3624</v>
      </c>
      <c r="H215" s="6">
        <v>5602.72</v>
      </c>
      <c r="I215">
        <f t="shared" si="6"/>
        <v>13</v>
      </c>
      <c r="J215">
        <f t="shared" si="7"/>
        <v>97</v>
      </c>
    </row>
    <row r="216" spans="2:10" ht="15.5" hidden="1" x14ac:dyDescent="0.35">
      <c r="B216" s="3" t="s">
        <v>288</v>
      </c>
      <c r="C216" s="16" t="s">
        <v>2836</v>
      </c>
      <c r="D216" s="17" t="s">
        <v>860</v>
      </c>
      <c r="E216" s="16" t="s">
        <v>1977</v>
      </c>
      <c r="F216" s="17" t="s">
        <v>1146</v>
      </c>
      <c r="G216" s="3" t="s">
        <v>3625</v>
      </c>
      <c r="H216" s="6">
        <v>10351.807999999999</v>
      </c>
      <c r="I216">
        <f t="shared" si="6"/>
        <v>85</v>
      </c>
      <c r="J216">
        <f t="shared" si="7"/>
        <v>73</v>
      </c>
    </row>
    <row r="217" spans="2:10" ht="15.5" x14ac:dyDescent="0.35">
      <c r="B217" s="3" t="s">
        <v>289</v>
      </c>
      <c r="C217" s="16" t="s">
        <v>2837</v>
      </c>
      <c r="D217" s="17" t="s">
        <v>860</v>
      </c>
      <c r="E217" s="16" t="s">
        <v>1978</v>
      </c>
      <c r="F217" s="17" t="s">
        <v>1147</v>
      </c>
      <c r="G217" s="3" t="s">
        <v>3626</v>
      </c>
      <c r="H217" s="6">
        <v>11377.503999999999</v>
      </c>
      <c r="I217">
        <f t="shared" si="6"/>
        <v>15</v>
      </c>
      <c r="J217">
        <f t="shared" si="7"/>
        <v>97</v>
      </c>
    </row>
    <row r="218" spans="2:10" ht="15.5" hidden="1" x14ac:dyDescent="0.35">
      <c r="B218" s="3" t="s">
        <v>290</v>
      </c>
      <c r="C218" s="16" t="s">
        <v>2838</v>
      </c>
      <c r="D218" s="17" t="s">
        <v>860</v>
      </c>
      <c r="E218" s="16" t="s">
        <v>1979</v>
      </c>
      <c r="F218" s="17" t="s">
        <v>1148</v>
      </c>
      <c r="G218" s="3" t="s">
        <v>3626</v>
      </c>
      <c r="H218" s="6">
        <v>7207.5360000000001</v>
      </c>
      <c r="I218">
        <f t="shared" si="6"/>
        <v>97</v>
      </c>
      <c r="J218">
        <f t="shared" si="7"/>
        <v>73</v>
      </c>
    </row>
    <row r="219" spans="2:10" ht="15.5" x14ac:dyDescent="0.35">
      <c r="B219" s="3" t="s">
        <v>294</v>
      </c>
      <c r="C219" s="16" t="s">
        <v>2842</v>
      </c>
      <c r="D219" s="17" t="s">
        <v>860</v>
      </c>
      <c r="E219" s="16" t="s">
        <v>1983</v>
      </c>
      <c r="F219" s="17" t="s">
        <v>1152</v>
      </c>
      <c r="G219" s="3" t="s">
        <v>3627</v>
      </c>
      <c r="H219" s="6">
        <v>61487.039999999994</v>
      </c>
      <c r="I219">
        <f t="shared" si="6"/>
        <v>6</v>
      </c>
      <c r="J219">
        <f t="shared" si="7"/>
        <v>97</v>
      </c>
    </row>
    <row r="220" spans="2:10" ht="15.5" x14ac:dyDescent="0.35">
      <c r="B220" s="3" t="s">
        <v>297</v>
      </c>
      <c r="C220" s="16" t="s">
        <v>2845</v>
      </c>
      <c r="D220" s="17" t="s">
        <v>860</v>
      </c>
      <c r="E220" s="16" t="s">
        <v>1986</v>
      </c>
      <c r="F220" s="17" t="s">
        <v>1155</v>
      </c>
      <c r="G220" s="3" t="s">
        <v>3628</v>
      </c>
      <c r="H220" s="6">
        <v>18743.423999999999</v>
      </c>
      <c r="I220">
        <f t="shared" si="6"/>
        <v>15</v>
      </c>
      <c r="J220">
        <f t="shared" si="7"/>
        <v>97</v>
      </c>
    </row>
    <row r="221" spans="2:10" ht="15.5" x14ac:dyDescent="0.35">
      <c r="B221" s="3" t="s">
        <v>299</v>
      </c>
      <c r="C221" s="16" t="s">
        <v>2847</v>
      </c>
      <c r="D221" s="17" t="s">
        <v>861</v>
      </c>
      <c r="E221" s="16" t="s">
        <v>1988</v>
      </c>
      <c r="F221" s="17" t="s">
        <v>1157</v>
      </c>
      <c r="G221" s="3" t="s">
        <v>3629</v>
      </c>
      <c r="H221" s="6">
        <v>5632.2079999999996</v>
      </c>
      <c r="I221">
        <f t="shared" si="6"/>
        <v>99</v>
      </c>
      <c r="J221">
        <f t="shared" si="7"/>
        <v>97</v>
      </c>
    </row>
    <row r="222" spans="2:10" ht="15.5" hidden="1" x14ac:dyDescent="0.35">
      <c r="B222" s="3" t="s">
        <v>300</v>
      </c>
      <c r="C222" s="16" t="s">
        <v>2848</v>
      </c>
      <c r="D222" s="17" t="s">
        <v>861</v>
      </c>
      <c r="E222" s="16" t="s">
        <v>1989</v>
      </c>
      <c r="F222" s="17" t="s">
        <v>1158</v>
      </c>
      <c r="G222" s="3" t="s">
        <v>3630</v>
      </c>
      <c r="H222" s="6">
        <v>5632.2079999999996</v>
      </c>
      <c r="I222">
        <f t="shared" si="6"/>
        <v>93</v>
      </c>
      <c r="J222">
        <f t="shared" si="7"/>
        <v>73</v>
      </c>
    </row>
    <row r="223" spans="2:10" ht="15.5" hidden="1" x14ac:dyDescent="0.35">
      <c r="B223" s="3" t="s">
        <v>301</v>
      </c>
      <c r="C223" s="16" t="s">
        <v>2849</v>
      </c>
      <c r="D223" s="17" t="s">
        <v>861</v>
      </c>
      <c r="E223" s="16" t="s">
        <v>1990</v>
      </c>
      <c r="F223" s="17" t="s">
        <v>1159</v>
      </c>
      <c r="G223" s="3" t="s">
        <v>3631</v>
      </c>
      <c r="H223" s="6">
        <v>10260.304</v>
      </c>
      <c r="I223">
        <f t="shared" si="6"/>
        <v>93</v>
      </c>
      <c r="J223">
        <f t="shared" si="7"/>
        <v>73</v>
      </c>
    </row>
    <row r="224" spans="2:10" ht="15.5" x14ac:dyDescent="0.35">
      <c r="B224" s="3" t="s">
        <v>304</v>
      </c>
      <c r="C224" s="16" t="s">
        <v>2852</v>
      </c>
      <c r="D224" s="17" t="s">
        <v>861</v>
      </c>
      <c r="E224" s="16" t="s">
        <v>1993</v>
      </c>
      <c r="F224" s="17" t="s">
        <v>1162</v>
      </c>
      <c r="G224" s="3" t="s">
        <v>3632</v>
      </c>
      <c r="H224" s="6">
        <v>5632.2079999999996</v>
      </c>
      <c r="I224">
        <f t="shared" si="6"/>
        <v>10</v>
      </c>
      <c r="J224">
        <f t="shared" si="7"/>
        <v>97</v>
      </c>
    </row>
    <row r="225" spans="2:10" ht="15.5" x14ac:dyDescent="0.35">
      <c r="B225" s="3" t="s">
        <v>305</v>
      </c>
      <c r="C225" s="16" t="s">
        <v>2853</v>
      </c>
      <c r="D225" s="17" t="s">
        <v>860</v>
      </c>
      <c r="E225" s="16" t="s">
        <v>1994</v>
      </c>
      <c r="F225" s="17" t="s">
        <v>1163</v>
      </c>
      <c r="G225" s="3" t="s">
        <v>3633</v>
      </c>
      <c r="H225" s="6">
        <v>21924.48</v>
      </c>
      <c r="I225">
        <f t="shared" si="6"/>
        <v>11</v>
      </c>
      <c r="J225">
        <f t="shared" si="7"/>
        <v>97</v>
      </c>
    </row>
    <row r="226" spans="2:10" ht="15.5" x14ac:dyDescent="0.35">
      <c r="B226" s="3" t="s">
        <v>306</v>
      </c>
      <c r="C226" s="16" t="s">
        <v>2854</v>
      </c>
      <c r="D226" s="17" t="s">
        <v>861</v>
      </c>
      <c r="E226" s="16" t="s">
        <v>1995</v>
      </c>
      <c r="F226" s="17" t="s">
        <v>1164</v>
      </c>
      <c r="G226" s="3" t="s">
        <v>3634</v>
      </c>
      <c r="H226" s="6">
        <v>9002.655999999999</v>
      </c>
      <c r="I226">
        <f t="shared" si="6"/>
        <v>4</v>
      </c>
      <c r="J226">
        <f t="shared" si="7"/>
        <v>97</v>
      </c>
    </row>
    <row r="227" spans="2:10" ht="15.5" x14ac:dyDescent="0.35">
      <c r="B227" s="3" t="s">
        <v>307</v>
      </c>
      <c r="C227" s="16" t="s">
        <v>2855</v>
      </c>
      <c r="D227" s="17" t="s">
        <v>861</v>
      </c>
      <c r="E227" s="16" t="s">
        <v>1996</v>
      </c>
      <c r="F227" s="17" t="s">
        <v>1165</v>
      </c>
      <c r="G227" s="3" t="s">
        <v>3635</v>
      </c>
      <c r="H227" s="6">
        <v>20141.823999999997</v>
      </c>
      <c r="I227">
        <f t="shared" si="6"/>
        <v>8</v>
      </c>
      <c r="J227">
        <f t="shared" si="7"/>
        <v>97</v>
      </c>
    </row>
    <row r="228" spans="2:10" ht="15.5" x14ac:dyDescent="0.35">
      <c r="B228" s="3" t="s">
        <v>308</v>
      </c>
      <c r="C228" s="16" t="s">
        <v>2856</v>
      </c>
      <c r="D228" s="17" t="s">
        <v>861</v>
      </c>
      <c r="E228" s="16" t="s">
        <v>1997</v>
      </c>
      <c r="F228" s="17" t="s">
        <v>1166</v>
      </c>
      <c r="G228" s="3" t="s">
        <v>3635</v>
      </c>
      <c r="H228" s="6">
        <v>6117.0879999999997</v>
      </c>
      <c r="I228">
        <f t="shared" si="6"/>
        <v>0</v>
      </c>
      <c r="J228">
        <f t="shared" si="7"/>
        <v>97</v>
      </c>
    </row>
    <row r="229" spans="2:10" ht="15.5" x14ac:dyDescent="0.35">
      <c r="B229" s="3" t="s">
        <v>315</v>
      </c>
      <c r="C229" s="16" t="s">
        <v>2863</v>
      </c>
      <c r="D229" s="17" t="s">
        <v>861</v>
      </c>
      <c r="E229" s="16" t="s">
        <v>2004</v>
      </c>
      <c r="F229" s="17" t="s">
        <v>1173</v>
      </c>
      <c r="G229" s="3" t="s">
        <v>3636</v>
      </c>
      <c r="H229" s="6">
        <v>14994.495999999999</v>
      </c>
      <c r="I229">
        <f t="shared" si="6"/>
        <v>5</v>
      </c>
      <c r="J229">
        <f t="shared" si="7"/>
        <v>97</v>
      </c>
    </row>
    <row r="230" spans="2:10" ht="15.5" hidden="1" x14ac:dyDescent="0.35">
      <c r="B230" s="3" t="s">
        <v>316</v>
      </c>
      <c r="C230" s="16" t="s">
        <v>2864</v>
      </c>
      <c r="D230" s="17" t="s">
        <v>861</v>
      </c>
      <c r="E230" s="16" t="s">
        <v>2005</v>
      </c>
      <c r="F230" s="17" t="s">
        <v>1174</v>
      </c>
      <c r="G230" s="3" t="s">
        <v>3637</v>
      </c>
      <c r="H230" s="6">
        <v>24388.703999999998</v>
      </c>
      <c r="I230">
        <f t="shared" si="6"/>
        <v>85</v>
      </c>
      <c r="J230">
        <f t="shared" si="7"/>
        <v>73</v>
      </c>
    </row>
    <row r="231" spans="2:10" ht="15.5" x14ac:dyDescent="0.35">
      <c r="B231" s="3" t="s">
        <v>317</v>
      </c>
      <c r="C231" s="16" t="s">
        <v>2865</v>
      </c>
      <c r="D231" s="17" t="s">
        <v>860</v>
      </c>
      <c r="E231" s="16" t="s">
        <v>2006</v>
      </c>
      <c r="F231" s="17" t="s">
        <v>1175</v>
      </c>
      <c r="G231" s="3" t="s">
        <v>3638</v>
      </c>
      <c r="H231" s="6">
        <v>12573.135999999999</v>
      </c>
      <c r="I231">
        <f t="shared" si="6"/>
        <v>98</v>
      </c>
      <c r="J231">
        <f t="shared" si="7"/>
        <v>97</v>
      </c>
    </row>
    <row r="232" spans="2:10" ht="15.5" x14ac:dyDescent="0.35">
      <c r="B232" s="3" t="s">
        <v>318</v>
      </c>
      <c r="C232" s="16" t="s">
        <v>2866</v>
      </c>
      <c r="D232" s="17" t="s">
        <v>861</v>
      </c>
      <c r="E232" s="16" t="s">
        <v>2007</v>
      </c>
      <c r="F232" s="17" t="s">
        <v>1176</v>
      </c>
      <c r="G232" s="3" t="s">
        <v>3639</v>
      </c>
      <c r="H232" s="6">
        <v>19207.936000000002</v>
      </c>
      <c r="I232">
        <f t="shared" si="6"/>
        <v>14</v>
      </c>
      <c r="J232">
        <f t="shared" si="7"/>
        <v>97</v>
      </c>
    </row>
    <row r="233" spans="2:10" ht="15.5" x14ac:dyDescent="0.35">
      <c r="B233" s="3" t="s">
        <v>320</v>
      </c>
      <c r="C233" s="16" t="s">
        <v>2868</v>
      </c>
      <c r="D233" s="17" t="s">
        <v>860</v>
      </c>
      <c r="E233" s="16" t="s">
        <v>2009</v>
      </c>
      <c r="F233" s="17" t="s">
        <v>1178</v>
      </c>
      <c r="G233" s="3" t="s">
        <v>3640</v>
      </c>
      <c r="H233" s="6">
        <v>7610.9440000000004</v>
      </c>
      <c r="I233">
        <f t="shared" si="6"/>
        <v>8</v>
      </c>
      <c r="J233">
        <f t="shared" si="7"/>
        <v>97</v>
      </c>
    </row>
    <row r="234" spans="2:10" ht="15.5" x14ac:dyDescent="0.35">
      <c r="B234" s="3" t="s">
        <v>321</v>
      </c>
      <c r="C234" s="16" t="s">
        <v>2869</v>
      </c>
      <c r="D234" s="17" t="s">
        <v>861</v>
      </c>
      <c r="E234" s="16" t="s">
        <v>2010</v>
      </c>
      <c r="F234" s="17" t="s">
        <v>1179</v>
      </c>
      <c r="G234" s="3" t="s">
        <v>3641</v>
      </c>
      <c r="H234" s="6">
        <v>5632.2079999999996</v>
      </c>
      <c r="I234">
        <f t="shared" si="6"/>
        <v>15</v>
      </c>
      <c r="J234">
        <f t="shared" si="7"/>
        <v>97</v>
      </c>
    </row>
    <row r="235" spans="2:10" ht="15.5" hidden="1" x14ac:dyDescent="0.35">
      <c r="B235" s="3" t="s">
        <v>322</v>
      </c>
      <c r="C235" s="16" t="s">
        <v>2870</v>
      </c>
      <c r="D235" s="17" t="s">
        <v>861</v>
      </c>
      <c r="E235" s="16" t="s">
        <v>2011</v>
      </c>
      <c r="F235" s="17" t="s">
        <v>1180</v>
      </c>
      <c r="G235" s="3" t="s">
        <v>3642</v>
      </c>
      <c r="H235" s="6">
        <v>10398.016</v>
      </c>
      <c r="I235">
        <f t="shared" si="6"/>
        <v>90</v>
      </c>
      <c r="J235">
        <f t="shared" si="7"/>
        <v>73</v>
      </c>
    </row>
    <row r="236" spans="2:10" ht="15.5" x14ac:dyDescent="0.35">
      <c r="B236" s="3" t="s">
        <v>323</v>
      </c>
      <c r="C236" s="16" t="s">
        <v>2871</v>
      </c>
      <c r="D236" s="17" t="s">
        <v>861</v>
      </c>
      <c r="E236" s="16" t="s">
        <v>2012</v>
      </c>
      <c r="F236" s="17" t="s">
        <v>1181</v>
      </c>
      <c r="G236" s="3" t="s">
        <v>3643</v>
      </c>
      <c r="H236" s="6">
        <v>7709.7439999999997</v>
      </c>
      <c r="I236">
        <f t="shared" si="6"/>
        <v>9</v>
      </c>
      <c r="J236">
        <f t="shared" si="7"/>
        <v>97</v>
      </c>
    </row>
    <row r="237" spans="2:10" ht="15.5" hidden="1" x14ac:dyDescent="0.35">
      <c r="B237" s="3" t="s">
        <v>325</v>
      </c>
      <c r="C237" s="16" t="s">
        <v>2873</v>
      </c>
      <c r="D237" s="17" t="s">
        <v>861</v>
      </c>
      <c r="E237" s="16" t="s">
        <v>2014</v>
      </c>
      <c r="F237" s="17" t="s">
        <v>1183</v>
      </c>
      <c r="G237" s="3" t="s">
        <v>3644</v>
      </c>
      <c r="H237" s="6">
        <v>19987.696</v>
      </c>
      <c r="I237">
        <f t="shared" si="6"/>
        <v>93</v>
      </c>
      <c r="J237">
        <f t="shared" si="7"/>
        <v>73</v>
      </c>
    </row>
    <row r="238" spans="2:10" ht="15.5" x14ac:dyDescent="0.35">
      <c r="B238" s="3" t="s">
        <v>327</v>
      </c>
      <c r="C238" s="16" t="s">
        <v>2875</v>
      </c>
      <c r="D238" s="17" t="s">
        <v>861</v>
      </c>
      <c r="E238" s="16" t="s">
        <v>2016</v>
      </c>
      <c r="F238" s="17" t="s">
        <v>1185</v>
      </c>
      <c r="G238" s="3" t="s">
        <v>3645</v>
      </c>
      <c r="H238" s="6">
        <v>5632.2079999999996</v>
      </c>
      <c r="I238">
        <f t="shared" si="6"/>
        <v>16</v>
      </c>
      <c r="J238">
        <f t="shared" si="7"/>
        <v>97</v>
      </c>
    </row>
    <row r="239" spans="2:10" ht="15.5" x14ac:dyDescent="0.35">
      <c r="B239" s="3" t="s">
        <v>328</v>
      </c>
      <c r="C239" s="16" t="s">
        <v>2876</v>
      </c>
      <c r="D239" s="17" t="s">
        <v>861</v>
      </c>
      <c r="E239" s="16" t="s">
        <v>2017</v>
      </c>
      <c r="F239" s="17" t="s">
        <v>1186</v>
      </c>
      <c r="G239" s="3" t="s">
        <v>3646</v>
      </c>
      <c r="H239" s="6">
        <v>15656.911999999998</v>
      </c>
      <c r="I239">
        <f t="shared" si="6"/>
        <v>10</v>
      </c>
      <c r="J239">
        <f t="shared" si="7"/>
        <v>97</v>
      </c>
    </row>
    <row r="240" spans="2:10" ht="15.5" x14ac:dyDescent="0.35">
      <c r="B240" s="3" t="s">
        <v>329</v>
      </c>
      <c r="C240" s="16" t="s">
        <v>2877</v>
      </c>
      <c r="D240" s="17" t="s">
        <v>860</v>
      </c>
      <c r="E240" s="16" t="s">
        <v>2018</v>
      </c>
      <c r="F240" s="17" t="s">
        <v>1187</v>
      </c>
      <c r="G240" s="3" t="s">
        <v>3646</v>
      </c>
      <c r="H240" s="6">
        <v>10394.672</v>
      </c>
      <c r="I240">
        <f t="shared" si="6"/>
        <v>10</v>
      </c>
      <c r="J240">
        <f t="shared" si="7"/>
        <v>97</v>
      </c>
    </row>
    <row r="241" spans="2:10" ht="15.5" x14ac:dyDescent="0.35">
      <c r="B241" s="3" t="s">
        <v>330</v>
      </c>
      <c r="C241" s="16" t="s">
        <v>2878</v>
      </c>
      <c r="D241" s="17" t="s">
        <v>860</v>
      </c>
      <c r="E241" s="16" t="s">
        <v>2019</v>
      </c>
      <c r="F241" s="17" t="s">
        <v>1188</v>
      </c>
      <c r="G241" s="3" t="s">
        <v>3647</v>
      </c>
      <c r="H241" s="6">
        <v>30494.847999999998</v>
      </c>
      <c r="I241">
        <f t="shared" si="6"/>
        <v>4</v>
      </c>
      <c r="J241">
        <f t="shared" si="7"/>
        <v>97</v>
      </c>
    </row>
    <row r="242" spans="2:10" ht="15.5" x14ac:dyDescent="0.35">
      <c r="B242" s="3" t="s">
        <v>331</v>
      </c>
      <c r="C242" s="16" t="s">
        <v>2879</v>
      </c>
      <c r="D242" s="17" t="s">
        <v>861</v>
      </c>
      <c r="E242" s="16" t="s">
        <v>2020</v>
      </c>
      <c r="F242" s="17" t="s">
        <v>1189</v>
      </c>
      <c r="G242" s="3" t="s">
        <v>3648</v>
      </c>
      <c r="H242" s="6">
        <v>16027.487999999999</v>
      </c>
      <c r="I242">
        <f t="shared" si="6"/>
        <v>11</v>
      </c>
      <c r="J242">
        <f t="shared" si="7"/>
        <v>97</v>
      </c>
    </row>
    <row r="243" spans="2:10" ht="15.5" x14ac:dyDescent="0.35">
      <c r="B243" s="3" t="s">
        <v>332</v>
      </c>
      <c r="C243" s="16" t="s">
        <v>2880</v>
      </c>
      <c r="D243" s="17" t="s">
        <v>860</v>
      </c>
      <c r="E243" s="16" t="s">
        <v>2021</v>
      </c>
      <c r="F243" s="17" t="s">
        <v>1190</v>
      </c>
      <c r="G243" s="3" t="s">
        <v>3649</v>
      </c>
      <c r="H243" s="6">
        <v>24436.736000000001</v>
      </c>
      <c r="I243">
        <f t="shared" si="6"/>
        <v>15</v>
      </c>
      <c r="J243">
        <f t="shared" si="7"/>
        <v>97</v>
      </c>
    </row>
    <row r="244" spans="2:10" ht="15.5" x14ac:dyDescent="0.35">
      <c r="B244" s="3" t="s">
        <v>333</v>
      </c>
      <c r="C244" s="16" t="s">
        <v>2881</v>
      </c>
      <c r="D244" s="17" t="s">
        <v>861</v>
      </c>
      <c r="E244" s="16" t="s">
        <v>2022</v>
      </c>
      <c r="F244" s="17" t="s">
        <v>1191</v>
      </c>
      <c r="G244" s="3" t="s">
        <v>3649</v>
      </c>
      <c r="H244" s="6">
        <v>8316.2240000000002</v>
      </c>
      <c r="I244">
        <f t="shared" si="6"/>
        <v>16</v>
      </c>
      <c r="J244">
        <f t="shared" si="7"/>
        <v>97</v>
      </c>
    </row>
    <row r="245" spans="2:10" ht="15.5" x14ac:dyDescent="0.35">
      <c r="B245" s="3" t="s">
        <v>334</v>
      </c>
      <c r="C245" s="16" t="s">
        <v>2882</v>
      </c>
      <c r="D245" s="17" t="s">
        <v>861</v>
      </c>
      <c r="E245" s="16" t="s">
        <v>2023</v>
      </c>
      <c r="F245" s="17" t="s">
        <v>1192</v>
      </c>
      <c r="G245" s="3" t="s">
        <v>3650</v>
      </c>
      <c r="H245" s="6">
        <v>24828.592000000001</v>
      </c>
      <c r="I245">
        <f t="shared" si="6"/>
        <v>12</v>
      </c>
      <c r="J245">
        <f t="shared" si="7"/>
        <v>97</v>
      </c>
    </row>
    <row r="246" spans="2:10" ht="15.5" x14ac:dyDescent="0.35">
      <c r="B246" s="3" t="s">
        <v>336</v>
      </c>
      <c r="C246" s="16" t="s">
        <v>2884</v>
      </c>
      <c r="D246" s="17" t="s">
        <v>861</v>
      </c>
      <c r="E246" s="16" t="s">
        <v>2025</v>
      </c>
      <c r="F246" s="17" t="s">
        <v>1194</v>
      </c>
      <c r="G246" s="3" t="s">
        <v>3651</v>
      </c>
      <c r="H246" s="6">
        <v>5632.2079999999996</v>
      </c>
      <c r="I246">
        <f t="shared" si="6"/>
        <v>5</v>
      </c>
      <c r="J246">
        <f t="shared" si="7"/>
        <v>97</v>
      </c>
    </row>
    <row r="247" spans="2:10" ht="15.5" x14ac:dyDescent="0.35">
      <c r="B247" s="3" t="s">
        <v>337</v>
      </c>
      <c r="C247" s="16" t="s">
        <v>2885</v>
      </c>
      <c r="D247" s="17" t="s">
        <v>861</v>
      </c>
      <c r="E247" s="16" t="s">
        <v>2026</v>
      </c>
      <c r="F247" s="17" t="s">
        <v>1195</v>
      </c>
      <c r="G247" s="3" t="s">
        <v>3652</v>
      </c>
      <c r="H247" s="6">
        <v>11722.848</v>
      </c>
      <c r="I247">
        <f t="shared" si="6"/>
        <v>10</v>
      </c>
      <c r="J247">
        <f t="shared" si="7"/>
        <v>97</v>
      </c>
    </row>
    <row r="248" spans="2:10" ht="15.5" hidden="1" x14ac:dyDescent="0.35">
      <c r="B248" s="3" t="s">
        <v>338</v>
      </c>
      <c r="C248" s="16" t="s">
        <v>2886</v>
      </c>
      <c r="D248" s="17" t="s">
        <v>861</v>
      </c>
      <c r="E248" s="16" t="s">
        <v>2027</v>
      </c>
      <c r="F248" s="17" t="s">
        <v>1196</v>
      </c>
      <c r="G248" s="3" t="s">
        <v>3653</v>
      </c>
      <c r="H248" s="6">
        <v>10070</v>
      </c>
      <c r="I248">
        <f t="shared" si="6"/>
        <v>97</v>
      </c>
      <c r="J248">
        <f t="shared" si="7"/>
        <v>73</v>
      </c>
    </row>
    <row r="249" spans="2:10" ht="15.5" hidden="1" x14ac:dyDescent="0.35">
      <c r="B249" s="3" t="s">
        <v>339</v>
      </c>
      <c r="C249" s="16" t="s">
        <v>2887</v>
      </c>
      <c r="D249" s="17" t="s">
        <v>861</v>
      </c>
      <c r="E249" s="16" t="s">
        <v>2028</v>
      </c>
      <c r="F249" s="17" t="s">
        <v>1197</v>
      </c>
      <c r="G249" s="3" t="s">
        <v>3654</v>
      </c>
      <c r="H249" s="6">
        <v>5632.2079999999996</v>
      </c>
      <c r="I249">
        <f t="shared" si="6"/>
        <v>82</v>
      </c>
      <c r="J249">
        <f t="shared" si="7"/>
        <v>73</v>
      </c>
    </row>
    <row r="250" spans="2:10" ht="15.5" hidden="1" x14ac:dyDescent="0.35">
      <c r="B250" s="3" t="s">
        <v>341</v>
      </c>
      <c r="C250" s="16" t="s">
        <v>2889</v>
      </c>
      <c r="D250" s="17" t="s">
        <v>860</v>
      </c>
      <c r="E250" s="16" t="s">
        <v>2030</v>
      </c>
      <c r="F250" s="17" t="s">
        <v>1199</v>
      </c>
      <c r="G250" s="3" t="s">
        <v>3655</v>
      </c>
      <c r="H250" s="6">
        <v>18811.823999999997</v>
      </c>
      <c r="I250">
        <f t="shared" si="6"/>
        <v>97</v>
      </c>
      <c r="J250">
        <f t="shared" si="7"/>
        <v>73</v>
      </c>
    </row>
    <row r="251" spans="2:10" ht="15.5" x14ac:dyDescent="0.35">
      <c r="B251" s="3" t="s">
        <v>342</v>
      </c>
      <c r="C251" s="16" t="s">
        <v>2890</v>
      </c>
      <c r="D251" s="17" t="s">
        <v>861</v>
      </c>
      <c r="E251" s="16" t="s">
        <v>2031</v>
      </c>
      <c r="F251" s="17" t="s">
        <v>1200</v>
      </c>
      <c r="G251" s="3" t="s">
        <v>3656</v>
      </c>
      <c r="H251" s="6">
        <v>18032.367999999999</v>
      </c>
      <c r="I251">
        <f t="shared" si="6"/>
        <v>8</v>
      </c>
      <c r="J251">
        <f t="shared" si="7"/>
        <v>97</v>
      </c>
    </row>
    <row r="252" spans="2:10" ht="15.5" x14ac:dyDescent="0.35">
      <c r="B252" s="3" t="s">
        <v>346</v>
      </c>
      <c r="C252" s="16" t="s">
        <v>2894</v>
      </c>
      <c r="D252" s="17" t="s">
        <v>861</v>
      </c>
      <c r="E252" s="16" t="s">
        <v>2035</v>
      </c>
      <c r="F252" s="17" t="s">
        <v>1189</v>
      </c>
      <c r="G252" s="3" t="s">
        <v>3657</v>
      </c>
      <c r="H252" s="6">
        <v>13767.552</v>
      </c>
      <c r="I252">
        <f t="shared" si="6"/>
        <v>13</v>
      </c>
      <c r="J252">
        <f t="shared" si="7"/>
        <v>97</v>
      </c>
    </row>
    <row r="253" spans="2:10" ht="15.5" x14ac:dyDescent="0.35">
      <c r="B253" s="3" t="s">
        <v>347</v>
      </c>
      <c r="C253" s="16" t="s">
        <v>2895</v>
      </c>
      <c r="D253" s="17" t="s">
        <v>861</v>
      </c>
      <c r="E253" s="16" t="s">
        <v>2036</v>
      </c>
      <c r="F253" s="17" t="s">
        <v>1204</v>
      </c>
      <c r="G253" s="3" t="s">
        <v>3658</v>
      </c>
      <c r="H253" s="6">
        <v>12803.871999999999</v>
      </c>
      <c r="I253">
        <f t="shared" si="6"/>
        <v>4</v>
      </c>
      <c r="J253">
        <f t="shared" si="7"/>
        <v>97</v>
      </c>
    </row>
    <row r="254" spans="2:10" ht="15.5" x14ac:dyDescent="0.35">
      <c r="B254" s="3" t="s">
        <v>349</v>
      </c>
      <c r="C254" s="16" t="s">
        <v>2897</v>
      </c>
      <c r="D254" s="17" t="s">
        <v>860</v>
      </c>
      <c r="E254" s="16" t="s">
        <v>2038</v>
      </c>
      <c r="F254" s="17" t="s">
        <v>1206</v>
      </c>
      <c r="G254" s="3" t="s">
        <v>3659</v>
      </c>
      <c r="H254" s="6">
        <v>8226.5439999999999</v>
      </c>
      <c r="I254">
        <f t="shared" si="6"/>
        <v>12</v>
      </c>
      <c r="J254">
        <f t="shared" si="7"/>
        <v>97</v>
      </c>
    </row>
    <row r="255" spans="2:10" ht="15.5" x14ac:dyDescent="0.35">
      <c r="B255" s="3" t="s">
        <v>350</v>
      </c>
      <c r="C255" s="16" t="s">
        <v>2898</v>
      </c>
      <c r="D255" s="17" t="s">
        <v>861</v>
      </c>
      <c r="E255" s="16" t="s">
        <v>2039</v>
      </c>
      <c r="F255" s="17" t="s">
        <v>1207</v>
      </c>
      <c r="G255" s="3" t="s">
        <v>3659</v>
      </c>
      <c r="H255" s="6">
        <v>10022.575999999999</v>
      </c>
      <c r="I255">
        <f t="shared" si="6"/>
        <v>2</v>
      </c>
      <c r="J255">
        <f t="shared" si="7"/>
        <v>97</v>
      </c>
    </row>
    <row r="256" spans="2:10" ht="15.5" x14ac:dyDescent="0.35">
      <c r="B256" s="3" t="s">
        <v>352</v>
      </c>
      <c r="C256" s="16" t="s">
        <v>2900</v>
      </c>
      <c r="D256" s="17" t="s">
        <v>861</v>
      </c>
      <c r="E256" s="16" t="s">
        <v>2041</v>
      </c>
      <c r="F256" s="17" t="s">
        <v>1209</v>
      </c>
      <c r="G256" s="3" t="s">
        <v>3660</v>
      </c>
      <c r="H256" s="6">
        <v>21347.488000000001</v>
      </c>
      <c r="I256">
        <f t="shared" si="6"/>
        <v>15</v>
      </c>
      <c r="J256">
        <f t="shared" si="7"/>
        <v>97</v>
      </c>
    </row>
    <row r="257" spans="2:10" ht="15.5" x14ac:dyDescent="0.35">
      <c r="B257" s="3" t="s">
        <v>353</v>
      </c>
      <c r="C257" s="16" t="s">
        <v>2901</v>
      </c>
      <c r="D257" s="17" t="s">
        <v>861</v>
      </c>
      <c r="E257" s="16" t="s">
        <v>2042</v>
      </c>
      <c r="F257" s="17" t="s">
        <v>1201</v>
      </c>
      <c r="G257" s="3" t="s">
        <v>3660</v>
      </c>
      <c r="H257" s="6">
        <v>11413.679999999998</v>
      </c>
      <c r="I257">
        <f t="shared" si="6"/>
        <v>6</v>
      </c>
      <c r="J257">
        <f t="shared" si="7"/>
        <v>97</v>
      </c>
    </row>
    <row r="258" spans="2:10" ht="15.5" hidden="1" x14ac:dyDescent="0.35">
      <c r="B258" s="3" t="s">
        <v>354</v>
      </c>
      <c r="C258" s="16" t="s">
        <v>2902</v>
      </c>
      <c r="D258" s="17" t="s">
        <v>861</v>
      </c>
      <c r="E258" s="16" t="s">
        <v>2043</v>
      </c>
      <c r="F258" s="17" t="s">
        <v>1210</v>
      </c>
      <c r="G258" s="3" t="s">
        <v>3661</v>
      </c>
      <c r="H258" s="6">
        <v>5632.2079999999996</v>
      </c>
      <c r="I258">
        <f t="shared" si="6"/>
        <v>93</v>
      </c>
      <c r="J258">
        <f t="shared" si="7"/>
        <v>73</v>
      </c>
    </row>
    <row r="259" spans="2:10" ht="15.5" x14ac:dyDescent="0.35">
      <c r="B259" s="3" t="s">
        <v>355</v>
      </c>
      <c r="C259" s="16" t="s">
        <v>2903</v>
      </c>
      <c r="D259" s="17" t="s">
        <v>861</v>
      </c>
      <c r="E259" s="16" t="s">
        <v>2044</v>
      </c>
      <c r="F259" s="17" t="s">
        <v>1211</v>
      </c>
      <c r="G259" s="3" t="s">
        <v>3662</v>
      </c>
      <c r="H259" s="6">
        <v>13864.527999999998</v>
      </c>
      <c r="I259">
        <f t="shared" si="6"/>
        <v>8</v>
      </c>
      <c r="J259">
        <f t="shared" si="7"/>
        <v>97</v>
      </c>
    </row>
    <row r="260" spans="2:10" ht="15.5" hidden="1" x14ac:dyDescent="0.35">
      <c r="B260" s="3" t="s">
        <v>357</v>
      </c>
      <c r="C260" s="16" t="s">
        <v>2905</v>
      </c>
      <c r="D260" s="17" t="s">
        <v>860</v>
      </c>
      <c r="E260" s="16" t="s">
        <v>2046</v>
      </c>
      <c r="F260" s="17" t="s">
        <v>1213</v>
      </c>
      <c r="G260" s="3" t="s">
        <v>3663</v>
      </c>
      <c r="H260" s="6">
        <v>16210.8</v>
      </c>
      <c r="I260">
        <f t="shared" ref="I260:I323" si="8">_xlfn.NUMBERVALUE(MID(C260,3,2))</f>
        <v>92</v>
      </c>
      <c r="J260">
        <f t="shared" ref="J260:J323" si="9">IF(I260&gt;25,IF(I260&lt;=97,73,97),97)</f>
        <v>73</v>
      </c>
    </row>
    <row r="261" spans="2:10" ht="15.5" x14ac:dyDescent="0.35">
      <c r="B261" s="3" t="s">
        <v>359</v>
      </c>
      <c r="C261" s="16" t="s">
        <v>2907</v>
      </c>
      <c r="D261" s="17" t="s">
        <v>860</v>
      </c>
      <c r="E261" s="16" t="s">
        <v>2048</v>
      </c>
      <c r="F261" s="17" t="s">
        <v>1215</v>
      </c>
      <c r="G261" s="3" t="s">
        <v>3664</v>
      </c>
      <c r="H261" s="6">
        <v>5632.2079999999996</v>
      </c>
      <c r="I261">
        <f t="shared" si="8"/>
        <v>10</v>
      </c>
      <c r="J261">
        <f t="shared" si="9"/>
        <v>97</v>
      </c>
    </row>
    <row r="262" spans="2:10" ht="15.5" x14ac:dyDescent="0.35">
      <c r="B262" s="3" t="s">
        <v>361</v>
      </c>
      <c r="C262" s="16" t="s">
        <v>2909</v>
      </c>
      <c r="D262" s="17" t="s">
        <v>861</v>
      </c>
      <c r="E262" s="16" t="s">
        <v>2050</v>
      </c>
      <c r="F262" s="17" t="s">
        <v>1217</v>
      </c>
      <c r="G262" s="3" t="s">
        <v>3665</v>
      </c>
      <c r="H262" s="6">
        <v>5602.72</v>
      </c>
      <c r="I262">
        <f t="shared" si="8"/>
        <v>15</v>
      </c>
      <c r="J262">
        <f t="shared" si="9"/>
        <v>97</v>
      </c>
    </row>
    <row r="263" spans="2:10" ht="15.5" x14ac:dyDescent="0.35">
      <c r="B263" s="3" t="s">
        <v>362</v>
      </c>
      <c r="C263" s="16" t="s">
        <v>2910</v>
      </c>
      <c r="D263" s="17" t="s">
        <v>861</v>
      </c>
      <c r="E263" s="16" t="s">
        <v>2051</v>
      </c>
      <c r="F263" s="17" t="s">
        <v>1218</v>
      </c>
      <c r="G263" s="3" t="s">
        <v>3666</v>
      </c>
      <c r="H263" s="6">
        <v>6200.6880000000001</v>
      </c>
      <c r="I263">
        <f t="shared" si="8"/>
        <v>9</v>
      </c>
      <c r="J263">
        <f t="shared" si="9"/>
        <v>97</v>
      </c>
    </row>
    <row r="264" spans="2:10" ht="15.5" hidden="1" x14ac:dyDescent="0.35">
      <c r="B264" s="3" t="s">
        <v>364</v>
      </c>
      <c r="C264" s="16" t="s">
        <v>2912</v>
      </c>
      <c r="D264" s="17" t="s">
        <v>860</v>
      </c>
      <c r="E264" s="16" t="s">
        <v>2053</v>
      </c>
      <c r="F264" s="17" t="s">
        <v>1220</v>
      </c>
      <c r="G264" s="3" t="s">
        <v>3667</v>
      </c>
      <c r="H264" s="6">
        <v>11506.704</v>
      </c>
      <c r="I264">
        <f t="shared" si="8"/>
        <v>97</v>
      </c>
      <c r="J264">
        <f t="shared" si="9"/>
        <v>73</v>
      </c>
    </row>
    <row r="265" spans="2:10" ht="15.5" x14ac:dyDescent="0.35">
      <c r="B265" s="3" t="s">
        <v>365</v>
      </c>
      <c r="C265" s="16" t="s">
        <v>2913</v>
      </c>
      <c r="D265" s="17" t="s">
        <v>860</v>
      </c>
      <c r="E265" s="16" t="s">
        <v>2054</v>
      </c>
      <c r="F265" s="17" t="s">
        <v>1221</v>
      </c>
      <c r="G265" s="3" t="s">
        <v>3668</v>
      </c>
      <c r="H265" s="6">
        <v>20267.984</v>
      </c>
      <c r="I265">
        <f t="shared" si="8"/>
        <v>16</v>
      </c>
      <c r="J265">
        <f t="shared" si="9"/>
        <v>97</v>
      </c>
    </row>
    <row r="266" spans="2:10" ht="15.5" x14ac:dyDescent="0.35">
      <c r="B266" s="3" t="s">
        <v>366</v>
      </c>
      <c r="C266" s="16" t="s">
        <v>2914</v>
      </c>
      <c r="D266" s="17" t="s">
        <v>861</v>
      </c>
      <c r="E266" s="16" t="s">
        <v>2055</v>
      </c>
      <c r="F266" s="17" t="s">
        <v>1222</v>
      </c>
      <c r="G266" s="3" t="s">
        <v>3669</v>
      </c>
      <c r="H266" s="6">
        <v>23399.184000000001</v>
      </c>
      <c r="I266">
        <f t="shared" si="8"/>
        <v>9</v>
      </c>
      <c r="J266">
        <f t="shared" si="9"/>
        <v>97</v>
      </c>
    </row>
    <row r="267" spans="2:10" ht="15.5" hidden="1" x14ac:dyDescent="0.35">
      <c r="B267" s="3" t="s">
        <v>367</v>
      </c>
      <c r="C267" s="16" t="s">
        <v>2915</v>
      </c>
      <c r="D267" s="17" t="s">
        <v>860</v>
      </c>
      <c r="E267" s="16" t="s">
        <v>2056</v>
      </c>
      <c r="F267" s="17" t="s">
        <v>1223</v>
      </c>
      <c r="G267" s="3" t="s">
        <v>3670</v>
      </c>
      <c r="H267" s="6">
        <v>8480.6880000000001</v>
      </c>
      <c r="I267">
        <f t="shared" si="8"/>
        <v>96</v>
      </c>
      <c r="J267">
        <f t="shared" si="9"/>
        <v>73</v>
      </c>
    </row>
    <row r="268" spans="2:10" ht="15.5" hidden="1" x14ac:dyDescent="0.35">
      <c r="B268" s="3" t="s">
        <v>369</v>
      </c>
      <c r="C268" s="16" t="s">
        <v>2917</v>
      </c>
      <c r="D268" s="17" t="s">
        <v>861</v>
      </c>
      <c r="E268" s="16" t="s">
        <v>2058</v>
      </c>
      <c r="F268" s="17" t="s">
        <v>1225</v>
      </c>
      <c r="G268" s="3" t="s">
        <v>3671</v>
      </c>
      <c r="H268" s="6">
        <v>8583.44</v>
      </c>
      <c r="I268">
        <f t="shared" si="8"/>
        <v>82</v>
      </c>
      <c r="J268">
        <f t="shared" si="9"/>
        <v>73</v>
      </c>
    </row>
    <row r="269" spans="2:10" ht="15.5" hidden="1" x14ac:dyDescent="0.35">
      <c r="B269" s="3" t="s">
        <v>370</v>
      </c>
      <c r="C269" s="16" t="s">
        <v>2918</v>
      </c>
      <c r="D269" s="17" t="s">
        <v>860</v>
      </c>
      <c r="E269" s="16" t="s">
        <v>2059</v>
      </c>
      <c r="F269" s="17" t="s">
        <v>1226</v>
      </c>
      <c r="G269" s="3" t="s">
        <v>3672</v>
      </c>
      <c r="H269" s="6">
        <v>7868.4319999999989</v>
      </c>
      <c r="I269">
        <f t="shared" si="8"/>
        <v>82</v>
      </c>
      <c r="J269">
        <f t="shared" si="9"/>
        <v>73</v>
      </c>
    </row>
    <row r="270" spans="2:10" ht="15.5" x14ac:dyDescent="0.35">
      <c r="B270" s="3" t="s">
        <v>371</v>
      </c>
      <c r="C270" s="16" t="s">
        <v>2919</v>
      </c>
      <c r="D270" s="17" t="s">
        <v>861</v>
      </c>
      <c r="E270" s="16" t="s">
        <v>2060</v>
      </c>
      <c r="F270" s="17" t="s">
        <v>1227</v>
      </c>
      <c r="G270" s="3" t="s">
        <v>3673</v>
      </c>
      <c r="H270" s="6">
        <v>17258.991999999998</v>
      </c>
      <c r="I270">
        <f t="shared" si="8"/>
        <v>9</v>
      </c>
      <c r="J270">
        <f t="shared" si="9"/>
        <v>97</v>
      </c>
    </row>
    <row r="271" spans="2:10" ht="15.5" x14ac:dyDescent="0.35">
      <c r="B271" s="3" t="s">
        <v>372</v>
      </c>
      <c r="C271" s="16" t="s">
        <v>2920</v>
      </c>
      <c r="D271" s="17" t="s">
        <v>861</v>
      </c>
      <c r="E271" s="16" t="s">
        <v>2061</v>
      </c>
      <c r="F271" s="17" t="s">
        <v>1228</v>
      </c>
      <c r="G271" s="3" t="s">
        <v>3674</v>
      </c>
      <c r="H271" s="6">
        <v>10597.44</v>
      </c>
      <c r="I271">
        <f t="shared" si="8"/>
        <v>7</v>
      </c>
      <c r="J271">
        <f t="shared" si="9"/>
        <v>97</v>
      </c>
    </row>
    <row r="272" spans="2:10" ht="15.5" x14ac:dyDescent="0.35">
      <c r="B272" s="3" t="s">
        <v>373</v>
      </c>
      <c r="C272" s="16" t="s">
        <v>2921</v>
      </c>
      <c r="D272" s="17" t="s">
        <v>860</v>
      </c>
      <c r="E272" s="16" t="s">
        <v>2062</v>
      </c>
      <c r="F272" s="17" t="s">
        <v>1229</v>
      </c>
      <c r="G272" s="3" t="s">
        <v>3675</v>
      </c>
      <c r="H272" s="6">
        <v>7358.0159999999996</v>
      </c>
      <c r="I272">
        <f t="shared" si="8"/>
        <v>16</v>
      </c>
      <c r="J272">
        <f t="shared" si="9"/>
        <v>97</v>
      </c>
    </row>
    <row r="273" spans="2:10" ht="15.5" hidden="1" x14ac:dyDescent="0.35">
      <c r="B273" s="3" t="s">
        <v>376</v>
      </c>
      <c r="C273" s="16" t="s">
        <v>2924</v>
      </c>
      <c r="D273" s="17" t="s">
        <v>860</v>
      </c>
      <c r="E273" s="16" t="s">
        <v>2065</v>
      </c>
      <c r="F273" s="17" t="s">
        <v>1231</v>
      </c>
      <c r="G273" s="3" t="s">
        <v>3676</v>
      </c>
      <c r="H273" s="6">
        <v>11867.856</v>
      </c>
      <c r="I273">
        <f t="shared" si="8"/>
        <v>90</v>
      </c>
      <c r="J273">
        <f t="shared" si="9"/>
        <v>73</v>
      </c>
    </row>
    <row r="274" spans="2:10" ht="15.5" hidden="1" x14ac:dyDescent="0.35">
      <c r="B274" s="3" t="s">
        <v>380</v>
      </c>
      <c r="C274" s="16" t="s">
        <v>2928</v>
      </c>
      <c r="D274" s="17" t="s">
        <v>861</v>
      </c>
      <c r="E274" s="16" t="s">
        <v>2069</v>
      </c>
      <c r="F274" s="17" t="s">
        <v>1235</v>
      </c>
      <c r="G274" s="3" t="s">
        <v>3677</v>
      </c>
      <c r="H274" s="6">
        <v>10070</v>
      </c>
      <c r="I274">
        <f t="shared" si="8"/>
        <v>92</v>
      </c>
      <c r="J274">
        <f t="shared" si="9"/>
        <v>73</v>
      </c>
    </row>
    <row r="275" spans="2:10" ht="15.5" x14ac:dyDescent="0.35">
      <c r="B275" s="3" t="s">
        <v>381</v>
      </c>
      <c r="C275" s="16" t="s">
        <v>2929</v>
      </c>
      <c r="D275" s="17" t="s">
        <v>861</v>
      </c>
      <c r="E275" s="16" t="s">
        <v>2070</v>
      </c>
      <c r="F275" s="17" t="s">
        <v>1236</v>
      </c>
      <c r="G275" s="3" t="s">
        <v>3678</v>
      </c>
      <c r="H275" s="6">
        <v>8172.4319999999989</v>
      </c>
      <c r="I275">
        <f t="shared" si="8"/>
        <v>16</v>
      </c>
      <c r="J275">
        <f t="shared" si="9"/>
        <v>97</v>
      </c>
    </row>
    <row r="276" spans="2:10" ht="15.5" x14ac:dyDescent="0.35">
      <c r="B276" s="3" t="s">
        <v>382</v>
      </c>
      <c r="C276" s="16" t="s">
        <v>2930</v>
      </c>
      <c r="D276" s="17" t="s">
        <v>860</v>
      </c>
      <c r="E276" s="16" t="s">
        <v>2071</v>
      </c>
      <c r="F276" s="17" t="s">
        <v>1237</v>
      </c>
      <c r="G276" s="3" t="s">
        <v>3678</v>
      </c>
      <c r="H276" s="6">
        <v>27410.463999999996</v>
      </c>
      <c r="I276">
        <f t="shared" si="8"/>
        <v>5</v>
      </c>
      <c r="J276">
        <f t="shared" si="9"/>
        <v>97</v>
      </c>
    </row>
    <row r="277" spans="2:10" ht="15.5" hidden="1" x14ac:dyDescent="0.35">
      <c r="B277" s="3" t="s">
        <v>383</v>
      </c>
      <c r="C277" s="16" t="s">
        <v>2931</v>
      </c>
      <c r="D277" s="17" t="s">
        <v>860</v>
      </c>
      <c r="E277" s="16" t="s">
        <v>2072</v>
      </c>
      <c r="F277" s="17" t="s">
        <v>1238</v>
      </c>
      <c r="G277" s="3" t="s">
        <v>3679</v>
      </c>
      <c r="H277" s="6">
        <v>21688.880000000001</v>
      </c>
      <c r="I277">
        <f t="shared" si="8"/>
        <v>97</v>
      </c>
      <c r="J277">
        <f t="shared" si="9"/>
        <v>73</v>
      </c>
    </row>
    <row r="278" spans="2:10" ht="15.5" x14ac:dyDescent="0.35">
      <c r="B278" s="3" t="s">
        <v>384</v>
      </c>
      <c r="C278" s="16" t="s">
        <v>2932</v>
      </c>
      <c r="D278" s="17" t="s">
        <v>861</v>
      </c>
      <c r="E278" s="16" t="s">
        <v>2073</v>
      </c>
      <c r="F278" s="17" t="s">
        <v>1239</v>
      </c>
      <c r="G278" s="3" t="s">
        <v>3679</v>
      </c>
      <c r="H278" s="6">
        <v>8967.3919999999998</v>
      </c>
      <c r="I278">
        <f t="shared" si="8"/>
        <v>16</v>
      </c>
      <c r="J278">
        <f t="shared" si="9"/>
        <v>97</v>
      </c>
    </row>
    <row r="279" spans="2:10" ht="15.5" x14ac:dyDescent="0.35">
      <c r="B279" s="3" t="s">
        <v>385</v>
      </c>
      <c r="C279" s="16" t="s">
        <v>2933</v>
      </c>
      <c r="D279" s="17" t="s">
        <v>861</v>
      </c>
      <c r="E279" s="16" t="s">
        <v>2074</v>
      </c>
      <c r="F279" s="17" t="s">
        <v>1240</v>
      </c>
      <c r="G279" s="3" t="s">
        <v>3680</v>
      </c>
      <c r="H279" s="6">
        <v>10618.72</v>
      </c>
      <c r="I279">
        <f t="shared" si="8"/>
        <v>15</v>
      </c>
      <c r="J279">
        <f t="shared" si="9"/>
        <v>97</v>
      </c>
    </row>
    <row r="280" spans="2:10" ht="15.5" hidden="1" x14ac:dyDescent="0.35">
      <c r="B280" s="3" t="s">
        <v>387</v>
      </c>
      <c r="C280" s="16" t="s">
        <v>2935</v>
      </c>
      <c r="D280" s="17" t="s">
        <v>861</v>
      </c>
      <c r="E280" s="16" t="s">
        <v>2076</v>
      </c>
      <c r="F280" s="17" t="s">
        <v>1242</v>
      </c>
      <c r="G280" s="3" t="s">
        <v>3681</v>
      </c>
      <c r="H280" s="6">
        <v>26393.279999999999</v>
      </c>
      <c r="I280">
        <f t="shared" si="8"/>
        <v>90</v>
      </c>
      <c r="J280">
        <f t="shared" si="9"/>
        <v>73</v>
      </c>
    </row>
    <row r="281" spans="2:10" ht="15.5" hidden="1" x14ac:dyDescent="0.35">
      <c r="B281" s="3" t="s">
        <v>389</v>
      </c>
      <c r="C281" s="16" t="s">
        <v>2937</v>
      </c>
      <c r="D281" s="17" t="s">
        <v>860</v>
      </c>
      <c r="E281" s="16" t="s">
        <v>2078</v>
      </c>
      <c r="F281" s="17" t="s">
        <v>1208</v>
      </c>
      <c r="G281" s="3" t="s">
        <v>3682</v>
      </c>
      <c r="H281" s="6">
        <v>7557.44</v>
      </c>
      <c r="I281">
        <f t="shared" si="8"/>
        <v>91</v>
      </c>
      <c r="J281">
        <f t="shared" si="9"/>
        <v>73</v>
      </c>
    </row>
    <row r="282" spans="2:10" ht="15.5" x14ac:dyDescent="0.35">
      <c r="B282" s="3" t="s">
        <v>391</v>
      </c>
      <c r="C282" s="16" t="s">
        <v>2939</v>
      </c>
      <c r="D282" s="17" t="s">
        <v>861</v>
      </c>
      <c r="E282" s="16" t="s">
        <v>2080</v>
      </c>
      <c r="F282" s="17" t="s">
        <v>1245</v>
      </c>
      <c r="G282" s="3" t="s">
        <v>3683</v>
      </c>
      <c r="H282" s="6">
        <v>10509.279999999999</v>
      </c>
      <c r="I282">
        <f t="shared" si="8"/>
        <v>16</v>
      </c>
      <c r="J282">
        <f t="shared" si="9"/>
        <v>97</v>
      </c>
    </row>
    <row r="283" spans="2:10" ht="15.5" hidden="1" x14ac:dyDescent="0.35">
      <c r="B283" s="3" t="s">
        <v>392</v>
      </c>
      <c r="C283" s="16" t="s">
        <v>2940</v>
      </c>
      <c r="D283" s="17" t="s">
        <v>861</v>
      </c>
      <c r="E283" s="16" t="s">
        <v>2081</v>
      </c>
      <c r="F283" s="17" t="s">
        <v>1246</v>
      </c>
      <c r="G283" s="3" t="s">
        <v>3684</v>
      </c>
      <c r="H283" s="6">
        <v>26577.503999999997</v>
      </c>
      <c r="I283">
        <f t="shared" si="8"/>
        <v>84</v>
      </c>
      <c r="J283">
        <f t="shared" si="9"/>
        <v>73</v>
      </c>
    </row>
    <row r="284" spans="2:10" ht="15.5" x14ac:dyDescent="0.35">
      <c r="B284" s="3" t="s">
        <v>394</v>
      </c>
      <c r="C284" s="16" t="s">
        <v>2942</v>
      </c>
      <c r="D284" s="17" t="s">
        <v>861</v>
      </c>
      <c r="E284" s="16" t="s">
        <v>2083</v>
      </c>
      <c r="F284" s="17" t="s">
        <v>1248</v>
      </c>
      <c r="G284" s="3" t="s">
        <v>3685</v>
      </c>
      <c r="H284" s="6">
        <v>15912.880000000001</v>
      </c>
      <c r="I284">
        <f t="shared" si="8"/>
        <v>10</v>
      </c>
      <c r="J284">
        <f t="shared" si="9"/>
        <v>97</v>
      </c>
    </row>
    <row r="285" spans="2:10" ht="15.5" x14ac:dyDescent="0.35">
      <c r="B285" s="3" t="s">
        <v>396</v>
      </c>
      <c r="C285" s="16" t="s">
        <v>2944</v>
      </c>
      <c r="D285" s="17" t="s">
        <v>861</v>
      </c>
      <c r="E285" s="16" t="s">
        <v>2085</v>
      </c>
      <c r="F285" s="17" t="s">
        <v>1250</v>
      </c>
      <c r="G285" s="3" t="s">
        <v>3686</v>
      </c>
      <c r="H285" s="6">
        <v>23666.703999999998</v>
      </c>
      <c r="I285">
        <f t="shared" si="8"/>
        <v>8</v>
      </c>
      <c r="J285">
        <f t="shared" si="9"/>
        <v>97</v>
      </c>
    </row>
    <row r="286" spans="2:10" ht="15.5" hidden="1" x14ac:dyDescent="0.35">
      <c r="B286" s="3" t="s">
        <v>398</v>
      </c>
      <c r="C286" s="16" t="s">
        <v>2946</v>
      </c>
      <c r="D286" s="17" t="s">
        <v>861</v>
      </c>
      <c r="E286" s="16" t="s">
        <v>2087</v>
      </c>
      <c r="F286" s="17" t="s">
        <v>1252</v>
      </c>
      <c r="G286" s="3" t="s">
        <v>3687</v>
      </c>
      <c r="H286" s="6">
        <v>5632.2079999999996</v>
      </c>
      <c r="I286">
        <f t="shared" si="8"/>
        <v>88</v>
      </c>
      <c r="J286">
        <f t="shared" si="9"/>
        <v>73</v>
      </c>
    </row>
    <row r="287" spans="2:10" ht="15.5" hidden="1" x14ac:dyDescent="0.35">
      <c r="B287" s="3" t="s">
        <v>399</v>
      </c>
      <c r="C287" s="16" t="s">
        <v>2947</v>
      </c>
      <c r="D287" s="17" t="s">
        <v>860</v>
      </c>
      <c r="E287" s="16" t="s">
        <v>2088</v>
      </c>
      <c r="F287" s="17" t="s">
        <v>1253</v>
      </c>
      <c r="G287" s="3" t="s">
        <v>3688</v>
      </c>
      <c r="H287" s="6">
        <v>20095.311999999998</v>
      </c>
      <c r="I287">
        <f t="shared" si="8"/>
        <v>89</v>
      </c>
      <c r="J287">
        <f t="shared" si="9"/>
        <v>73</v>
      </c>
    </row>
    <row r="288" spans="2:10" ht="15.5" hidden="1" x14ac:dyDescent="0.35">
      <c r="B288" s="3" t="s">
        <v>400</v>
      </c>
      <c r="C288" s="16" t="s">
        <v>2948</v>
      </c>
      <c r="D288" s="17" t="s">
        <v>860</v>
      </c>
      <c r="E288" s="16" t="s">
        <v>2089</v>
      </c>
      <c r="F288" s="17" t="s">
        <v>1254</v>
      </c>
      <c r="G288" s="3" t="s">
        <v>3688</v>
      </c>
      <c r="H288" s="6">
        <v>18212.031999999999</v>
      </c>
      <c r="I288">
        <f t="shared" si="8"/>
        <v>96</v>
      </c>
      <c r="J288">
        <f t="shared" si="9"/>
        <v>73</v>
      </c>
    </row>
    <row r="289" spans="2:10" ht="15.5" x14ac:dyDescent="0.35">
      <c r="B289" s="3" t="s">
        <v>401</v>
      </c>
      <c r="C289" s="16" t="s">
        <v>2949</v>
      </c>
      <c r="D289" s="17" t="s">
        <v>860</v>
      </c>
      <c r="E289" s="16" t="s">
        <v>2090</v>
      </c>
      <c r="F289" s="17" t="s">
        <v>1255</v>
      </c>
      <c r="G289" s="3" t="s">
        <v>3689</v>
      </c>
      <c r="H289" s="6">
        <v>15849.039999999999</v>
      </c>
      <c r="I289">
        <f t="shared" si="8"/>
        <v>12</v>
      </c>
      <c r="J289">
        <f t="shared" si="9"/>
        <v>97</v>
      </c>
    </row>
    <row r="290" spans="2:10" ht="15.5" x14ac:dyDescent="0.35">
      <c r="B290" s="3" t="s">
        <v>403</v>
      </c>
      <c r="C290" s="16" t="s">
        <v>2951</v>
      </c>
      <c r="D290" s="17" t="s">
        <v>861</v>
      </c>
      <c r="E290" s="16" t="s">
        <v>2092</v>
      </c>
      <c r="F290" s="17" t="s">
        <v>1257</v>
      </c>
      <c r="G290" s="3" t="s">
        <v>3690</v>
      </c>
      <c r="H290" s="6">
        <v>5632.2079999999996</v>
      </c>
      <c r="I290">
        <f t="shared" si="8"/>
        <v>13</v>
      </c>
      <c r="J290">
        <f t="shared" si="9"/>
        <v>97</v>
      </c>
    </row>
    <row r="291" spans="2:10" ht="15.5" hidden="1" x14ac:dyDescent="0.35">
      <c r="B291" s="3" t="s">
        <v>404</v>
      </c>
      <c r="C291" s="16" t="s">
        <v>2952</v>
      </c>
      <c r="D291" s="17" t="s">
        <v>861</v>
      </c>
      <c r="E291" s="16" t="s">
        <v>2093</v>
      </c>
      <c r="F291" s="17" t="s">
        <v>1258</v>
      </c>
      <c r="G291" s="3" t="s">
        <v>3691</v>
      </c>
      <c r="H291" s="6">
        <v>5632.2079999999996</v>
      </c>
      <c r="I291">
        <f t="shared" si="8"/>
        <v>89</v>
      </c>
      <c r="J291">
        <f t="shared" si="9"/>
        <v>73</v>
      </c>
    </row>
    <row r="292" spans="2:10" ht="15.5" x14ac:dyDescent="0.35">
      <c r="B292" s="3" t="s">
        <v>405</v>
      </c>
      <c r="C292" s="16" t="s">
        <v>2953</v>
      </c>
      <c r="D292" s="17" t="s">
        <v>861</v>
      </c>
      <c r="E292" s="16" t="s">
        <v>2094</v>
      </c>
      <c r="F292" s="17" t="s">
        <v>1259</v>
      </c>
      <c r="G292" s="3" t="s">
        <v>3691</v>
      </c>
      <c r="H292" s="6">
        <v>13460.816000000001</v>
      </c>
      <c r="I292">
        <f t="shared" si="8"/>
        <v>4</v>
      </c>
      <c r="J292">
        <f t="shared" si="9"/>
        <v>97</v>
      </c>
    </row>
    <row r="293" spans="2:10" ht="15.5" x14ac:dyDescent="0.35">
      <c r="B293" s="3" t="s">
        <v>407</v>
      </c>
      <c r="C293" s="16" t="s">
        <v>2955</v>
      </c>
      <c r="D293" s="17" t="s">
        <v>861</v>
      </c>
      <c r="E293" s="16" t="s">
        <v>2096</v>
      </c>
      <c r="F293" s="17" t="s">
        <v>1261</v>
      </c>
      <c r="G293" s="3" t="s">
        <v>3692</v>
      </c>
      <c r="H293" s="6">
        <v>11372.335999999999</v>
      </c>
      <c r="I293">
        <f t="shared" si="8"/>
        <v>9</v>
      </c>
      <c r="J293">
        <f t="shared" si="9"/>
        <v>97</v>
      </c>
    </row>
    <row r="294" spans="2:10" ht="15.5" x14ac:dyDescent="0.35">
      <c r="B294" s="3" t="s">
        <v>408</v>
      </c>
      <c r="C294" s="16" t="s">
        <v>2956</v>
      </c>
      <c r="D294" s="17" t="s">
        <v>861</v>
      </c>
      <c r="E294" s="16" t="s">
        <v>2097</v>
      </c>
      <c r="F294" s="17" t="s">
        <v>1262</v>
      </c>
      <c r="G294" s="3" t="s">
        <v>3693</v>
      </c>
      <c r="H294" s="6">
        <v>15242.56</v>
      </c>
      <c r="I294">
        <f t="shared" si="8"/>
        <v>10</v>
      </c>
      <c r="J294">
        <f t="shared" si="9"/>
        <v>97</v>
      </c>
    </row>
    <row r="295" spans="2:10" ht="15.5" x14ac:dyDescent="0.35">
      <c r="B295" s="3" t="s">
        <v>409</v>
      </c>
      <c r="C295" s="16" t="s">
        <v>2957</v>
      </c>
      <c r="D295" s="17" t="s">
        <v>861</v>
      </c>
      <c r="E295" s="16" t="s">
        <v>2098</v>
      </c>
      <c r="F295" s="17" t="s">
        <v>1263</v>
      </c>
      <c r="G295" s="3" t="s">
        <v>3694</v>
      </c>
      <c r="H295" s="6">
        <v>21973.423999999999</v>
      </c>
      <c r="I295">
        <f t="shared" si="8"/>
        <v>10</v>
      </c>
      <c r="J295">
        <f t="shared" si="9"/>
        <v>97</v>
      </c>
    </row>
    <row r="296" spans="2:10" ht="15.5" x14ac:dyDescent="0.35">
      <c r="B296" s="3" t="s">
        <v>410</v>
      </c>
      <c r="C296" s="16" t="s">
        <v>2958</v>
      </c>
      <c r="D296" s="17" t="s">
        <v>861</v>
      </c>
      <c r="E296" s="16" t="s">
        <v>2099</v>
      </c>
      <c r="F296" s="17" t="s">
        <v>1264</v>
      </c>
      <c r="G296" s="3" t="s">
        <v>3695</v>
      </c>
      <c r="H296" s="6">
        <v>18476.511999999999</v>
      </c>
      <c r="I296">
        <f t="shared" si="8"/>
        <v>15</v>
      </c>
      <c r="J296">
        <f t="shared" si="9"/>
        <v>97</v>
      </c>
    </row>
    <row r="297" spans="2:10" ht="15.5" hidden="1" x14ac:dyDescent="0.35">
      <c r="B297" s="3" t="s">
        <v>412</v>
      </c>
      <c r="C297" s="16" t="s">
        <v>2960</v>
      </c>
      <c r="D297" s="17" t="s">
        <v>861</v>
      </c>
      <c r="E297" s="16" t="s">
        <v>2101</v>
      </c>
      <c r="F297" s="17" t="s">
        <v>903</v>
      </c>
      <c r="G297" s="3" t="s">
        <v>3696</v>
      </c>
      <c r="H297" s="6">
        <v>10176.096</v>
      </c>
      <c r="I297">
        <f t="shared" si="8"/>
        <v>90</v>
      </c>
      <c r="J297">
        <f t="shared" si="9"/>
        <v>73</v>
      </c>
    </row>
    <row r="298" spans="2:10" ht="15.5" x14ac:dyDescent="0.35">
      <c r="B298" s="3" t="s">
        <v>413</v>
      </c>
      <c r="C298" s="16" t="s">
        <v>2961</v>
      </c>
      <c r="D298" s="17" t="s">
        <v>861</v>
      </c>
      <c r="E298" s="16" t="s">
        <v>2102</v>
      </c>
      <c r="F298" s="17" t="s">
        <v>1266</v>
      </c>
      <c r="G298" s="3" t="s">
        <v>3696</v>
      </c>
      <c r="H298" s="6">
        <v>23990.463999999996</v>
      </c>
      <c r="I298">
        <f t="shared" si="8"/>
        <v>17</v>
      </c>
      <c r="J298">
        <f t="shared" si="9"/>
        <v>97</v>
      </c>
    </row>
    <row r="299" spans="2:10" ht="15.5" x14ac:dyDescent="0.35">
      <c r="B299" s="3" t="s">
        <v>414</v>
      </c>
      <c r="C299" s="16" t="s">
        <v>2962</v>
      </c>
      <c r="D299" s="17" t="s">
        <v>861</v>
      </c>
      <c r="E299" s="16" t="s">
        <v>2103</v>
      </c>
      <c r="F299" s="17" t="s">
        <v>1267</v>
      </c>
      <c r="G299" s="3" t="s">
        <v>3697</v>
      </c>
      <c r="H299" s="6">
        <v>18885.392</v>
      </c>
      <c r="I299">
        <f t="shared" si="8"/>
        <v>98</v>
      </c>
      <c r="J299">
        <f t="shared" si="9"/>
        <v>97</v>
      </c>
    </row>
    <row r="300" spans="2:10" ht="15.5" x14ac:dyDescent="0.35">
      <c r="B300" s="3" t="s">
        <v>415</v>
      </c>
      <c r="C300" s="16" t="s">
        <v>2963</v>
      </c>
      <c r="D300" s="17" t="s">
        <v>860</v>
      </c>
      <c r="E300" s="16" t="s">
        <v>2104</v>
      </c>
      <c r="F300" s="17" t="s">
        <v>1268</v>
      </c>
      <c r="G300" s="3" t="s">
        <v>3698</v>
      </c>
      <c r="H300" s="6">
        <v>15116.4</v>
      </c>
      <c r="I300">
        <f t="shared" si="8"/>
        <v>12</v>
      </c>
      <c r="J300">
        <f t="shared" si="9"/>
        <v>97</v>
      </c>
    </row>
    <row r="301" spans="2:10" ht="15.5" x14ac:dyDescent="0.35">
      <c r="B301" s="3" t="s">
        <v>418</v>
      </c>
      <c r="C301" s="16" t="s">
        <v>2966</v>
      </c>
      <c r="D301" s="17" t="s">
        <v>861</v>
      </c>
      <c r="E301" s="16" t="s">
        <v>2107</v>
      </c>
      <c r="F301" s="17" t="s">
        <v>1271</v>
      </c>
      <c r="G301" s="3" t="s">
        <v>3699</v>
      </c>
      <c r="H301" s="6">
        <v>6290.9759999999997</v>
      </c>
      <c r="I301">
        <f t="shared" si="8"/>
        <v>3</v>
      </c>
      <c r="J301">
        <f t="shared" si="9"/>
        <v>97</v>
      </c>
    </row>
    <row r="302" spans="2:10" ht="15.5" x14ac:dyDescent="0.35">
      <c r="B302" s="3" t="s">
        <v>419</v>
      </c>
      <c r="C302" s="16" t="s">
        <v>2967</v>
      </c>
      <c r="D302" s="17" t="s">
        <v>861</v>
      </c>
      <c r="E302" s="16" t="s">
        <v>2108</v>
      </c>
      <c r="F302" s="17" t="s">
        <v>1272</v>
      </c>
      <c r="G302" s="3" t="s">
        <v>3700</v>
      </c>
      <c r="H302" s="6">
        <v>23069.647999999997</v>
      </c>
      <c r="I302">
        <f t="shared" si="8"/>
        <v>3</v>
      </c>
      <c r="J302">
        <f t="shared" si="9"/>
        <v>97</v>
      </c>
    </row>
    <row r="303" spans="2:10" ht="15.5" x14ac:dyDescent="0.35">
      <c r="B303" s="3" t="s">
        <v>420</v>
      </c>
      <c r="C303" s="16" t="s">
        <v>2968</v>
      </c>
      <c r="D303" s="17" t="s">
        <v>861</v>
      </c>
      <c r="E303" s="16" t="s">
        <v>2109</v>
      </c>
      <c r="F303" s="17" t="s">
        <v>1273</v>
      </c>
      <c r="G303" s="3" t="s">
        <v>3700</v>
      </c>
      <c r="H303" s="6">
        <v>8886.8319999999985</v>
      </c>
      <c r="I303">
        <f t="shared" si="8"/>
        <v>99</v>
      </c>
      <c r="J303">
        <f t="shared" si="9"/>
        <v>97</v>
      </c>
    </row>
    <row r="304" spans="2:10" ht="15.5" hidden="1" x14ac:dyDescent="0.35">
      <c r="B304" s="3" t="s">
        <v>421</v>
      </c>
      <c r="C304" s="16" t="s">
        <v>2969</v>
      </c>
      <c r="D304" s="17" t="s">
        <v>860</v>
      </c>
      <c r="E304" s="16" t="s">
        <v>2110</v>
      </c>
      <c r="F304" s="17" t="s">
        <v>1274</v>
      </c>
      <c r="G304" s="3" t="s">
        <v>3701</v>
      </c>
      <c r="H304" s="6">
        <v>11435.264000000001</v>
      </c>
      <c r="I304">
        <f t="shared" si="8"/>
        <v>86</v>
      </c>
      <c r="J304">
        <f t="shared" si="9"/>
        <v>73</v>
      </c>
    </row>
    <row r="305" spans="2:10" ht="15.5" hidden="1" x14ac:dyDescent="0.35">
      <c r="B305" s="3" t="s">
        <v>423</v>
      </c>
      <c r="C305" s="16" t="s">
        <v>2971</v>
      </c>
      <c r="D305" s="17" t="s">
        <v>861</v>
      </c>
      <c r="E305" s="16" t="s">
        <v>2112</v>
      </c>
      <c r="F305" s="17" t="s">
        <v>1276</v>
      </c>
      <c r="G305" s="3" t="s">
        <v>3702</v>
      </c>
      <c r="H305" s="6">
        <v>21461.488000000001</v>
      </c>
      <c r="I305">
        <f t="shared" si="8"/>
        <v>89</v>
      </c>
      <c r="J305">
        <f t="shared" si="9"/>
        <v>73</v>
      </c>
    </row>
    <row r="306" spans="2:10" ht="15.5" x14ac:dyDescent="0.35">
      <c r="B306" s="3" t="s">
        <v>424</v>
      </c>
      <c r="C306" s="16" t="s">
        <v>2972</v>
      </c>
      <c r="D306" s="17" t="s">
        <v>860</v>
      </c>
      <c r="E306" s="16" t="s">
        <v>2113</v>
      </c>
      <c r="F306" s="17" t="s">
        <v>1277</v>
      </c>
      <c r="G306" s="3" t="s">
        <v>3702</v>
      </c>
      <c r="H306" s="6">
        <v>18158.223999999998</v>
      </c>
      <c r="I306">
        <f t="shared" si="8"/>
        <v>3</v>
      </c>
      <c r="J306">
        <f t="shared" si="9"/>
        <v>97</v>
      </c>
    </row>
    <row r="307" spans="2:10" ht="15.5" x14ac:dyDescent="0.35">
      <c r="B307" s="3" t="s">
        <v>425</v>
      </c>
      <c r="C307" s="16" t="s">
        <v>2973</v>
      </c>
      <c r="D307" s="17" t="s">
        <v>861</v>
      </c>
      <c r="E307" s="16" t="s">
        <v>2114</v>
      </c>
      <c r="F307" s="17" t="s">
        <v>1278</v>
      </c>
      <c r="G307" s="3" t="s">
        <v>3702</v>
      </c>
      <c r="H307" s="6">
        <v>19345.648000000001</v>
      </c>
      <c r="I307">
        <f t="shared" si="8"/>
        <v>3</v>
      </c>
      <c r="J307">
        <f t="shared" si="9"/>
        <v>97</v>
      </c>
    </row>
    <row r="308" spans="2:10" ht="15.5" x14ac:dyDescent="0.35">
      <c r="B308" s="3" t="s">
        <v>427</v>
      </c>
      <c r="C308" s="16" t="s">
        <v>2975</v>
      </c>
      <c r="D308" s="17" t="s">
        <v>860</v>
      </c>
      <c r="E308" s="16" t="s">
        <v>2116</v>
      </c>
      <c r="F308" s="17" t="s">
        <v>1280</v>
      </c>
      <c r="G308" s="3" t="s">
        <v>3703</v>
      </c>
      <c r="H308" s="6">
        <v>10590.751999999999</v>
      </c>
      <c r="I308">
        <f t="shared" si="8"/>
        <v>11</v>
      </c>
      <c r="J308">
        <f t="shared" si="9"/>
        <v>97</v>
      </c>
    </row>
    <row r="309" spans="2:10" ht="15.5" hidden="1" x14ac:dyDescent="0.35">
      <c r="B309" s="3" t="s">
        <v>428</v>
      </c>
      <c r="C309" s="16" t="s">
        <v>2976</v>
      </c>
      <c r="D309" s="17" t="s">
        <v>860</v>
      </c>
      <c r="E309" s="16" t="s">
        <v>2117</v>
      </c>
      <c r="F309" s="17" t="s">
        <v>1281</v>
      </c>
      <c r="G309" s="3" t="s">
        <v>3704</v>
      </c>
      <c r="H309" s="6">
        <v>69151.792000000001</v>
      </c>
      <c r="I309">
        <f t="shared" si="8"/>
        <v>89</v>
      </c>
      <c r="J309">
        <f t="shared" si="9"/>
        <v>73</v>
      </c>
    </row>
    <row r="310" spans="2:10" ht="15.5" x14ac:dyDescent="0.35">
      <c r="B310" s="3" t="s">
        <v>429</v>
      </c>
      <c r="C310" s="16" t="s">
        <v>2977</v>
      </c>
      <c r="D310" s="17" t="s">
        <v>860</v>
      </c>
      <c r="E310" s="16" t="s">
        <v>2118</v>
      </c>
      <c r="F310" s="17" t="s">
        <v>1282</v>
      </c>
      <c r="G310" s="3" t="s">
        <v>3705</v>
      </c>
      <c r="H310" s="6">
        <v>6992.3039999999992</v>
      </c>
      <c r="I310">
        <f t="shared" si="8"/>
        <v>11</v>
      </c>
      <c r="J310">
        <f t="shared" si="9"/>
        <v>97</v>
      </c>
    </row>
    <row r="311" spans="2:10" ht="15.5" x14ac:dyDescent="0.35">
      <c r="B311" s="3" t="s">
        <v>430</v>
      </c>
      <c r="C311" s="16" t="s">
        <v>2978</v>
      </c>
      <c r="D311" s="17" t="s">
        <v>860</v>
      </c>
      <c r="E311" s="16" t="s">
        <v>2119</v>
      </c>
      <c r="F311" s="17" t="s">
        <v>1283</v>
      </c>
      <c r="G311" s="3" t="s">
        <v>3705</v>
      </c>
      <c r="H311" s="6">
        <v>15014.255999999999</v>
      </c>
      <c r="I311">
        <f t="shared" si="8"/>
        <v>0</v>
      </c>
      <c r="J311">
        <f t="shared" si="9"/>
        <v>97</v>
      </c>
    </row>
    <row r="312" spans="2:10" ht="15.5" hidden="1" x14ac:dyDescent="0.35">
      <c r="B312" s="3" t="s">
        <v>432</v>
      </c>
      <c r="C312" s="16" t="s">
        <v>2980</v>
      </c>
      <c r="D312" s="17" t="s">
        <v>861</v>
      </c>
      <c r="E312" s="16" t="s">
        <v>2121</v>
      </c>
      <c r="F312" s="17" t="s">
        <v>1285</v>
      </c>
      <c r="G312" s="3" t="s">
        <v>3706</v>
      </c>
      <c r="H312" s="6">
        <v>5632.2079999999996</v>
      </c>
      <c r="I312">
        <f t="shared" si="8"/>
        <v>89</v>
      </c>
      <c r="J312">
        <f t="shared" si="9"/>
        <v>73</v>
      </c>
    </row>
    <row r="313" spans="2:10" ht="15.5" x14ac:dyDescent="0.35">
      <c r="B313" s="3" t="s">
        <v>433</v>
      </c>
      <c r="C313" s="16" t="s">
        <v>2981</v>
      </c>
      <c r="D313" s="17" t="s">
        <v>861</v>
      </c>
      <c r="E313" s="16" t="s">
        <v>2122</v>
      </c>
      <c r="F313" s="17" t="s">
        <v>1286</v>
      </c>
      <c r="G313" s="3" t="s">
        <v>3707</v>
      </c>
      <c r="H313" s="6">
        <v>5632.2079999999996</v>
      </c>
      <c r="I313">
        <f t="shared" si="8"/>
        <v>4</v>
      </c>
      <c r="J313">
        <f t="shared" si="9"/>
        <v>97</v>
      </c>
    </row>
    <row r="314" spans="2:10" ht="15.5" x14ac:dyDescent="0.35">
      <c r="B314" s="3" t="s">
        <v>434</v>
      </c>
      <c r="C314" s="16" t="s">
        <v>2982</v>
      </c>
      <c r="D314" s="17" t="s">
        <v>860</v>
      </c>
      <c r="E314" s="16" t="s">
        <v>2123</v>
      </c>
      <c r="F314" s="17" t="s">
        <v>1287</v>
      </c>
      <c r="G314" s="3" t="s">
        <v>3708</v>
      </c>
      <c r="H314" s="6">
        <v>5632.2079999999996</v>
      </c>
      <c r="I314">
        <f t="shared" si="8"/>
        <v>10</v>
      </c>
      <c r="J314">
        <f t="shared" si="9"/>
        <v>97</v>
      </c>
    </row>
    <row r="315" spans="2:10" ht="15.5" x14ac:dyDescent="0.35">
      <c r="B315" s="3" t="s">
        <v>435</v>
      </c>
      <c r="C315" s="16" t="s">
        <v>2983</v>
      </c>
      <c r="D315" s="17" t="s">
        <v>861</v>
      </c>
      <c r="E315" s="16" t="s">
        <v>2124</v>
      </c>
      <c r="F315" s="17" t="s">
        <v>1288</v>
      </c>
      <c r="G315" s="3" t="s">
        <v>3708</v>
      </c>
      <c r="H315" s="6">
        <v>17150.767999999996</v>
      </c>
      <c r="I315">
        <f t="shared" si="8"/>
        <v>9</v>
      </c>
      <c r="J315">
        <f t="shared" si="9"/>
        <v>97</v>
      </c>
    </row>
    <row r="316" spans="2:10" ht="15.5" x14ac:dyDescent="0.35">
      <c r="B316" s="3" t="s">
        <v>437</v>
      </c>
      <c r="C316" s="16" t="s">
        <v>2985</v>
      </c>
      <c r="D316" s="17" t="s">
        <v>860</v>
      </c>
      <c r="E316" s="16" t="s">
        <v>2126</v>
      </c>
      <c r="F316" s="17" t="s">
        <v>1290</v>
      </c>
      <c r="G316" s="3" t="s">
        <v>3709</v>
      </c>
      <c r="H316" s="6">
        <v>21829.328000000001</v>
      </c>
      <c r="I316">
        <f t="shared" si="8"/>
        <v>5</v>
      </c>
      <c r="J316">
        <f t="shared" si="9"/>
        <v>97</v>
      </c>
    </row>
    <row r="317" spans="2:10" ht="15.5" x14ac:dyDescent="0.35">
      <c r="B317" s="3" t="s">
        <v>438</v>
      </c>
      <c r="C317" s="16" t="s">
        <v>2986</v>
      </c>
      <c r="D317" s="17" t="s">
        <v>860</v>
      </c>
      <c r="E317" s="16" t="s">
        <v>2127</v>
      </c>
      <c r="F317" s="17" t="s">
        <v>1291</v>
      </c>
      <c r="G317" s="3" t="s">
        <v>3710</v>
      </c>
      <c r="H317" s="6">
        <v>20200.191999999999</v>
      </c>
      <c r="I317">
        <f t="shared" si="8"/>
        <v>7</v>
      </c>
      <c r="J317">
        <f t="shared" si="9"/>
        <v>97</v>
      </c>
    </row>
    <row r="318" spans="2:10" ht="15.5" x14ac:dyDescent="0.35">
      <c r="B318" s="3" t="s">
        <v>439</v>
      </c>
      <c r="C318" s="16" t="s">
        <v>2987</v>
      </c>
      <c r="D318" s="17" t="s">
        <v>860</v>
      </c>
      <c r="E318" s="16" t="s">
        <v>2128</v>
      </c>
      <c r="F318" s="17" t="s">
        <v>1292</v>
      </c>
      <c r="G318" s="3" t="s">
        <v>3711</v>
      </c>
      <c r="H318" s="6">
        <v>7330.3519999999999</v>
      </c>
      <c r="I318">
        <f t="shared" si="8"/>
        <v>15</v>
      </c>
      <c r="J318">
        <f t="shared" si="9"/>
        <v>97</v>
      </c>
    </row>
    <row r="319" spans="2:10" ht="15.5" x14ac:dyDescent="0.35">
      <c r="B319" s="3" t="s">
        <v>440</v>
      </c>
      <c r="C319" s="16" t="s">
        <v>2988</v>
      </c>
      <c r="D319" s="17" t="s">
        <v>861</v>
      </c>
      <c r="E319" s="16" t="s">
        <v>2129</v>
      </c>
      <c r="F319" s="17" t="s">
        <v>1293</v>
      </c>
      <c r="G319" s="3" t="s">
        <v>3712</v>
      </c>
      <c r="H319" s="6">
        <v>5632.2079999999996</v>
      </c>
      <c r="I319">
        <f t="shared" si="8"/>
        <v>11</v>
      </c>
      <c r="J319">
        <f t="shared" si="9"/>
        <v>97</v>
      </c>
    </row>
    <row r="320" spans="2:10" ht="15.5" hidden="1" x14ac:dyDescent="0.35">
      <c r="B320" s="3" t="s">
        <v>441</v>
      </c>
      <c r="C320" s="16" t="s">
        <v>2989</v>
      </c>
      <c r="D320" s="17" t="s">
        <v>861</v>
      </c>
      <c r="E320" s="16" t="s">
        <v>2130</v>
      </c>
      <c r="F320" s="17" t="s">
        <v>1294</v>
      </c>
      <c r="G320" s="3" t="s">
        <v>3713</v>
      </c>
      <c r="H320" s="6">
        <v>17592.175999999999</v>
      </c>
      <c r="I320">
        <f t="shared" si="8"/>
        <v>95</v>
      </c>
      <c r="J320">
        <f t="shared" si="9"/>
        <v>73</v>
      </c>
    </row>
    <row r="321" spans="2:10" ht="15.5" x14ac:dyDescent="0.35">
      <c r="B321" s="3" t="s">
        <v>442</v>
      </c>
      <c r="C321" s="16" t="s">
        <v>2990</v>
      </c>
      <c r="D321" s="17" t="s">
        <v>861</v>
      </c>
      <c r="E321" s="16" t="s">
        <v>2131</v>
      </c>
      <c r="F321" s="17" t="s">
        <v>1295</v>
      </c>
      <c r="G321" s="3" t="s">
        <v>3714</v>
      </c>
      <c r="H321" s="6">
        <v>13089.023999999999</v>
      </c>
      <c r="I321">
        <f t="shared" si="8"/>
        <v>10</v>
      </c>
      <c r="J321">
        <f t="shared" si="9"/>
        <v>97</v>
      </c>
    </row>
    <row r="322" spans="2:10" ht="15.5" x14ac:dyDescent="0.35">
      <c r="B322" s="3" t="s">
        <v>444</v>
      </c>
      <c r="C322" s="16" t="s">
        <v>2992</v>
      </c>
      <c r="D322" s="17" t="s">
        <v>861</v>
      </c>
      <c r="E322" s="16" t="s">
        <v>2133</v>
      </c>
      <c r="F322" s="17" t="s">
        <v>1297</v>
      </c>
      <c r="G322" s="3" t="s">
        <v>3715</v>
      </c>
      <c r="H322" s="6">
        <v>8219.5519999999997</v>
      </c>
      <c r="I322">
        <f t="shared" si="8"/>
        <v>9</v>
      </c>
      <c r="J322">
        <f t="shared" si="9"/>
        <v>97</v>
      </c>
    </row>
    <row r="323" spans="2:10" ht="15.5" hidden="1" x14ac:dyDescent="0.35">
      <c r="B323" s="3" t="s">
        <v>445</v>
      </c>
      <c r="C323" s="16" t="s">
        <v>2993</v>
      </c>
      <c r="D323" s="17" t="s">
        <v>860</v>
      </c>
      <c r="E323" s="16" t="s">
        <v>2134</v>
      </c>
      <c r="F323" s="17" t="s">
        <v>1298</v>
      </c>
      <c r="G323" s="3" t="s">
        <v>3716</v>
      </c>
      <c r="H323" s="6">
        <v>5632.2079999999996</v>
      </c>
      <c r="I323">
        <f t="shared" si="8"/>
        <v>87</v>
      </c>
      <c r="J323">
        <f t="shared" si="9"/>
        <v>73</v>
      </c>
    </row>
    <row r="324" spans="2:10" ht="15.5" hidden="1" x14ac:dyDescent="0.35">
      <c r="B324" s="3" t="s">
        <v>446</v>
      </c>
      <c r="C324" s="16" t="s">
        <v>2994</v>
      </c>
      <c r="D324" s="17" t="s">
        <v>860</v>
      </c>
      <c r="E324" s="16" t="s">
        <v>2135</v>
      </c>
      <c r="F324" s="17" t="s">
        <v>1299</v>
      </c>
      <c r="G324" s="3" t="s">
        <v>3717</v>
      </c>
      <c r="H324" s="6">
        <v>22229.088</v>
      </c>
      <c r="I324">
        <f t="shared" ref="I324:I387" si="10">_xlfn.NUMBERVALUE(MID(C324,3,2))</f>
        <v>93</v>
      </c>
      <c r="J324">
        <f t="shared" ref="J324:J387" si="11">IF(I324&gt;25,IF(I324&lt;=97,73,97),97)</f>
        <v>73</v>
      </c>
    </row>
    <row r="325" spans="2:10" ht="15.5" x14ac:dyDescent="0.35">
      <c r="B325" s="3" t="s">
        <v>447</v>
      </c>
      <c r="C325" s="16" t="s">
        <v>2995</v>
      </c>
      <c r="D325" s="17" t="s">
        <v>861</v>
      </c>
      <c r="E325" s="16" t="s">
        <v>2136</v>
      </c>
      <c r="F325" s="17" t="s">
        <v>1300</v>
      </c>
      <c r="G325" s="3" t="s">
        <v>3718</v>
      </c>
      <c r="H325" s="6">
        <v>8801.4079999999994</v>
      </c>
      <c r="I325">
        <f t="shared" si="10"/>
        <v>17</v>
      </c>
      <c r="J325">
        <f t="shared" si="11"/>
        <v>97</v>
      </c>
    </row>
    <row r="326" spans="2:10" ht="15.5" hidden="1" x14ac:dyDescent="0.35">
      <c r="B326" s="3" t="s">
        <v>448</v>
      </c>
      <c r="C326" s="16" t="s">
        <v>2996</v>
      </c>
      <c r="D326" s="17" t="s">
        <v>861</v>
      </c>
      <c r="E326" s="16" t="s">
        <v>2137</v>
      </c>
      <c r="F326" s="17" t="s">
        <v>1301</v>
      </c>
      <c r="G326" s="3" t="s">
        <v>3719</v>
      </c>
      <c r="H326" s="6">
        <v>5632.2079999999996</v>
      </c>
      <c r="I326">
        <f t="shared" si="10"/>
        <v>95</v>
      </c>
      <c r="J326">
        <f t="shared" si="11"/>
        <v>73</v>
      </c>
    </row>
    <row r="327" spans="2:10" ht="15.5" x14ac:dyDescent="0.35">
      <c r="B327" s="3" t="s">
        <v>449</v>
      </c>
      <c r="C327" s="16" t="s">
        <v>2997</v>
      </c>
      <c r="D327" s="17" t="s">
        <v>861</v>
      </c>
      <c r="E327" s="16" t="s">
        <v>2138</v>
      </c>
      <c r="F327" s="17" t="s">
        <v>1302</v>
      </c>
      <c r="G327" s="3" t="s">
        <v>3719</v>
      </c>
      <c r="H327" s="6">
        <v>5632.2079999999996</v>
      </c>
      <c r="I327">
        <f t="shared" si="10"/>
        <v>15</v>
      </c>
      <c r="J327">
        <f t="shared" si="11"/>
        <v>97</v>
      </c>
    </row>
    <row r="328" spans="2:10" ht="15.5" x14ac:dyDescent="0.35">
      <c r="B328" s="3" t="s">
        <v>450</v>
      </c>
      <c r="C328" s="16" t="s">
        <v>2998</v>
      </c>
      <c r="D328" s="17" t="s">
        <v>860</v>
      </c>
      <c r="E328" s="16" t="s">
        <v>2139</v>
      </c>
      <c r="F328" s="17" t="s">
        <v>1303</v>
      </c>
      <c r="G328" s="3" t="s">
        <v>3719</v>
      </c>
      <c r="H328" s="6">
        <v>77473.574640000006</v>
      </c>
      <c r="I328">
        <f t="shared" si="10"/>
        <v>5</v>
      </c>
      <c r="J328">
        <f t="shared" si="11"/>
        <v>97</v>
      </c>
    </row>
    <row r="329" spans="2:10" ht="15.5" hidden="1" x14ac:dyDescent="0.35">
      <c r="B329" s="3" t="s">
        <v>451</v>
      </c>
      <c r="C329" s="16" t="s">
        <v>2999</v>
      </c>
      <c r="D329" s="17" t="s">
        <v>860</v>
      </c>
      <c r="E329" s="16" t="s">
        <v>2140</v>
      </c>
      <c r="F329" s="17" t="s">
        <v>1304</v>
      </c>
      <c r="G329" s="3" t="s">
        <v>3720</v>
      </c>
      <c r="H329" s="6">
        <v>16453.696</v>
      </c>
      <c r="I329">
        <f t="shared" si="10"/>
        <v>90</v>
      </c>
      <c r="J329">
        <f t="shared" si="11"/>
        <v>73</v>
      </c>
    </row>
    <row r="330" spans="2:10" ht="15.5" x14ac:dyDescent="0.35">
      <c r="B330" s="3" t="s">
        <v>452</v>
      </c>
      <c r="C330" s="16" t="s">
        <v>3000</v>
      </c>
      <c r="D330" s="17" t="s">
        <v>860</v>
      </c>
      <c r="E330" s="16" t="s">
        <v>2141</v>
      </c>
      <c r="F330" s="17" t="s">
        <v>1305</v>
      </c>
      <c r="G330" s="3" t="s">
        <v>3721</v>
      </c>
      <c r="H330" s="6">
        <v>12131.727999999999</v>
      </c>
      <c r="I330">
        <f t="shared" si="10"/>
        <v>16</v>
      </c>
      <c r="J330">
        <f t="shared" si="11"/>
        <v>97</v>
      </c>
    </row>
    <row r="331" spans="2:10" ht="15.5" x14ac:dyDescent="0.35">
      <c r="B331" s="3" t="s">
        <v>453</v>
      </c>
      <c r="C331" s="16" t="s">
        <v>3001</v>
      </c>
      <c r="D331" s="17" t="s">
        <v>861</v>
      </c>
      <c r="E331" s="16" t="s">
        <v>2142</v>
      </c>
      <c r="F331" s="17" t="s">
        <v>1306</v>
      </c>
      <c r="G331" s="3" t="s">
        <v>3721</v>
      </c>
      <c r="H331" s="6">
        <v>16422.991999999998</v>
      </c>
      <c r="I331">
        <f t="shared" si="10"/>
        <v>9</v>
      </c>
      <c r="J331">
        <f t="shared" si="11"/>
        <v>97</v>
      </c>
    </row>
    <row r="332" spans="2:10" ht="15.5" hidden="1" x14ac:dyDescent="0.35">
      <c r="B332" s="3" t="s">
        <v>456</v>
      </c>
      <c r="C332" s="16" t="s">
        <v>3004</v>
      </c>
      <c r="D332" s="17" t="s">
        <v>861</v>
      </c>
      <c r="E332" s="16" t="s">
        <v>2145</v>
      </c>
      <c r="F332" s="17" t="s">
        <v>1309</v>
      </c>
      <c r="G332" s="3" t="s">
        <v>3722</v>
      </c>
      <c r="H332" s="6">
        <v>9238.8639999999996</v>
      </c>
      <c r="I332">
        <f t="shared" si="10"/>
        <v>90</v>
      </c>
      <c r="J332">
        <f t="shared" si="11"/>
        <v>73</v>
      </c>
    </row>
    <row r="333" spans="2:10" ht="15.5" x14ac:dyDescent="0.35">
      <c r="B333" s="3" t="s">
        <v>457</v>
      </c>
      <c r="C333" s="16" t="s">
        <v>3005</v>
      </c>
      <c r="D333" s="17" t="s">
        <v>861</v>
      </c>
      <c r="E333" s="16" t="s">
        <v>2146</v>
      </c>
      <c r="F333" s="17" t="s">
        <v>1310</v>
      </c>
      <c r="G333" s="3" t="s">
        <v>3723</v>
      </c>
      <c r="H333" s="6">
        <v>13674.527999999998</v>
      </c>
      <c r="I333">
        <f t="shared" si="10"/>
        <v>10</v>
      </c>
      <c r="J333">
        <f t="shared" si="11"/>
        <v>97</v>
      </c>
    </row>
    <row r="334" spans="2:10" ht="15.5" hidden="1" x14ac:dyDescent="0.35">
      <c r="B334" s="3" t="s">
        <v>458</v>
      </c>
      <c r="C334" s="16" t="s">
        <v>3006</v>
      </c>
      <c r="D334" s="17" t="s">
        <v>861</v>
      </c>
      <c r="E334" s="16" t="s">
        <v>2147</v>
      </c>
      <c r="F334" s="17" t="s">
        <v>1311</v>
      </c>
      <c r="G334" s="3" t="s">
        <v>3724</v>
      </c>
      <c r="H334" s="6">
        <v>5632.2079999999996</v>
      </c>
      <c r="I334">
        <f t="shared" si="10"/>
        <v>88</v>
      </c>
      <c r="J334">
        <f t="shared" si="11"/>
        <v>73</v>
      </c>
    </row>
    <row r="335" spans="2:10" ht="15.5" hidden="1" x14ac:dyDescent="0.35">
      <c r="B335" s="3" t="s">
        <v>459</v>
      </c>
      <c r="C335" s="16" t="s">
        <v>3007</v>
      </c>
      <c r="D335" s="17" t="s">
        <v>861</v>
      </c>
      <c r="E335" s="16" t="s">
        <v>2148</v>
      </c>
      <c r="F335" s="17" t="s">
        <v>1312</v>
      </c>
      <c r="G335" s="3" t="s">
        <v>3725</v>
      </c>
      <c r="H335" s="6">
        <v>8326.56</v>
      </c>
      <c r="I335">
        <f t="shared" si="10"/>
        <v>92</v>
      </c>
      <c r="J335">
        <f t="shared" si="11"/>
        <v>73</v>
      </c>
    </row>
    <row r="336" spans="2:10" ht="15.5" x14ac:dyDescent="0.35">
      <c r="B336" s="3" t="s">
        <v>460</v>
      </c>
      <c r="C336" s="16" t="s">
        <v>3008</v>
      </c>
      <c r="D336" s="17" t="s">
        <v>861</v>
      </c>
      <c r="E336" s="16" t="s">
        <v>2149</v>
      </c>
      <c r="F336" s="17" t="s">
        <v>1313</v>
      </c>
      <c r="G336" s="3" t="s">
        <v>3726</v>
      </c>
      <c r="H336" s="6">
        <v>13211.535999999998</v>
      </c>
      <c r="I336">
        <f t="shared" si="10"/>
        <v>17</v>
      </c>
      <c r="J336">
        <f t="shared" si="11"/>
        <v>97</v>
      </c>
    </row>
    <row r="337" spans="2:10" ht="15.5" hidden="1" x14ac:dyDescent="0.35">
      <c r="B337" s="3" t="s">
        <v>461</v>
      </c>
      <c r="C337" s="16" t="s">
        <v>3009</v>
      </c>
      <c r="D337" s="17" t="s">
        <v>861</v>
      </c>
      <c r="E337" s="16" t="s">
        <v>2150</v>
      </c>
      <c r="F337" s="17" t="s">
        <v>1314</v>
      </c>
      <c r="G337" s="3" t="s">
        <v>3727</v>
      </c>
      <c r="H337" s="6">
        <v>20198.063999999998</v>
      </c>
      <c r="I337">
        <f t="shared" si="10"/>
        <v>86</v>
      </c>
      <c r="J337">
        <f t="shared" si="11"/>
        <v>73</v>
      </c>
    </row>
    <row r="338" spans="2:10" ht="15.5" hidden="1" x14ac:dyDescent="0.35">
      <c r="B338" s="3" t="s">
        <v>462</v>
      </c>
      <c r="C338" s="16" t="s">
        <v>3010</v>
      </c>
      <c r="D338" s="17" t="s">
        <v>861</v>
      </c>
      <c r="E338" s="16" t="s">
        <v>2151</v>
      </c>
      <c r="F338" s="17" t="s">
        <v>1315</v>
      </c>
      <c r="G338" s="3" t="s">
        <v>3728</v>
      </c>
      <c r="H338" s="6">
        <v>5891.52</v>
      </c>
      <c r="I338">
        <f t="shared" si="10"/>
        <v>90</v>
      </c>
      <c r="J338">
        <f t="shared" si="11"/>
        <v>73</v>
      </c>
    </row>
    <row r="339" spans="2:10" ht="15.5" x14ac:dyDescent="0.35">
      <c r="B339" s="3" t="s">
        <v>464</v>
      </c>
      <c r="C339" s="16" t="s">
        <v>3012</v>
      </c>
      <c r="D339" s="17" t="s">
        <v>861</v>
      </c>
      <c r="E339" s="16" t="s">
        <v>2153</v>
      </c>
      <c r="F339" s="17" t="s">
        <v>1317</v>
      </c>
      <c r="G339" s="3" t="s">
        <v>3729</v>
      </c>
      <c r="H339" s="6">
        <v>11875.759999999998</v>
      </c>
      <c r="I339">
        <f t="shared" si="10"/>
        <v>9</v>
      </c>
      <c r="J339">
        <f t="shared" si="11"/>
        <v>97</v>
      </c>
    </row>
    <row r="340" spans="2:10" ht="15.5" x14ac:dyDescent="0.35">
      <c r="B340" s="3" t="s">
        <v>465</v>
      </c>
      <c r="C340" s="16" t="s">
        <v>3013</v>
      </c>
      <c r="D340" s="17" t="s">
        <v>861</v>
      </c>
      <c r="E340" s="16" t="s">
        <v>2154</v>
      </c>
      <c r="F340" s="17" t="s">
        <v>1318</v>
      </c>
      <c r="G340" s="3" t="s">
        <v>3730</v>
      </c>
      <c r="H340" s="6">
        <v>23917.503999999997</v>
      </c>
      <c r="I340">
        <f t="shared" si="10"/>
        <v>10</v>
      </c>
      <c r="J340">
        <f t="shared" si="11"/>
        <v>97</v>
      </c>
    </row>
    <row r="341" spans="2:10" ht="15.5" x14ac:dyDescent="0.35">
      <c r="B341" s="3" t="s">
        <v>466</v>
      </c>
      <c r="C341" s="16" t="s">
        <v>3014</v>
      </c>
      <c r="D341" s="17" t="s">
        <v>860</v>
      </c>
      <c r="E341" s="16" t="s">
        <v>2155</v>
      </c>
      <c r="F341" s="17" t="s">
        <v>1319</v>
      </c>
      <c r="G341" s="3" t="s">
        <v>3731</v>
      </c>
      <c r="H341" s="6">
        <v>10456.688</v>
      </c>
      <c r="I341">
        <f t="shared" si="10"/>
        <v>12</v>
      </c>
      <c r="J341">
        <f t="shared" si="11"/>
        <v>97</v>
      </c>
    </row>
    <row r="342" spans="2:10" ht="15.5" x14ac:dyDescent="0.35">
      <c r="B342" s="3" t="s">
        <v>467</v>
      </c>
      <c r="C342" s="16" t="s">
        <v>3015</v>
      </c>
      <c r="D342" s="17" t="s">
        <v>861</v>
      </c>
      <c r="E342" s="16" t="s">
        <v>2156</v>
      </c>
      <c r="F342" s="17" t="s">
        <v>1320</v>
      </c>
      <c r="G342" s="3" t="s">
        <v>3732</v>
      </c>
      <c r="H342" s="6">
        <v>10616.592000000001</v>
      </c>
      <c r="I342">
        <f t="shared" si="10"/>
        <v>13</v>
      </c>
      <c r="J342">
        <f t="shared" si="11"/>
        <v>97</v>
      </c>
    </row>
    <row r="343" spans="2:10" ht="15.5" x14ac:dyDescent="0.35">
      <c r="B343" s="3" t="s">
        <v>468</v>
      </c>
      <c r="C343" s="3" t="s">
        <v>3016</v>
      </c>
      <c r="D343" s="17" t="s">
        <v>861</v>
      </c>
      <c r="E343" s="3" t="s">
        <v>2157</v>
      </c>
      <c r="F343" s="17" t="s">
        <v>1321</v>
      </c>
      <c r="G343" s="3" t="s">
        <v>3733</v>
      </c>
      <c r="H343" s="6">
        <v>5632.2079999999996</v>
      </c>
      <c r="I343">
        <f t="shared" si="10"/>
        <v>1</v>
      </c>
      <c r="J343">
        <f t="shared" si="11"/>
        <v>97</v>
      </c>
    </row>
    <row r="344" spans="2:10" ht="15.5" x14ac:dyDescent="0.35">
      <c r="B344" s="3" t="s">
        <v>469</v>
      </c>
      <c r="C344" s="16" t="s">
        <v>3017</v>
      </c>
      <c r="D344" s="17" t="s">
        <v>861</v>
      </c>
      <c r="E344" s="16" t="s">
        <v>2158</v>
      </c>
      <c r="F344" s="17" t="s">
        <v>1322</v>
      </c>
      <c r="G344" s="3" t="s">
        <v>3733</v>
      </c>
      <c r="H344" s="6">
        <v>87144.116572799991</v>
      </c>
      <c r="I344">
        <f t="shared" si="10"/>
        <v>8</v>
      </c>
      <c r="J344">
        <f t="shared" si="11"/>
        <v>97</v>
      </c>
    </row>
    <row r="345" spans="2:10" ht="15.5" hidden="1" x14ac:dyDescent="0.35">
      <c r="B345" s="3" t="s">
        <v>472</v>
      </c>
      <c r="C345" s="16" t="s">
        <v>3020</v>
      </c>
      <c r="D345" s="17" t="s">
        <v>860</v>
      </c>
      <c r="E345" s="16" t="s">
        <v>2161</v>
      </c>
      <c r="F345" s="17" t="s">
        <v>1325</v>
      </c>
      <c r="G345" s="3" t="s">
        <v>3734</v>
      </c>
      <c r="H345" s="6">
        <v>18133.903999999999</v>
      </c>
      <c r="I345">
        <f t="shared" si="10"/>
        <v>93</v>
      </c>
      <c r="J345">
        <f t="shared" si="11"/>
        <v>73</v>
      </c>
    </row>
    <row r="346" spans="2:10" ht="15.5" x14ac:dyDescent="0.35">
      <c r="B346" s="3" t="s">
        <v>473</v>
      </c>
      <c r="C346" s="16" t="s">
        <v>3021</v>
      </c>
      <c r="D346" s="17" t="s">
        <v>861</v>
      </c>
      <c r="E346" s="16" t="s">
        <v>2162</v>
      </c>
      <c r="F346" s="17" t="s">
        <v>1326</v>
      </c>
      <c r="G346" s="3" t="s">
        <v>3734</v>
      </c>
      <c r="H346" s="6">
        <v>21963.088</v>
      </c>
      <c r="I346">
        <f t="shared" si="10"/>
        <v>12</v>
      </c>
      <c r="J346">
        <f t="shared" si="11"/>
        <v>97</v>
      </c>
    </row>
    <row r="347" spans="2:10" ht="15.5" hidden="1" x14ac:dyDescent="0.35">
      <c r="B347" s="3" t="s">
        <v>3735</v>
      </c>
      <c r="C347" s="16" t="s">
        <v>3736</v>
      </c>
      <c r="D347" s="17" t="s">
        <v>861</v>
      </c>
      <c r="E347" s="16" t="s">
        <v>3737</v>
      </c>
      <c r="F347" s="17" t="s">
        <v>3738</v>
      </c>
      <c r="G347" s="3" t="s">
        <v>3739</v>
      </c>
      <c r="H347" s="6">
        <v>24573.232</v>
      </c>
      <c r="I347">
        <f t="shared" si="10"/>
        <v>92</v>
      </c>
      <c r="J347">
        <f t="shared" si="11"/>
        <v>73</v>
      </c>
    </row>
    <row r="348" spans="2:10" ht="15.5" x14ac:dyDescent="0.35">
      <c r="B348" s="3" t="s">
        <v>474</v>
      </c>
      <c r="C348" s="16" t="s">
        <v>3022</v>
      </c>
      <c r="D348" s="17" t="s">
        <v>861</v>
      </c>
      <c r="E348" s="16" t="s">
        <v>2163</v>
      </c>
      <c r="F348" s="17" t="s">
        <v>1327</v>
      </c>
      <c r="G348" s="3" t="s">
        <v>3740</v>
      </c>
      <c r="H348" s="6">
        <v>19204.896000000001</v>
      </c>
      <c r="I348">
        <f t="shared" si="10"/>
        <v>13</v>
      </c>
      <c r="J348">
        <f t="shared" si="11"/>
        <v>97</v>
      </c>
    </row>
    <row r="349" spans="2:10" ht="15.5" hidden="1" x14ac:dyDescent="0.35">
      <c r="B349" s="3" t="s">
        <v>475</v>
      </c>
      <c r="C349" s="16" t="s">
        <v>3023</v>
      </c>
      <c r="D349" s="17" t="s">
        <v>861</v>
      </c>
      <c r="E349" s="16" t="s">
        <v>2164</v>
      </c>
      <c r="F349" s="17" t="s">
        <v>1328</v>
      </c>
      <c r="G349" s="3" t="s">
        <v>3740</v>
      </c>
      <c r="H349" s="6">
        <v>22559.232</v>
      </c>
      <c r="I349">
        <f t="shared" si="10"/>
        <v>97</v>
      </c>
      <c r="J349">
        <f t="shared" si="11"/>
        <v>73</v>
      </c>
    </row>
    <row r="350" spans="2:10" ht="15.5" hidden="1" x14ac:dyDescent="0.35">
      <c r="B350" s="3" t="s">
        <v>476</v>
      </c>
      <c r="C350" s="16" t="s">
        <v>3024</v>
      </c>
      <c r="D350" s="17" t="s">
        <v>860</v>
      </c>
      <c r="E350" s="16" t="s">
        <v>2165</v>
      </c>
      <c r="F350" s="17" t="s">
        <v>1329</v>
      </c>
      <c r="G350" s="3" t="s">
        <v>3740</v>
      </c>
      <c r="H350" s="6">
        <v>26770.239999999998</v>
      </c>
      <c r="I350">
        <f t="shared" si="10"/>
        <v>91</v>
      </c>
      <c r="J350">
        <f t="shared" si="11"/>
        <v>73</v>
      </c>
    </row>
    <row r="351" spans="2:10" ht="15.5" x14ac:dyDescent="0.35">
      <c r="B351" s="3" t="s">
        <v>477</v>
      </c>
      <c r="C351" s="16" t="s">
        <v>3025</v>
      </c>
      <c r="D351" s="17" t="s">
        <v>861</v>
      </c>
      <c r="E351" s="16" t="s">
        <v>2166</v>
      </c>
      <c r="F351" s="17" t="s">
        <v>1330</v>
      </c>
      <c r="G351" s="3" t="s">
        <v>3740</v>
      </c>
      <c r="H351" s="6">
        <v>19493.696</v>
      </c>
      <c r="I351">
        <f t="shared" si="10"/>
        <v>12</v>
      </c>
      <c r="J351">
        <f t="shared" si="11"/>
        <v>97</v>
      </c>
    </row>
    <row r="352" spans="2:10" ht="15.5" x14ac:dyDescent="0.35">
      <c r="B352" s="3" t="s">
        <v>479</v>
      </c>
      <c r="C352" s="16" t="s">
        <v>3027</v>
      </c>
      <c r="D352" s="17" t="s">
        <v>861</v>
      </c>
      <c r="E352" s="16" t="s">
        <v>2168</v>
      </c>
      <c r="F352" s="17" t="s">
        <v>1332</v>
      </c>
      <c r="G352" s="3" t="s">
        <v>3741</v>
      </c>
      <c r="H352" s="6">
        <v>8826.0319999999992</v>
      </c>
      <c r="I352">
        <f t="shared" si="10"/>
        <v>14</v>
      </c>
      <c r="J352">
        <f t="shared" si="11"/>
        <v>97</v>
      </c>
    </row>
    <row r="353" spans="2:10" ht="15.5" x14ac:dyDescent="0.35">
      <c r="B353" s="3" t="s">
        <v>481</v>
      </c>
      <c r="C353" s="16" t="s">
        <v>3029</v>
      </c>
      <c r="D353" s="17" t="s">
        <v>861</v>
      </c>
      <c r="E353" s="16" t="s">
        <v>2170</v>
      </c>
      <c r="F353" s="17" t="s">
        <v>1334</v>
      </c>
      <c r="G353" s="3" t="s">
        <v>3742</v>
      </c>
      <c r="H353" s="6">
        <v>22120.255999999998</v>
      </c>
      <c r="I353">
        <f t="shared" si="10"/>
        <v>3</v>
      </c>
      <c r="J353">
        <f t="shared" si="11"/>
        <v>97</v>
      </c>
    </row>
    <row r="354" spans="2:10" ht="15.5" hidden="1" x14ac:dyDescent="0.35">
      <c r="B354" s="3" t="s">
        <v>3743</v>
      </c>
      <c r="C354" s="16" t="s">
        <v>3744</v>
      </c>
      <c r="D354" s="17" t="s">
        <v>861</v>
      </c>
      <c r="E354" s="16" t="s">
        <v>3745</v>
      </c>
      <c r="F354" s="17" t="s">
        <v>3746</v>
      </c>
      <c r="G354" s="3" t="s">
        <v>3747</v>
      </c>
      <c r="H354" s="6">
        <v>5827.0720000000001</v>
      </c>
      <c r="I354">
        <f t="shared" si="10"/>
        <v>93</v>
      </c>
      <c r="J354">
        <f t="shared" si="11"/>
        <v>73</v>
      </c>
    </row>
    <row r="355" spans="2:10" ht="15.5" x14ac:dyDescent="0.35">
      <c r="B355" s="3" t="s">
        <v>483</v>
      </c>
      <c r="C355" s="16" t="s">
        <v>3031</v>
      </c>
      <c r="D355" s="17" t="s">
        <v>861</v>
      </c>
      <c r="E355" s="16" t="s">
        <v>2172</v>
      </c>
      <c r="F355" s="17" t="s">
        <v>1336</v>
      </c>
      <c r="G355" s="3" t="s">
        <v>3748</v>
      </c>
      <c r="H355" s="6">
        <v>22146.095999999998</v>
      </c>
      <c r="I355">
        <f t="shared" si="10"/>
        <v>99</v>
      </c>
      <c r="J355">
        <f t="shared" si="11"/>
        <v>97</v>
      </c>
    </row>
    <row r="356" spans="2:10" ht="15.5" x14ac:dyDescent="0.35">
      <c r="B356" s="3" t="s">
        <v>484</v>
      </c>
      <c r="C356" s="16" t="s">
        <v>3032</v>
      </c>
      <c r="D356" s="17" t="s">
        <v>861</v>
      </c>
      <c r="E356" s="16" t="s">
        <v>2173</v>
      </c>
      <c r="F356" s="17" t="s">
        <v>1337</v>
      </c>
      <c r="G356" s="3" t="s">
        <v>3749</v>
      </c>
      <c r="H356" s="6">
        <v>14067.296</v>
      </c>
      <c r="I356">
        <f t="shared" si="10"/>
        <v>16</v>
      </c>
      <c r="J356">
        <f t="shared" si="11"/>
        <v>97</v>
      </c>
    </row>
    <row r="357" spans="2:10" ht="15.5" x14ac:dyDescent="0.35">
      <c r="B357" s="3" t="s">
        <v>485</v>
      </c>
      <c r="C357" s="16" t="s">
        <v>3033</v>
      </c>
      <c r="D357" s="17" t="s">
        <v>860</v>
      </c>
      <c r="E357" s="16" t="s">
        <v>2174</v>
      </c>
      <c r="F357" s="17" t="s">
        <v>1338</v>
      </c>
      <c r="G357" s="3" t="s">
        <v>3750</v>
      </c>
      <c r="H357" s="6">
        <v>29279.455999999998</v>
      </c>
      <c r="I357">
        <f t="shared" si="10"/>
        <v>99</v>
      </c>
      <c r="J357">
        <f t="shared" si="11"/>
        <v>97</v>
      </c>
    </row>
    <row r="358" spans="2:10" ht="15.5" x14ac:dyDescent="0.35">
      <c r="B358" s="3" t="s">
        <v>486</v>
      </c>
      <c r="C358" s="16" t="s">
        <v>3034</v>
      </c>
      <c r="D358" s="17" t="s">
        <v>861</v>
      </c>
      <c r="E358" s="16" t="s">
        <v>2175</v>
      </c>
      <c r="F358" s="17" t="s">
        <v>1339</v>
      </c>
      <c r="G358" s="3" t="s">
        <v>3750</v>
      </c>
      <c r="H358" s="6">
        <v>19098.8</v>
      </c>
      <c r="I358">
        <f t="shared" si="10"/>
        <v>2</v>
      </c>
      <c r="J358">
        <f t="shared" si="11"/>
        <v>97</v>
      </c>
    </row>
    <row r="359" spans="2:10" ht="15.5" x14ac:dyDescent="0.35">
      <c r="B359" s="3" t="s">
        <v>488</v>
      </c>
      <c r="C359" s="16" t="s">
        <v>3036</v>
      </c>
      <c r="D359" s="17" t="s">
        <v>860</v>
      </c>
      <c r="E359" s="16" t="s">
        <v>2177</v>
      </c>
      <c r="F359" s="17" t="s">
        <v>1341</v>
      </c>
      <c r="G359" s="3" t="s">
        <v>3751</v>
      </c>
      <c r="H359" s="6">
        <v>15982.191999999999</v>
      </c>
      <c r="I359">
        <f t="shared" si="10"/>
        <v>16</v>
      </c>
      <c r="J359">
        <f t="shared" si="11"/>
        <v>97</v>
      </c>
    </row>
    <row r="360" spans="2:10" ht="15.5" hidden="1" x14ac:dyDescent="0.35">
      <c r="B360" s="3" t="s">
        <v>489</v>
      </c>
      <c r="C360" s="16" t="s">
        <v>3037</v>
      </c>
      <c r="D360" s="17" t="s">
        <v>860</v>
      </c>
      <c r="E360" s="16" t="s">
        <v>2178</v>
      </c>
      <c r="F360" s="17" t="s">
        <v>1342</v>
      </c>
      <c r="G360" s="3" t="s">
        <v>3751</v>
      </c>
      <c r="H360" s="6">
        <v>148845.64079765332</v>
      </c>
      <c r="I360">
        <f t="shared" si="10"/>
        <v>89</v>
      </c>
      <c r="J360">
        <f t="shared" si="11"/>
        <v>73</v>
      </c>
    </row>
    <row r="361" spans="2:10" ht="15.5" x14ac:dyDescent="0.35">
      <c r="B361" s="3" t="s">
        <v>491</v>
      </c>
      <c r="C361" s="16" t="s">
        <v>3039</v>
      </c>
      <c r="D361" s="17" t="s">
        <v>860</v>
      </c>
      <c r="E361" s="16" t="s">
        <v>2180</v>
      </c>
      <c r="F361" s="17" t="s">
        <v>1343</v>
      </c>
      <c r="G361" s="3" t="s">
        <v>3752</v>
      </c>
      <c r="H361" s="6">
        <v>13047.679999999998</v>
      </c>
      <c r="I361">
        <f t="shared" si="10"/>
        <v>10</v>
      </c>
      <c r="J361">
        <f t="shared" si="11"/>
        <v>97</v>
      </c>
    </row>
    <row r="362" spans="2:10" ht="15.5" hidden="1" x14ac:dyDescent="0.35">
      <c r="B362" s="3" t="s">
        <v>492</v>
      </c>
      <c r="C362" s="16" t="s">
        <v>3040</v>
      </c>
      <c r="D362" s="17" t="s">
        <v>861</v>
      </c>
      <c r="E362" s="16" t="s">
        <v>2181</v>
      </c>
      <c r="F362" s="17" t="s">
        <v>1344</v>
      </c>
      <c r="G362" s="3" t="s">
        <v>3753</v>
      </c>
      <c r="H362" s="6">
        <v>5632.2079999999996</v>
      </c>
      <c r="I362">
        <f t="shared" si="10"/>
        <v>90</v>
      </c>
      <c r="J362">
        <f t="shared" si="11"/>
        <v>73</v>
      </c>
    </row>
    <row r="363" spans="2:10" ht="15.5" x14ac:dyDescent="0.35">
      <c r="B363" s="3" t="s">
        <v>493</v>
      </c>
      <c r="C363" s="16" t="s">
        <v>3041</v>
      </c>
      <c r="D363" s="17" t="s">
        <v>860</v>
      </c>
      <c r="E363" s="16" t="s">
        <v>2182</v>
      </c>
      <c r="F363" s="17" t="s">
        <v>1345</v>
      </c>
      <c r="G363" s="3" t="s">
        <v>3754</v>
      </c>
      <c r="H363" s="6">
        <v>16792.96</v>
      </c>
      <c r="I363">
        <f t="shared" si="10"/>
        <v>11</v>
      </c>
      <c r="J363">
        <f t="shared" si="11"/>
        <v>97</v>
      </c>
    </row>
    <row r="364" spans="2:10" ht="15.5" x14ac:dyDescent="0.35">
      <c r="B364" s="3" t="s">
        <v>494</v>
      </c>
      <c r="C364" s="16" t="s">
        <v>3042</v>
      </c>
      <c r="D364" s="17" t="s">
        <v>861</v>
      </c>
      <c r="E364" s="16" t="s">
        <v>2183</v>
      </c>
      <c r="F364" s="17" t="s">
        <v>1346</v>
      </c>
      <c r="G364" s="3" t="s">
        <v>3754</v>
      </c>
      <c r="H364" s="6">
        <v>18219.023999999998</v>
      </c>
      <c r="I364">
        <f t="shared" si="10"/>
        <v>7</v>
      </c>
      <c r="J364">
        <f t="shared" si="11"/>
        <v>97</v>
      </c>
    </row>
    <row r="365" spans="2:10" ht="15.5" x14ac:dyDescent="0.35">
      <c r="B365" s="3" t="s">
        <v>3755</v>
      </c>
      <c r="C365" s="16" t="s">
        <v>3406</v>
      </c>
      <c r="D365" s="17" t="s">
        <v>861</v>
      </c>
      <c r="E365" s="16" t="s">
        <v>2547</v>
      </c>
      <c r="F365" s="17" t="s">
        <v>1688</v>
      </c>
      <c r="G365" s="3" t="s">
        <v>3756</v>
      </c>
      <c r="H365" s="6">
        <v>19867.007999999998</v>
      </c>
      <c r="I365">
        <f t="shared" si="10"/>
        <v>18</v>
      </c>
      <c r="J365">
        <f t="shared" si="11"/>
        <v>97</v>
      </c>
    </row>
    <row r="366" spans="2:10" ht="15.5" x14ac:dyDescent="0.35">
      <c r="B366" s="3" t="s">
        <v>496</v>
      </c>
      <c r="C366" s="16" t="s">
        <v>3044</v>
      </c>
      <c r="D366" s="17" t="s">
        <v>861</v>
      </c>
      <c r="E366" s="16" t="s">
        <v>2185</v>
      </c>
      <c r="F366" s="17" t="s">
        <v>1348</v>
      </c>
      <c r="G366" s="3" t="s">
        <v>3757</v>
      </c>
      <c r="H366" s="6">
        <v>9251.9359999999997</v>
      </c>
      <c r="I366">
        <f t="shared" si="10"/>
        <v>8</v>
      </c>
      <c r="J366">
        <f t="shared" si="11"/>
        <v>97</v>
      </c>
    </row>
    <row r="367" spans="2:10" ht="15.5" x14ac:dyDescent="0.35">
      <c r="B367" s="3" t="s">
        <v>498</v>
      </c>
      <c r="C367" s="16" t="s">
        <v>3046</v>
      </c>
      <c r="D367" s="17" t="s">
        <v>861</v>
      </c>
      <c r="E367" s="16" t="s">
        <v>2187</v>
      </c>
      <c r="F367" s="17" t="s">
        <v>1350</v>
      </c>
      <c r="G367" s="3" t="s">
        <v>3758</v>
      </c>
      <c r="H367" s="6">
        <v>8326.56</v>
      </c>
      <c r="I367">
        <f t="shared" si="10"/>
        <v>8</v>
      </c>
      <c r="J367">
        <f t="shared" si="11"/>
        <v>97</v>
      </c>
    </row>
    <row r="368" spans="2:10" ht="15.5" x14ac:dyDescent="0.35">
      <c r="B368" s="3" t="s">
        <v>3759</v>
      </c>
      <c r="C368" s="16" t="s">
        <v>3760</v>
      </c>
      <c r="D368" s="17" t="s">
        <v>861</v>
      </c>
      <c r="E368" s="16" t="s">
        <v>3761</v>
      </c>
      <c r="F368" s="17" t="s">
        <v>3762</v>
      </c>
      <c r="G368" s="3" t="s">
        <v>3763</v>
      </c>
      <c r="H368" s="6">
        <v>9941.1039999999994</v>
      </c>
      <c r="I368">
        <f t="shared" si="10"/>
        <v>11</v>
      </c>
      <c r="J368">
        <f t="shared" si="11"/>
        <v>97</v>
      </c>
    </row>
    <row r="369" spans="2:10" ht="15.5" x14ac:dyDescent="0.35">
      <c r="B369" s="3" t="s">
        <v>501</v>
      </c>
      <c r="C369" s="16" t="s">
        <v>3049</v>
      </c>
      <c r="D369" s="17" t="s">
        <v>861</v>
      </c>
      <c r="E369" s="16" t="s">
        <v>2190</v>
      </c>
      <c r="F369" s="17" t="s">
        <v>1353</v>
      </c>
      <c r="G369" s="3" t="s">
        <v>3764</v>
      </c>
      <c r="H369" s="6">
        <v>10616.592000000001</v>
      </c>
      <c r="I369">
        <f t="shared" si="10"/>
        <v>14</v>
      </c>
      <c r="J369">
        <f t="shared" si="11"/>
        <v>97</v>
      </c>
    </row>
    <row r="370" spans="2:10" ht="15.5" x14ac:dyDescent="0.35">
      <c r="B370" s="3" t="s">
        <v>502</v>
      </c>
      <c r="C370" s="16" t="s">
        <v>3050</v>
      </c>
      <c r="D370" s="17" t="s">
        <v>860</v>
      </c>
      <c r="E370" s="16" t="s">
        <v>2191</v>
      </c>
      <c r="F370" s="17" t="s">
        <v>1354</v>
      </c>
      <c r="G370" s="3" t="s">
        <v>3765</v>
      </c>
      <c r="H370" s="6">
        <v>6923.9039999999995</v>
      </c>
      <c r="I370">
        <f t="shared" si="10"/>
        <v>7</v>
      </c>
      <c r="J370">
        <f t="shared" si="11"/>
        <v>97</v>
      </c>
    </row>
    <row r="371" spans="2:10" ht="15.5" x14ac:dyDescent="0.35">
      <c r="B371" s="3" t="s">
        <v>503</v>
      </c>
      <c r="C371" s="16" t="s">
        <v>3051</v>
      </c>
      <c r="D371" s="17" t="s">
        <v>860</v>
      </c>
      <c r="E371" s="16" t="s">
        <v>2192</v>
      </c>
      <c r="F371" s="17" t="s">
        <v>1355</v>
      </c>
      <c r="G371" s="3" t="s">
        <v>3766</v>
      </c>
      <c r="H371" s="6">
        <v>22014.463999999996</v>
      </c>
      <c r="I371">
        <f t="shared" si="10"/>
        <v>8</v>
      </c>
      <c r="J371">
        <f t="shared" si="11"/>
        <v>97</v>
      </c>
    </row>
    <row r="372" spans="2:10" ht="15.5" x14ac:dyDescent="0.35">
      <c r="B372" s="3" t="s">
        <v>504</v>
      </c>
      <c r="C372" s="16" t="s">
        <v>3052</v>
      </c>
      <c r="D372" s="17" t="s">
        <v>861</v>
      </c>
      <c r="E372" s="16" t="s">
        <v>2193</v>
      </c>
      <c r="F372" s="17" t="s">
        <v>1356</v>
      </c>
      <c r="G372" s="3" t="s">
        <v>3766</v>
      </c>
      <c r="H372" s="6">
        <v>17936.304</v>
      </c>
      <c r="I372">
        <f t="shared" si="10"/>
        <v>16</v>
      </c>
      <c r="J372">
        <f t="shared" si="11"/>
        <v>97</v>
      </c>
    </row>
    <row r="373" spans="2:10" ht="15.5" hidden="1" x14ac:dyDescent="0.35">
      <c r="B373" s="3" t="s">
        <v>505</v>
      </c>
      <c r="C373" s="16" t="s">
        <v>3053</v>
      </c>
      <c r="D373" s="17" t="s">
        <v>861</v>
      </c>
      <c r="E373" s="16" t="s">
        <v>2194</v>
      </c>
      <c r="F373" s="17" t="s">
        <v>1357</v>
      </c>
      <c r="G373" s="3" t="s">
        <v>3767</v>
      </c>
      <c r="H373" s="6">
        <v>19580.335999999999</v>
      </c>
      <c r="I373">
        <f t="shared" si="10"/>
        <v>96</v>
      </c>
      <c r="J373">
        <f t="shared" si="11"/>
        <v>73</v>
      </c>
    </row>
    <row r="374" spans="2:10" ht="15.5" x14ac:dyDescent="0.35">
      <c r="B374" s="3" t="s">
        <v>507</v>
      </c>
      <c r="C374" s="16" t="s">
        <v>3055</v>
      </c>
      <c r="D374" s="17" t="s">
        <v>860</v>
      </c>
      <c r="E374" s="16" t="s">
        <v>2196</v>
      </c>
      <c r="F374" s="17" t="s">
        <v>1359</v>
      </c>
      <c r="G374" s="3" t="s">
        <v>3768</v>
      </c>
      <c r="H374" s="6">
        <v>6298.576</v>
      </c>
      <c r="I374">
        <f t="shared" si="10"/>
        <v>11</v>
      </c>
      <c r="J374">
        <f t="shared" si="11"/>
        <v>97</v>
      </c>
    </row>
    <row r="375" spans="2:10" ht="15.5" hidden="1" x14ac:dyDescent="0.35">
      <c r="B375" s="3" t="s">
        <v>509</v>
      </c>
      <c r="C375" s="16" t="s">
        <v>3057</v>
      </c>
      <c r="D375" s="17" t="s">
        <v>861</v>
      </c>
      <c r="E375" s="16" t="s">
        <v>2198</v>
      </c>
      <c r="F375" s="17" t="s">
        <v>1361</v>
      </c>
      <c r="G375" s="3" t="s">
        <v>3769</v>
      </c>
      <c r="H375" s="6">
        <v>8563.0720000000001</v>
      </c>
      <c r="I375">
        <f t="shared" si="10"/>
        <v>89</v>
      </c>
      <c r="J375">
        <f t="shared" si="11"/>
        <v>73</v>
      </c>
    </row>
    <row r="376" spans="2:10" ht="15.5" hidden="1" x14ac:dyDescent="0.35">
      <c r="B376" s="3" t="s">
        <v>510</v>
      </c>
      <c r="C376" s="16" t="s">
        <v>3058</v>
      </c>
      <c r="D376" s="17" t="s">
        <v>861</v>
      </c>
      <c r="E376" s="16" t="s">
        <v>2199</v>
      </c>
      <c r="F376" s="17" t="s">
        <v>1362</v>
      </c>
      <c r="G376" s="3" t="s">
        <v>3770</v>
      </c>
      <c r="H376" s="6">
        <v>5602.72</v>
      </c>
      <c r="I376">
        <f t="shared" si="10"/>
        <v>95</v>
      </c>
      <c r="J376">
        <f t="shared" si="11"/>
        <v>73</v>
      </c>
    </row>
    <row r="377" spans="2:10" ht="15.5" hidden="1" x14ac:dyDescent="0.35">
      <c r="B377" s="3" t="s">
        <v>511</v>
      </c>
      <c r="C377" s="16" t="s">
        <v>3059</v>
      </c>
      <c r="D377" s="17" t="s">
        <v>860</v>
      </c>
      <c r="E377" s="16" t="s">
        <v>2200</v>
      </c>
      <c r="F377" s="17" t="s">
        <v>1363</v>
      </c>
      <c r="G377" s="3" t="s">
        <v>3771</v>
      </c>
      <c r="H377" s="6">
        <v>18011.392</v>
      </c>
      <c r="I377">
        <f t="shared" si="10"/>
        <v>82</v>
      </c>
      <c r="J377">
        <f t="shared" si="11"/>
        <v>73</v>
      </c>
    </row>
    <row r="378" spans="2:10" ht="15.5" x14ac:dyDescent="0.35">
      <c r="B378" s="3" t="s">
        <v>512</v>
      </c>
      <c r="C378" s="16" t="s">
        <v>3060</v>
      </c>
      <c r="D378" s="17" t="s">
        <v>860</v>
      </c>
      <c r="E378" s="16" t="s">
        <v>2201</v>
      </c>
      <c r="F378" s="17" t="s">
        <v>1364</v>
      </c>
      <c r="G378" s="3" t="s">
        <v>3772</v>
      </c>
      <c r="H378" s="6">
        <v>9607.616</v>
      </c>
      <c r="I378">
        <f t="shared" si="10"/>
        <v>5</v>
      </c>
      <c r="J378">
        <f t="shared" si="11"/>
        <v>97</v>
      </c>
    </row>
    <row r="379" spans="2:10" ht="15.5" x14ac:dyDescent="0.35">
      <c r="B379" s="3" t="s">
        <v>513</v>
      </c>
      <c r="C379" s="16" t="s">
        <v>3061</v>
      </c>
      <c r="D379" s="17" t="s">
        <v>861</v>
      </c>
      <c r="E379" s="16" t="s">
        <v>2202</v>
      </c>
      <c r="F379" s="17" t="s">
        <v>1365</v>
      </c>
      <c r="G379" s="3" t="s">
        <v>3772</v>
      </c>
      <c r="H379" s="6">
        <v>5632.2079999999996</v>
      </c>
      <c r="I379">
        <f t="shared" si="10"/>
        <v>3</v>
      </c>
      <c r="J379">
        <f t="shared" si="11"/>
        <v>97</v>
      </c>
    </row>
    <row r="380" spans="2:10" ht="15.5" hidden="1" x14ac:dyDescent="0.35">
      <c r="B380" s="3" t="s">
        <v>515</v>
      </c>
      <c r="C380" s="16" t="s">
        <v>3063</v>
      </c>
      <c r="D380" s="17" t="s">
        <v>861</v>
      </c>
      <c r="E380" s="16" t="s">
        <v>2204</v>
      </c>
      <c r="F380" s="17" t="s">
        <v>1367</v>
      </c>
      <c r="G380" s="3" t="s">
        <v>3773</v>
      </c>
      <c r="H380" s="6">
        <v>22202.335999999999</v>
      </c>
      <c r="I380">
        <f t="shared" si="10"/>
        <v>89</v>
      </c>
      <c r="J380">
        <f t="shared" si="11"/>
        <v>73</v>
      </c>
    </row>
    <row r="381" spans="2:10" ht="15.5" x14ac:dyDescent="0.35">
      <c r="B381" s="3" t="s">
        <v>516</v>
      </c>
      <c r="C381" s="16" t="s">
        <v>3064</v>
      </c>
      <c r="D381" s="17" t="s">
        <v>861</v>
      </c>
      <c r="E381" s="16" t="s">
        <v>2205</v>
      </c>
      <c r="F381" s="17" t="s">
        <v>1368</v>
      </c>
      <c r="G381" s="3" t="s">
        <v>3774</v>
      </c>
      <c r="H381" s="6">
        <v>24484.16</v>
      </c>
      <c r="I381">
        <f t="shared" si="10"/>
        <v>9</v>
      </c>
      <c r="J381">
        <f t="shared" si="11"/>
        <v>97</v>
      </c>
    </row>
    <row r="382" spans="2:10" ht="15.5" hidden="1" x14ac:dyDescent="0.35">
      <c r="B382" s="3" t="s">
        <v>518</v>
      </c>
      <c r="C382" s="16" t="s">
        <v>3066</v>
      </c>
      <c r="D382" s="17" t="s">
        <v>861</v>
      </c>
      <c r="E382" s="16" t="s">
        <v>2207</v>
      </c>
      <c r="F382" s="17" t="s">
        <v>1370</v>
      </c>
      <c r="G382" s="3" t="s">
        <v>3775</v>
      </c>
      <c r="H382" s="6">
        <v>10998.111999999999</v>
      </c>
      <c r="I382">
        <f t="shared" si="10"/>
        <v>81</v>
      </c>
      <c r="J382">
        <f t="shared" si="11"/>
        <v>73</v>
      </c>
    </row>
    <row r="383" spans="2:10" ht="15.5" x14ac:dyDescent="0.35">
      <c r="B383" s="3" t="s">
        <v>519</v>
      </c>
      <c r="C383" s="16" t="s">
        <v>3067</v>
      </c>
      <c r="D383" s="17" t="s">
        <v>860</v>
      </c>
      <c r="E383" s="16" t="s">
        <v>2208</v>
      </c>
      <c r="F383" s="17" t="s">
        <v>1371</v>
      </c>
      <c r="G383" s="3" t="s">
        <v>3776</v>
      </c>
      <c r="H383" s="6">
        <v>7862.0479999999998</v>
      </c>
      <c r="I383">
        <f t="shared" si="10"/>
        <v>13</v>
      </c>
      <c r="J383">
        <f t="shared" si="11"/>
        <v>97</v>
      </c>
    </row>
    <row r="384" spans="2:10" ht="15.5" x14ac:dyDescent="0.35">
      <c r="B384" s="3" t="s">
        <v>520</v>
      </c>
      <c r="C384" s="16" t="s">
        <v>3068</v>
      </c>
      <c r="D384" s="17" t="s">
        <v>860</v>
      </c>
      <c r="E384" s="16" t="s">
        <v>2209</v>
      </c>
      <c r="F384" s="17" t="s">
        <v>1372</v>
      </c>
      <c r="G384" s="3" t="s">
        <v>3777</v>
      </c>
      <c r="H384" s="6">
        <v>26094.752</v>
      </c>
      <c r="I384">
        <f t="shared" si="10"/>
        <v>5</v>
      </c>
      <c r="J384">
        <f t="shared" si="11"/>
        <v>97</v>
      </c>
    </row>
    <row r="385" spans="2:10" ht="15.5" x14ac:dyDescent="0.35">
      <c r="B385" s="3" t="s">
        <v>521</v>
      </c>
      <c r="C385" s="16" t="s">
        <v>3069</v>
      </c>
      <c r="D385" s="17" t="s">
        <v>861</v>
      </c>
      <c r="E385" s="16" t="s">
        <v>2210</v>
      </c>
      <c r="F385" s="17" t="s">
        <v>1373</v>
      </c>
      <c r="G385" s="3" t="s">
        <v>3778</v>
      </c>
      <c r="H385" s="6">
        <v>9916.1759999999995</v>
      </c>
      <c r="I385">
        <f t="shared" si="10"/>
        <v>9</v>
      </c>
      <c r="J385">
        <f t="shared" si="11"/>
        <v>97</v>
      </c>
    </row>
    <row r="386" spans="2:10" ht="15.5" x14ac:dyDescent="0.35">
      <c r="B386" s="3" t="s">
        <v>522</v>
      </c>
      <c r="C386" s="16" t="s">
        <v>3070</v>
      </c>
      <c r="D386" s="17" t="s">
        <v>861</v>
      </c>
      <c r="E386" s="16" t="s">
        <v>2211</v>
      </c>
      <c r="F386" s="17" t="s">
        <v>1374</v>
      </c>
      <c r="G386" s="3" t="s">
        <v>3779</v>
      </c>
      <c r="H386" s="6">
        <v>13842.944</v>
      </c>
      <c r="I386">
        <f t="shared" si="10"/>
        <v>14</v>
      </c>
      <c r="J386">
        <f t="shared" si="11"/>
        <v>97</v>
      </c>
    </row>
    <row r="387" spans="2:10" ht="15.5" hidden="1" x14ac:dyDescent="0.35">
      <c r="B387" s="3" t="s">
        <v>524</v>
      </c>
      <c r="C387" s="16" t="s">
        <v>3072</v>
      </c>
      <c r="D387" s="17" t="s">
        <v>860</v>
      </c>
      <c r="E387" s="16" t="s">
        <v>2213</v>
      </c>
      <c r="F387" s="17" t="s">
        <v>1376</v>
      </c>
      <c r="G387" s="3" t="s">
        <v>3780</v>
      </c>
      <c r="H387" s="6">
        <v>10888.975999999999</v>
      </c>
      <c r="I387">
        <f t="shared" si="10"/>
        <v>89</v>
      </c>
      <c r="J387">
        <f t="shared" si="11"/>
        <v>73</v>
      </c>
    </row>
    <row r="388" spans="2:10" ht="15.5" x14ac:dyDescent="0.35">
      <c r="B388" s="3" t="s">
        <v>525</v>
      </c>
      <c r="C388" s="16" t="s">
        <v>3073</v>
      </c>
      <c r="D388" s="17" t="s">
        <v>861</v>
      </c>
      <c r="E388" s="16" t="s">
        <v>2214</v>
      </c>
      <c r="F388" s="17" t="s">
        <v>1377</v>
      </c>
      <c r="G388" s="3" t="s">
        <v>3781</v>
      </c>
      <c r="H388" s="6">
        <v>10616.592000000001</v>
      </c>
      <c r="I388">
        <f t="shared" ref="I388:I451" si="12">_xlfn.NUMBERVALUE(MID(C388,3,2))</f>
        <v>99</v>
      </c>
      <c r="J388">
        <f t="shared" ref="J388:J451" si="13">IF(I388&gt;25,IF(I388&lt;=97,73,97),97)</f>
        <v>97</v>
      </c>
    </row>
    <row r="389" spans="2:10" ht="15.5" x14ac:dyDescent="0.35">
      <c r="B389" s="3" t="s">
        <v>526</v>
      </c>
      <c r="C389" s="16" t="s">
        <v>3074</v>
      </c>
      <c r="D389" s="17" t="s">
        <v>860</v>
      </c>
      <c r="E389" s="16" t="s">
        <v>2215</v>
      </c>
      <c r="F389" s="17" t="s">
        <v>1093</v>
      </c>
      <c r="G389" s="3" t="s">
        <v>3782</v>
      </c>
      <c r="H389" s="6">
        <v>18859.552</v>
      </c>
      <c r="I389">
        <f t="shared" si="12"/>
        <v>11</v>
      </c>
      <c r="J389">
        <f t="shared" si="13"/>
        <v>97</v>
      </c>
    </row>
    <row r="390" spans="2:10" ht="15.5" x14ac:dyDescent="0.35">
      <c r="B390" s="3" t="s">
        <v>527</v>
      </c>
      <c r="C390" s="16" t="s">
        <v>3075</v>
      </c>
      <c r="D390" s="17" t="s">
        <v>860</v>
      </c>
      <c r="E390" s="16" t="s">
        <v>2216</v>
      </c>
      <c r="F390" s="17" t="s">
        <v>1378</v>
      </c>
      <c r="G390" s="3" t="s">
        <v>3783</v>
      </c>
      <c r="H390" s="6">
        <v>7176.2240000000002</v>
      </c>
      <c r="I390">
        <f t="shared" si="12"/>
        <v>8</v>
      </c>
      <c r="J390">
        <f t="shared" si="13"/>
        <v>97</v>
      </c>
    </row>
    <row r="391" spans="2:10" ht="15.5" x14ac:dyDescent="0.35">
      <c r="B391" s="3" t="s">
        <v>533</v>
      </c>
      <c r="C391" s="16" t="s">
        <v>3081</v>
      </c>
      <c r="D391" s="17" t="s">
        <v>861</v>
      </c>
      <c r="E391" s="16" t="s">
        <v>2222</v>
      </c>
      <c r="F391" s="17" t="s">
        <v>1384</v>
      </c>
      <c r="G391" s="3" t="s">
        <v>3784</v>
      </c>
      <c r="H391" s="6">
        <v>42591.92</v>
      </c>
      <c r="I391">
        <f t="shared" si="12"/>
        <v>98</v>
      </c>
      <c r="J391">
        <f t="shared" si="13"/>
        <v>97</v>
      </c>
    </row>
    <row r="392" spans="2:10" ht="15.5" hidden="1" x14ac:dyDescent="0.35">
      <c r="B392" s="3" t="s">
        <v>536</v>
      </c>
      <c r="C392" s="16" t="s">
        <v>3084</v>
      </c>
      <c r="D392" s="17" t="s">
        <v>861</v>
      </c>
      <c r="E392" s="16" t="s">
        <v>2225</v>
      </c>
      <c r="F392" s="17" t="s">
        <v>1171</v>
      </c>
      <c r="G392" s="3" t="s">
        <v>3785</v>
      </c>
      <c r="H392" s="6">
        <v>19571.215999999997</v>
      </c>
      <c r="I392">
        <f t="shared" si="12"/>
        <v>96</v>
      </c>
      <c r="J392">
        <f t="shared" si="13"/>
        <v>73</v>
      </c>
    </row>
    <row r="393" spans="2:10" ht="15.5" x14ac:dyDescent="0.35">
      <c r="B393" s="3" t="s">
        <v>539</v>
      </c>
      <c r="C393" s="16" t="s">
        <v>3087</v>
      </c>
      <c r="D393" s="17" t="s">
        <v>861</v>
      </c>
      <c r="E393" s="16" t="s">
        <v>2228</v>
      </c>
      <c r="F393" s="17" t="s">
        <v>1389</v>
      </c>
      <c r="G393" s="3" t="s">
        <v>3786</v>
      </c>
      <c r="H393" s="6">
        <v>15673.023999999998</v>
      </c>
      <c r="I393">
        <f t="shared" si="12"/>
        <v>11</v>
      </c>
      <c r="J393">
        <f t="shared" si="13"/>
        <v>97</v>
      </c>
    </row>
    <row r="394" spans="2:10" ht="15.5" hidden="1" x14ac:dyDescent="0.35">
      <c r="B394" s="3" t="s">
        <v>540</v>
      </c>
      <c r="C394" s="16" t="s">
        <v>3088</v>
      </c>
      <c r="D394" s="17" t="s">
        <v>861</v>
      </c>
      <c r="E394" s="16" t="s">
        <v>2229</v>
      </c>
      <c r="F394" s="17" t="s">
        <v>1390</v>
      </c>
      <c r="G394" s="3" t="s">
        <v>3787</v>
      </c>
      <c r="H394" s="6">
        <v>14385.888000000001</v>
      </c>
      <c r="I394">
        <f t="shared" si="12"/>
        <v>92</v>
      </c>
      <c r="J394">
        <f t="shared" si="13"/>
        <v>73</v>
      </c>
    </row>
    <row r="395" spans="2:10" ht="15.5" x14ac:dyDescent="0.35">
      <c r="B395" s="3" t="s">
        <v>541</v>
      </c>
      <c r="C395" s="16" t="s">
        <v>3089</v>
      </c>
      <c r="D395" s="17" t="s">
        <v>861</v>
      </c>
      <c r="E395" s="16" t="s">
        <v>2230</v>
      </c>
      <c r="F395" s="17" t="s">
        <v>1391</v>
      </c>
      <c r="G395" s="3" t="s">
        <v>3788</v>
      </c>
      <c r="H395" s="6">
        <v>12154.831999999999</v>
      </c>
      <c r="I395">
        <f t="shared" si="12"/>
        <v>8</v>
      </c>
      <c r="J395">
        <f t="shared" si="13"/>
        <v>97</v>
      </c>
    </row>
    <row r="396" spans="2:10" ht="15.5" x14ac:dyDescent="0.35">
      <c r="B396" s="3" t="s">
        <v>542</v>
      </c>
      <c r="C396" s="16" t="s">
        <v>3090</v>
      </c>
      <c r="D396" s="17" t="s">
        <v>861</v>
      </c>
      <c r="E396" s="16" t="s">
        <v>2231</v>
      </c>
      <c r="F396" s="17" t="s">
        <v>1392</v>
      </c>
      <c r="G396" s="3" t="s">
        <v>3788</v>
      </c>
      <c r="H396" s="6">
        <v>44291.887999999999</v>
      </c>
      <c r="I396">
        <f t="shared" si="12"/>
        <v>4</v>
      </c>
      <c r="J396">
        <f t="shared" si="13"/>
        <v>97</v>
      </c>
    </row>
    <row r="397" spans="2:10" ht="15.5" x14ac:dyDescent="0.35">
      <c r="B397" s="3" t="s">
        <v>543</v>
      </c>
      <c r="C397" s="16" t="s">
        <v>3091</v>
      </c>
      <c r="D397" s="17" t="s">
        <v>861</v>
      </c>
      <c r="E397" s="16" t="s">
        <v>2232</v>
      </c>
      <c r="F397" s="17" t="s">
        <v>1393</v>
      </c>
      <c r="G397" s="3" t="s">
        <v>3789</v>
      </c>
      <c r="H397" s="6">
        <v>14162.144</v>
      </c>
      <c r="I397">
        <f t="shared" si="12"/>
        <v>16</v>
      </c>
      <c r="J397">
        <f t="shared" si="13"/>
        <v>97</v>
      </c>
    </row>
    <row r="398" spans="2:10" ht="15.5" x14ac:dyDescent="0.35">
      <c r="B398" s="3" t="s">
        <v>544</v>
      </c>
      <c r="C398" s="16" t="s">
        <v>3092</v>
      </c>
      <c r="D398" s="17" t="s">
        <v>861</v>
      </c>
      <c r="E398" s="16" t="s">
        <v>2233</v>
      </c>
      <c r="F398" s="17" t="s">
        <v>1394</v>
      </c>
      <c r="G398" s="3" t="s">
        <v>3790</v>
      </c>
      <c r="H398" s="6">
        <v>19710.448</v>
      </c>
      <c r="I398">
        <f t="shared" si="12"/>
        <v>14</v>
      </c>
      <c r="J398">
        <f t="shared" si="13"/>
        <v>97</v>
      </c>
    </row>
    <row r="399" spans="2:10" ht="15.5" hidden="1" x14ac:dyDescent="0.35">
      <c r="B399" s="3" t="s">
        <v>545</v>
      </c>
      <c r="C399" s="16" t="s">
        <v>3093</v>
      </c>
      <c r="D399" s="17" t="s">
        <v>861</v>
      </c>
      <c r="E399" s="16" t="s">
        <v>2234</v>
      </c>
      <c r="F399" s="17" t="s">
        <v>1395</v>
      </c>
      <c r="G399" s="3" t="s">
        <v>3790</v>
      </c>
      <c r="H399" s="6">
        <v>5632.2079999999996</v>
      </c>
      <c r="I399">
        <f t="shared" si="12"/>
        <v>96</v>
      </c>
      <c r="J399">
        <f t="shared" si="13"/>
        <v>73</v>
      </c>
    </row>
    <row r="400" spans="2:10" ht="15.5" x14ac:dyDescent="0.35">
      <c r="B400" s="3" t="s">
        <v>548</v>
      </c>
      <c r="C400" s="16" t="s">
        <v>3096</v>
      </c>
      <c r="D400" s="17" t="s">
        <v>860</v>
      </c>
      <c r="E400" s="16" t="s">
        <v>2237</v>
      </c>
      <c r="F400" s="17" t="s">
        <v>1398</v>
      </c>
      <c r="G400" s="3" t="s">
        <v>3791</v>
      </c>
      <c r="H400" s="6">
        <v>10626.624</v>
      </c>
      <c r="I400">
        <f t="shared" si="12"/>
        <v>9</v>
      </c>
      <c r="J400">
        <f t="shared" si="13"/>
        <v>97</v>
      </c>
    </row>
    <row r="401" spans="2:10" ht="15.5" x14ac:dyDescent="0.35">
      <c r="B401" s="3" t="s">
        <v>549</v>
      </c>
      <c r="C401" s="16" t="s">
        <v>3097</v>
      </c>
      <c r="D401" s="17" t="s">
        <v>860</v>
      </c>
      <c r="E401" s="16" t="s">
        <v>2238</v>
      </c>
      <c r="F401" s="17" t="s">
        <v>1399</v>
      </c>
      <c r="G401" s="3" t="s">
        <v>3792</v>
      </c>
      <c r="H401" s="6">
        <v>78285.053505493343</v>
      </c>
      <c r="I401">
        <f t="shared" si="12"/>
        <v>98</v>
      </c>
      <c r="J401">
        <f t="shared" si="13"/>
        <v>97</v>
      </c>
    </row>
    <row r="402" spans="2:10" ht="15.5" x14ac:dyDescent="0.35">
      <c r="B402" s="3" t="s">
        <v>550</v>
      </c>
      <c r="C402" s="16" t="s">
        <v>3098</v>
      </c>
      <c r="D402" s="17" t="s">
        <v>860</v>
      </c>
      <c r="E402" s="16" t="s">
        <v>2239</v>
      </c>
      <c r="F402" s="17" t="s">
        <v>1400</v>
      </c>
      <c r="G402" s="3" t="s">
        <v>3793</v>
      </c>
      <c r="H402" s="6">
        <v>7176.2240000000002</v>
      </c>
      <c r="I402">
        <f t="shared" si="12"/>
        <v>1</v>
      </c>
      <c r="J402">
        <f t="shared" si="13"/>
        <v>97</v>
      </c>
    </row>
    <row r="403" spans="2:10" ht="15.5" hidden="1" x14ac:dyDescent="0.35">
      <c r="B403" s="3" t="s">
        <v>552</v>
      </c>
      <c r="C403" s="16" t="s">
        <v>3100</v>
      </c>
      <c r="D403" s="17" t="s">
        <v>860</v>
      </c>
      <c r="E403" s="16" t="s">
        <v>2241</v>
      </c>
      <c r="F403" s="17" t="s">
        <v>1402</v>
      </c>
      <c r="G403" s="3" t="s">
        <v>3794</v>
      </c>
      <c r="H403" s="6">
        <v>69206.207999999999</v>
      </c>
      <c r="I403">
        <f t="shared" si="12"/>
        <v>96</v>
      </c>
      <c r="J403">
        <f t="shared" si="13"/>
        <v>73</v>
      </c>
    </row>
    <row r="404" spans="2:10" ht="15.5" hidden="1" x14ac:dyDescent="0.35">
      <c r="B404" s="3" t="s">
        <v>553</v>
      </c>
      <c r="C404" s="16" t="s">
        <v>3101</v>
      </c>
      <c r="D404" s="17" t="s">
        <v>860</v>
      </c>
      <c r="E404" s="16" t="s">
        <v>2242</v>
      </c>
      <c r="F404" s="17" t="s">
        <v>1403</v>
      </c>
      <c r="G404" s="3" t="s">
        <v>3794</v>
      </c>
      <c r="H404" s="6">
        <v>80841.718733439993</v>
      </c>
      <c r="I404">
        <f t="shared" si="12"/>
        <v>93</v>
      </c>
      <c r="J404">
        <f t="shared" si="13"/>
        <v>73</v>
      </c>
    </row>
    <row r="405" spans="2:10" ht="15.5" x14ac:dyDescent="0.35">
      <c r="B405" s="3" t="s">
        <v>558</v>
      </c>
      <c r="C405" s="16" t="s">
        <v>3106</v>
      </c>
      <c r="D405" s="17" t="s">
        <v>861</v>
      </c>
      <c r="E405" s="16" t="s">
        <v>2247</v>
      </c>
      <c r="F405" s="17" t="s">
        <v>1408</v>
      </c>
      <c r="G405" s="3" t="s">
        <v>3795</v>
      </c>
      <c r="H405" s="6">
        <v>20330</v>
      </c>
      <c r="I405">
        <f t="shared" si="12"/>
        <v>98</v>
      </c>
      <c r="J405">
        <f t="shared" si="13"/>
        <v>97</v>
      </c>
    </row>
    <row r="406" spans="2:10" ht="15.5" x14ac:dyDescent="0.35">
      <c r="B406" s="3" t="s">
        <v>559</v>
      </c>
      <c r="C406" s="16" t="s">
        <v>3107</v>
      </c>
      <c r="D406" s="17" t="s">
        <v>861</v>
      </c>
      <c r="E406" s="16" t="s">
        <v>2248</v>
      </c>
      <c r="F406" s="17" t="s">
        <v>1409</v>
      </c>
      <c r="G406" s="3" t="s">
        <v>3796</v>
      </c>
      <c r="H406" s="6">
        <v>10490.431999999999</v>
      </c>
      <c r="I406">
        <f t="shared" si="12"/>
        <v>18</v>
      </c>
      <c r="J406">
        <f t="shared" si="13"/>
        <v>97</v>
      </c>
    </row>
    <row r="407" spans="2:10" ht="15.5" hidden="1" x14ac:dyDescent="0.35">
      <c r="B407" s="3" t="s">
        <v>561</v>
      </c>
      <c r="C407" s="16" t="s">
        <v>3109</v>
      </c>
      <c r="D407" s="17" t="s">
        <v>860</v>
      </c>
      <c r="E407" s="16" t="s">
        <v>2250</v>
      </c>
      <c r="F407" s="17" t="s">
        <v>1411</v>
      </c>
      <c r="G407" s="3" t="s">
        <v>3797</v>
      </c>
      <c r="H407" s="6">
        <v>42313.152000000002</v>
      </c>
      <c r="I407">
        <f t="shared" si="12"/>
        <v>84</v>
      </c>
      <c r="J407">
        <f t="shared" si="13"/>
        <v>73</v>
      </c>
    </row>
    <row r="408" spans="2:10" ht="15.5" x14ac:dyDescent="0.35">
      <c r="B408" s="3" t="s">
        <v>566</v>
      </c>
      <c r="C408" s="16" t="s">
        <v>3114</v>
      </c>
      <c r="D408" s="17" t="s">
        <v>861</v>
      </c>
      <c r="E408" s="16" t="s">
        <v>2255</v>
      </c>
      <c r="F408" s="17" t="s">
        <v>1416</v>
      </c>
      <c r="G408" s="3" t="s">
        <v>3798</v>
      </c>
      <c r="H408" s="6">
        <v>19877.04</v>
      </c>
      <c r="I408">
        <f t="shared" si="12"/>
        <v>8</v>
      </c>
      <c r="J408">
        <f t="shared" si="13"/>
        <v>97</v>
      </c>
    </row>
    <row r="409" spans="2:10" ht="15.5" hidden="1" x14ac:dyDescent="0.35">
      <c r="B409" s="3" t="s">
        <v>3799</v>
      </c>
      <c r="C409" s="16" t="s">
        <v>3800</v>
      </c>
      <c r="D409" s="17" t="s">
        <v>861</v>
      </c>
      <c r="E409" s="16" t="s">
        <v>3801</v>
      </c>
      <c r="F409" s="17" t="s">
        <v>3802</v>
      </c>
      <c r="G409" s="3" t="s">
        <v>3803</v>
      </c>
      <c r="H409" s="6">
        <v>18825.807999999997</v>
      </c>
      <c r="I409">
        <f t="shared" si="12"/>
        <v>92</v>
      </c>
      <c r="J409">
        <f t="shared" si="13"/>
        <v>73</v>
      </c>
    </row>
    <row r="410" spans="2:10" ht="15.5" hidden="1" x14ac:dyDescent="0.35">
      <c r="B410" s="3" t="s">
        <v>3804</v>
      </c>
      <c r="C410" s="16" t="s">
        <v>3805</v>
      </c>
      <c r="D410" s="17" t="s">
        <v>861</v>
      </c>
      <c r="E410" s="16" t="s">
        <v>3806</v>
      </c>
      <c r="F410" s="17" t="s">
        <v>3807</v>
      </c>
      <c r="G410" s="3" t="s">
        <v>3808</v>
      </c>
      <c r="H410" s="6">
        <v>18843.439999999999</v>
      </c>
      <c r="I410">
        <f t="shared" si="12"/>
        <v>95</v>
      </c>
      <c r="J410">
        <f t="shared" si="13"/>
        <v>73</v>
      </c>
    </row>
    <row r="411" spans="2:10" ht="15.5" x14ac:dyDescent="0.35">
      <c r="B411" s="3" t="s">
        <v>3809</v>
      </c>
      <c r="C411" s="16" t="s">
        <v>3810</v>
      </c>
      <c r="D411" s="17" t="s">
        <v>860</v>
      </c>
      <c r="E411" s="16" t="s">
        <v>3811</v>
      </c>
      <c r="F411" s="17" t="s">
        <v>3812</v>
      </c>
      <c r="G411" s="3" t="s">
        <v>3813</v>
      </c>
      <c r="H411" s="6">
        <v>17536.240000000002</v>
      </c>
      <c r="I411">
        <f t="shared" si="12"/>
        <v>17</v>
      </c>
      <c r="J411">
        <f t="shared" si="13"/>
        <v>97</v>
      </c>
    </row>
    <row r="412" spans="2:10" ht="15.5" hidden="1" x14ac:dyDescent="0.35">
      <c r="B412" s="3" t="s">
        <v>3814</v>
      </c>
      <c r="C412" s="16" t="s">
        <v>3815</v>
      </c>
      <c r="D412" s="17" t="s">
        <v>860</v>
      </c>
      <c r="E412" s="16" t="s">
        <v>3816</v>
      </c>
      <c r="F412" s="17" t="s">
        <v>3817</v>
      </c>
      <c r="G412" s="3" t="s">
        <v>3818</v>
      </c>
      <c r="H412" s="6">
        <v>20541.583999999999</v>
      </c>
      <c r="I412">
        <f t="shared" si="12"/>
        <v>96</v>
      </c>
      <c r="J412">
        <f t="shared" si="13"/>
        <v>73</v>
      </c>
    </row>
    <row r="413" spans="2:10" ht="15.5" hidden="1" x14ac:dyDescent="0.35">
      <c r="B413" s="3" t="s">
        <v>3819</v>
      </c>
      <c r="C413" s="16" t="s">
        <v>3820</v>
      </c>
      <c r="D413" s="17" t="s">
        <v>860</v>
      </c>
      <c r="E413" s="16" t="s">
        <v>3821</v>
      </c>
      <c r="F413" s="17" t="s">
        <v>3822</v>
      </c>
      <c r="G413" s="3" t="s">
        <v>3823</v>
      </c>
      <c r="H413" s="6">
        <v>19697.68</v>
      </c>
      <c r="I413">
        <f t="shared" si="12"/>
        <v>94</v>
      </c>
      <c r="J413">
        <f t="shared" si="13"/>
        <v>73</v>
      </c>
    </row>
    <row r="414" spans="2:10" ht="15.5" hidden="1" x14ac:dyDescent="0.35">
      <c r="B414" s="3" t="s">
        <v>569</v>
      </c>
      <c r="C414" s="16" t="s">
        <v>3117</v>
      </c>
      <c r="D414" s="17" t="s">
        <v>861</v>
      </c>
      <c r="E414" s="16" t="s">
        <v>2258</v>
      </c>
      <c r="F414" s="17" t="s">
        <v>1419</v>
      </c>
      <c r="G414" s="3" t="s">
        <v>3824</v>
      </c>
      <c r="H414" s="6">
        <v>18636.111999999997</v>
      </c>
      <c r="I414">
        <f t="shared" si="12"/>
        <v>92</v>
      </c>
      <c r="J414">
        <f t="shared" si="13"/>
        <v>73</v>
      </c>
    </row>
    <row r="415" spans="2:10" ht="15.5" hidden="1" x14ac:dyDescent="0.35">
      <c r="B415" s="3" t="s">
        <v>570</v>
      </c>
      <c r="C415" s="16" t="s">
        <v>3118</v>
      </c>
      <c r="D415" s="17" t="s">
        <v>860</v>
      </c>
      <c r="E415" s="16" t="s">
        <v>2259</v>
      </c>
      <c r="F415" s="17" t="s">
        <v>1420</v>
      </c>
      <c r="G415" s="3" t="s">
        <v>3825</v>
      </c>
      <c r="H415" s="6">
        <v>21014</v>
      </c>
      <c r="I415">
        <f t="shared" si="12"/>
        <v>96</v>
      </c>
      <c r="J415">
        <f t="shared" si="13"/>
        <v>73</v>
      </c>
    </row>
    <row r="416" spans="2:10" ht="15.5" x14ac:dyDescent="0.35">
      <c r="B416" s="3" t="s">
        <v>572</v>
      </c>
      <c r="C416" s="16" t="s">
        <v>3120</v>
      </c>
      <c r="D416" s="17" t="s">
        <v>861</v>
      </c>
      <c r="E416" s="16" t="s">
        <v>2261</v>
      </c>
      <c r="F416" s="17" t="s">
        <v>1422</v>
      </c>
      <c r="G416" s="3" t="s">
        <v>3826</v>
      </c>
      <c r="H416" s="6">
        <v>17738.703999999998</v>
      </c>
      <c r="I416">
        <f t="shared" si="12"/>
        <v>8</v>
      </c>
      <c r="J416">
        <f t="shared" si="13"/>
        <v>97</v>
      </c>
    </row>
    <row r="417" spans="2:10" ht="15.5" x14ac:dyDescent="0.35">
      <c r="B417" s="3" t="s">
        <v>573</v>
      </c>
      <c r="C417" s="16" t="s">
        <v>3121</v>
      </c>
      <c r="D417" s="17" t="s">
        <v>861</v>
      </c>
      <c r="E417" s="16" t="s">
        <v>2262</v>
      </c>
      <c r="F417" s="17" t="s">
        <v>1423</v>
      </c>
      <c r="G417" s="3" t="s">
        <v>3827</v>
      </c>
      <c r="H417" s="6">
        <v>10925.152</v>
      </c>
      <c r="I417">
        <f t="shared" si="12"/>
        <v>9</v>
      </c>
      <c r="J417">
        <f t="shared" si="13"/>
        <v>97</v>
      </c>
    </row>
    <row r="418" spans="2:10" ht="15.5" hidden="1" x14ac:dyDescent="0.35">
      <c r="B418" s="3" t="s">
        <v>575</v>
      </c>
      <c r="C418" s="16" t="s">
        <v>3123</v>
      </c>
      <c r="D418" s="17" t="s">
        <v>861</v>
      </c>
      <c r="E418" s="16" t="s">
        <v>2264</v>
      </c>
      <c r="F418" s="17" t="s">
        <v>1425</v>
      </c>
      <c r="G418" s="3" t="s">
        <v>3828</v>
      </c>
      <c r="H418" s="6">
        <v>14178.255999999999</v>
      </c>
      <c r="I418">
        <f t="shared" si="12"/>
        <v>92</v>
      </c>
      <c r="J418">
        <f t="shared" si="13"/>
        <v>73</v>
      </c>
    </row>
    <row r="419" spans="2:10" ht="15.5" x14ac:dyDescent="0.35">
      <c r="B419" s="3" t="s">
        <v>576</v>
      </c>
      <c r="C419" s="16" t="s">
        <v>3124</v>
      </c>
      <c r="D419" s="17" t="s">
        <v>860</v>
      </c>
      <c r="E419" s="16" t="s">
        <v>2265</v>
      </c>
      <c r="F419" s="17" t="s">
        <v>1426</v>
      </c>
      <c r="G419" s="3" t="s">
        <v>3829</v>
      </c>
      <c r="H419" s="6">
        <v>18430.608</v>
      </c>
      <c r="I419">
        <f t="shared" si="12"/>
        <v>7</v>
      </c>
      <c r="J419">
        <f t="shared" si="13"/>
        <v>97</v>
      </c>
    </row>
    <row r="420" spans="2:10" ht="15.5" hidden="1" x14ac:dyDescent="0.35">
      <c r="B420" s="3" t="s">
        <v>578</v>
      </c>
      <c r="C420" s="16" t="s">
        <v>3126</v>
      </c>
      <c r="D420" s="17" t="s">
        <v>861</v>
      </c>
      <c r="E420" s="16" t="s">
        <v>2267</v>
      </c>
      <c r="F420" s="17" t="s">
        <v>1428</v>
      </c>
      <c r="G420" s="3" t="s">
        <v>3830</v>
      </c>
      <c r="H420" s="6">
        <v>8725.1039999999994</v>
      </c>
      <c r="I420">
        <f t="shared" si="12"/>
        <v>81</v>
      </c>
      <c r="J420">
        <f t="shared" si="13"/>
        <v>73</v>
      </c>
    </row>
    <row r="421" spans="2:10" ht="15.5" hidden="1" x14ac:dyDescent="0.35">
      <c r="B421" s="3" t="s">
        <v>579</v>
      </c>
      <c r="C421" s="16" t="s">
        <v>3127</v>
      </c>
      <c r="D421" s="17" t="s">
        <v>860</v>
      </c>
      <c r="E421" s="16" t="s">
        <v>2268</v>
      </c>
      <c r="F421" s="17" t="s">
        <v>1429</v>
      </c>
      <c r="G421" s="3" t="s">
        <v>3831</v>
      </c>
      <c r="H421" s="6">
        <v>49270.191999999995</v>
      </c>
      <c r="I421">
        <f t="shared" si="12"/>
        <v>97</v>
      </c>
      <c r="J421">
        <f t="shared" si="13"/>
        <v>73</v>
      </c>
    </row>
    <row r="422" spans="2:10" ht="15.5" x14ac:dyDescent="0.35">
      <c r="B422" s="3" t="s">
        <v>581</v>
      </c>
      <c r="C422" s="16" t="s">
        <v>3129</v>
      </c>
      <c r="D422" s="17" t="s">
        <v>861</v>
      </c>
      <c r="E422" s="16" t="s">
        <v>2270</v>
      </c>
      <c r="F422" s="17" t="s">
        <v>1431</v>
      </c>
      <c r="G422" s="3" t="s">
        <v>3832</v>
      </c>
      <c r="H422" s="6">
        <v>5610.32</v>
      </c>
      <c r="I422">
        <f t="shared" si="12"/>
        <v>18</v>
      </c>
      <c r="J422">
        <f t="shared" si="13"/>
        <v>97</v>
      </c>
    </row>
    <row r="423" spans="2:10" ht="15.5" x14ac:dyDescent="0.35">
      <c r="B423" s="3" t="s">
        <v>582</v>
      </c>
      <c r="C423" s="16" t="s">
        <v>3130</v>
      </c>
      <c r="D423" s="17" t="s">
        <v>861</v>
      </c>
      <c r="E423" s="16" t="s">
        <v>2271</v>
      </c>
      <c r="F423" s="17" t="s">
        <v>1427</v>
      </c>
      <c r="G423" s="3" t="s">
        <v>3833</v>
      </c>
      <c r="H423" s="6">
        <v>15616.784</v>
      </c>
      <c r="I423">
        <f t="shared" si="12"/>
        <v>13</v>
      </c>
      <c r="J423">
        <f t="shared" si="13"/>
        <v>97</v>
      </c>
    </row>
    <row r="424" spans="2:10" ht="15.5" hidden="1" x14ac:dyDescent="0.35">
      <c r="B424" s="3" t="s">
        <v>583</v>
      </c>
      <c r="C424" s="16" t="s">
        <v>3131</v>
      </c>
      <c r="D424" s="17" t="s">
        <v>861</v>
      </c>
      <c r="E424" s="16" t="s">
        <v>2272</v>
      </c>
      <c r="F424" s="17" t="s">
        <v>1432</v>
      </c>
      <c r="G424" s="3" t="s">
        <v>3833</v>
      </c>
      <c r="H424" s="6">
        <v>55429.231999999996</v>
      </c>
      <c r="I424">
        <f t="shared" si="12"/>
        <v>94</v>
      </c>
      <c r="J424">
        <f t="shared" si="13"/>
        <v>73</v>
      </c>
    </row>
    <row r="425" spans="2:10" ht="15.5" hidden="1" x14ac:dyDescent="0.35">
      <c r="B425" s="3" t="s">
        <v>584</v>
      </c>
      <c r="C425" s="16" t="s">
        <v>3132</v>
      </c>
      <c r="D425" s="17" t="s">
        <v>861</v>
      </c>
      <c r="E425" s="16" t="s">
        <v>2273</v>
      </c>
      <c r="F425" s="17" t="s">
        <v>1433</v>
      </c>
      <c r="G425" s="3" t="s">
        <v>3834</v>
      </c>
      <c r="H425" s="6">
        <v>39618.191999999995</v>
      </c>
      <c r="I425">
        <f t="shared" si="12"/>
        <v>97</v>
      </c>
      <c r="J425">
        <f t="shared" si="13"/>
        <v>73</v>
      </c>
    </row>
    <row r="426" spans="2:10" ht="15.5" hidden="1" x14ac:dyDescent="0.35">
      <c r="B426" s="3" t="s">
        <v>587</v>
      </c>
      <c r="C426" s="16" t="s">
        <v>3135</v>
      </c>
      <c r="D426" s="17" t="s">
        <v>860</v>
      </c>
      <c r="E426" s="16" t="s">
        <v>2276</v>
      </c>
      <c r="F426" s="17" t="s">
        <v>1436</v>
      </c>
      <c r="G426" s="3" t="s">
        <v>3835</v>
      </c>
      <c r="H426" s="6">
        <v>33129.311999999998</v>
      </c>
      <c r="I426">
        <f t="shared" si="12"/>
        <v>97</v>
      </c>
      <c r="J426">
        <f t="shared" si="13"/>
        <v>73</v>
      </c>
    </row>
    <row r="427" spans="2:10" ht="15.5" x14ac:dyDescent="0.35">
      <c r="B427" s="3" t="s">
        <v>593</v>
      </c>
      <c r="C427" s="16" t="s">
        <v>3141</v>
      </c>
      <c r="D427" s="17" t="s">
        <v>860</v>
      </c>
      <c r="E427" s="16" t="s">
        <v>2282</v>
      </c>
      <c r="F427" s="17" t="s">
        <v>1442</v>
      </c>
      <c r="G427" s="3" t="s">
        <v>3836</v>
      </c>
      <c r="H427" s="6">
        <v>10914.207999999999</v>
      </c>
      <c r="I427">
        <f t="shared" si="12"/>
        <v>12</v>
      </c>
      <c r="J427">
        <f t="shared" si="13"/>
        <v>97</v>
      </c>
    </row>
    <row r="428" spans="2:10" ht="15.5" x14ac:dyDescent="0.35">
      <c r="B428" s="3" t="s">
        <v>594</v>
      </c>
      <c r="C428" s="16" t="s">
        <v>3142</v>
      </c>
      <c r="D428" s="17" t="s">
        <v>861</v>
      </c>
      <c r="E428" s="16" t="s">
        <v>2283</v>
      </c>
      <c r="F428" s="17" t="s">
        <v>1443</v>
      </c>
      <c r="G428" s="3" t="s">
        <v>3837</v>
      </c>
      <c r="H428" s="6">
        <v>69475.551999999996</v>
      </c>
      <c r="I428">
        <f t="shared" si="12"/>
        <v>8</v>
      </c>
      <c r="J428">
        <f t="shared" si="13"/>
        <v>97</v>
      </c>
    </row>
    <row r="429" spans="2:10" ht="15.5" x14ac:dyDescent="0.35">
      <c r="B429" s="3" t="s">
        <v>598</v>
      </c>
      <c r="C429" s="16" t="s">
        <v>3146</v>
      </c>
      <c r="D429" s="17" t="s">
        <v>860</v>
      </c>
      <c r="E429" s="16" t="s">
        <v>2287</v>
      </c>
      <c r="F429" s="17" t="s">
        <v>1447</v>
      </c>
      <c r="G429" s="3" t="s">
        <v>3838</v>
      </c>
      <c r="H429" s="6">
        <v>23288.528000000002</v>
      </c>
      <c r="I429">
        <f t="shared" si="12"/>
        <v>11</v>
      </c>
      <c r="J429">
        <f t="shared" si="13"/>
        <v>97</v>
      </c>
    </row>
    <row r="430" spans="2:10" ht="15.5" hidden="1" x14ac:dyDescent="0.35">
      <c r="B430" s="3" t="s">
        <v>599</v>
      </c>
      <c r="C430" s="16" t="s">
        <v>3147</v>
      </c>
      <c r="D430" s="17" t="s">
        <v>861</v>
      </c>
      <c r="E430" s="16" t="s">
        <v>2288</v>
      </c>
      <c r="F430" s="17" t="s">
        <v>1448</v>
      </c>
      <c r="G430" s="3" t="s">
        <v>3839</v>
      </c>
      <c r="H430" s="6">
        <v>5624.6080000000002</v>
      </c>
      <c r="I430">
        <f t="shared" si="12"/>
        <v>96</v>
      </c>
      <c r="J430">
        <f t="shared" si="13"/>
        <v>73</v>
      </c>
    </row>
    <row r="431" spans="2:10" ht="15.5" x14ac:dyDescent="0.35">
      <c r="B431" s="3" t="s">
        <v>600</v>
      </c>
      <c r="C431" s="16" t="s">
        <v>3148</v>
      </c>
      <c r="D431" s="17" t="s">
        <v>861</v>
      </c>
      <c r="E431" s="16" t="s">
        <v>2289</v>
      </c>
      <c r="F431" s="17" t="s">
        <v>1449</v>
      </c>
      <c r="G431" s="3" t="s">
        <v>3838</v>
      </c>
      <c r="H431" s="6">
        <v>11510.655999999999</v>
      </c>
      <c r="I431">
        <f t="shared" si="12"/>
        <v>11</v>
      </c>
      <c r="J431">
        <f t="shared" si="13"/>
        <v>97</v>
      </c>
    </row>
    <row r="432" spans="2:10" ht="15.5" x14ac:dyDescent="0.35">
      <c r="B432" s="3" t="s">
        <v>604</v>
      </c>
      <c r="C432" s="16" t="s">
        <v>3152</v>
      </c>
      <c r="D432" s="17" t="s">
        <v>861</v>
      </c>
      <c r="E432" s="16" t="s">
        <v>2293</v>
      </c>
      <c r="F432" s="17" t="s">
        <v>1453</v>
      </c>
      <c r="G432" s="3" t="s">
        <v>3840</v>
      </c>
      <c r="H432" s="6">
        <v>7995.8079999999991</v>
      </c>
      <c r="I432">
        <f t="shared" si="12"/>
        <v>19</v>
      </c>
      <c r="J432">
        <f t="shared" si="13"/>
        <v>97</v>
      </c>
    </row>
    <row r="433" spans="2:10" ht="15.5" x14ac:dyDescent="0.35">
      <c r="B433" s="3" t="s">
        <v>607</v>
      </c>
      <c r="C433" s="16" t="s">
        <v>3155</v>
      </c>
      <c r="D433" s="17" t="s">
        <v>861</v>
      </c>
      <c r="E433" s="16" t="s">
        <v>2296</v>
      </c>
      <c r="F433" s="17" t="s">
        <v>1456</v>
      </c>
      <c r="G433" s="3" t="s">
        <v>3841</v>
      </c>
      <c r="H433" s="6">
        <v>7134.576</v>
      </c>
      <c r="I433">
        <f t="shared" si="12"/>
        <v>6</v>
      </c>
      <c r="J433">
        <f t="shared" si="13"/>
        <v>97</v>
      </c>
    </row>
    <row r="434" spans="2:10" ht="15.5" x14ac:dyDescent="0.35">
      <c r="B434" s="3" t="s">
        <v>609</v>
      </c>
      <c r="C434" s="16" t="s">
        <v>3157</v>
      </c>
      <c r="D434" s="17" t="s">
        <v>861</v>
      </c>
      <c r="E434" s="16" t="s">
        <v>2298</v>
      </c>
      <c r="F434" s="17" t="s">
        <v>1458</v>
      </c>
      <c r="G434" s="3" t="s">
        <v>3842</v>
      </c>
      <c r="H434" s="6">
        <v>19749.359999999997</v>
      </c>
      <c r="I434">
        <f t="shared" si="12"/>
        <v>12</v>
      </c>
      <c r="J434">
        <f t="shared" si="13"/>
        <v>97</v>
      </c>
    </row>
    <row r="435" spans="2:10" ht="15.5" x14ac:dyDescent="0.35">
      <c r="B435" s="3" t="s">
        <v>610</v>
      </c>
      <c r="C435" s="16" t="s">
        <v>3158</v>
      </c>
      <c r="D435" s="17" t="s">
        <v>860</v>
      </c>
      <c r="E435" s="16" t="s">
        <v>2299</v>
      </c>
      <c r="F435" s="17" t="s">
        <v>1459</v>
      </c>
      <c r="G435" s="3" t="s">
        <v>3842</v>
      </c>
      <c r="H435" s="6">
        <v>48488.911999999997</v>
      </c>
      <c r="I435">
        <f t="shared" si="12"/>
        <v>3</v>
      </c>
      <c r="J435">
        <f t="shared" si="13"/>
        <v>97</v>
      </c>
    </row>
    <row r="436" spans="2:10" ht="15.5" x14ac:dyDescent="0.35">
      <c r="B436" s="3" t="s">
        <v>611</v>
      </c>
      <c r="C436" s="16" t="s">
        <v>3159</v>
      </c>
      <c r="D436" s="17" t="s">
        <v>861</v>
      </c>
      <c r="E436" s="16" t="s">
        <v>2300</v>
      </c>
      <c r="F436" s="17" t="s">
        <v>1460</v>
      </c>
      <c r="G436" s="3" t="s">
        <v>3843</v>
      </c>
      <c r="H436" s="6">
        <v>16588.976000000002</v>
      </c>
      <c r="I436">
        <f t="shared" si="12"/>
        <v>19</v>
      </c>
      <c r="J436">
        <f t="shared" si="13"/>
        <v>97</v>
      </c>
    </row>
    <row r="437" spans="2:10" ht="15.5" x14ac:dyDescent="0.35">
      <c r="B437" s="3" t="s">
        <v>612</v>
      </c>
      <c r="C437" s="16" t="s">
        <v>3160</v>
      </c>
      <c r="D437" s="17" t="s">
        <v>861</v>
      </c>
      <c r="E437" s="16" t="s">
        <v>2301</v>
      </c>
      <c r="F437" s="17" t="s">
        <v>1461</v>
      </c>
      <c r="G437" s="3" t="s">
        <v>3844</v>
      </c>
      <c r="H437" s="6">
        <v>15631.68</v>
      </c>
      <c r="I437">
        <f t="shared" si="12"/>
        <v>11</v>
      </c>
      <c r="J437">
        <f t="shared" si="13"/>
        <v>97</v>
      </c>
    </row>
    <row r="438" spans="2:10" ht="15.5" x14ac:dyDescent="0.35">
      <c r="B438" s="3" t="s">
        <v>613</v>
      </c>
      <c r="C438" s="16" t="s">
        <v>3161</v>
      </c>
      <c r="D438" s="17" t="s">
        <v>861</v>
      </c>
      <c r="E438" s="16" t="s">
        <v>2302</v>
      </c>
      <c r="F438" s="17" t="s">
        <v>1462</v>
      </c>
      <c r="G438" s="3" t="s">
        <v>3845</v>
      </c>
      <c r="H438" s="6">
        <v>9389.9519999999993</v>
      </c>
      <c r="I438">
        <f t="shared" si="12"/>
        <v>10</v>
      </c>
      <c r="J438">
        <f t="shared" si="13"/>
        <v>97</v>
      </c>
    </row>
    <row r="439" spans="2:10" ht="15.5" x14ac:dyDescent="0.35">
      <c r="B439" s="3" t="s">
        <v>615</v>
      </c>
      <c r="C439" s="16" t="s">
        <v>3163</v>
      </c>
      <c r="D439" s="17" t="s">
        <v>861</v>
      </c>
      <c r="E439" s="16" t="s">
        <v>2304</v>
      </c>
      <c r="F439" s="17" t="s">
        <v>1464</v>
      </c>
      <c r="G439" s="3" t="s">
        <v>3846</v>
      </c>
      <c r="H439" s="6">
        <v>28708.847999999998</v>
      </c>
      <c r="I439">
        <f t="shared" si="12"/>
        <v>4</v>
      </c>
      <c r="J439">
        <f t="shared" si="13"/>
        <v>97</v>
      </c>
    </row>
    <row r="440" spans="2:10" ht="15.5" x14ac:dyDescent="0.35">
      <c r="B440" s="3" t="s">
        <v>616</v>
      </c>
      <c r="C440" s="16" t="s">
        <v>3164</v>
      </c>
      <c r="D440" s="17" t="s">
        <v>860</v>
      </c>
      <c r="E440" s="16" t="s">
        <v>2305</v>
      </c>
      <c r="F440" s="17" t="s">
        <v>1465</v>
      </c>
      <c r="G440" s="3" t="s">
        <v>3847</v>
      </c>
      <c r="H440" s="6">
        <v>10758.864</v>
      </c>
      <c r="I440">
        <f t="shared" si="12"/>
        <v>19</v>
      </c>
      <c r="J440">
        <f t="shared" si="13"/>
        <v>97</v>
      </c>
    </row>
    <row r="441" spans="2:10" ht="15.5" x14ac:dyDescent="0.35">
      <c r="B441" s="3" t="s">
        <v>617</v>
      </c>
      <c r="C441" s="16" t="s">
        <v>3165</v>
      </c>
      <c r="D441" s="17" t="s">
        <v>860</v>
      </c>
      <c r="E441" s="16" t="s">
        <v>2306</v>
      </c>
      <c r="F441" s="17" t="s">
        <v>1466</v>
      </c>
      <c r="G441" s="3" t="s">
        <v>3848</v>
      </c>
      <c r="H441" s="6">
        <v>8426.271999999999</v>
      </c>
      <c r="I441">
        <f t="shared" si="12"/>
        <v>99</v>
      </c>
      <c r="J441">
        <f t="shared" si="13"/>
        <v>97</v>
      </c>
    </row>
    <row r="442" spans="2:10" ht="15.5" x14ac:dyDescent="0.35">
      <c r="B442" s="3" t="s">
        <v>619</v>
      </c>
      <c r="C442" s="16" t="s">
        <v>3167</v>
      </c>
      <c r="D442" s="17" t="s">
        <v>861</v>
      </c>
      <c r="E442" s="16" t="s">
        <v>2308</v>
      </c>
      <c r="F442" s="17" t="s">
        <v>1468</v>
      </c>
      <c r="G442" s="3" t="s">
        <v>3849</v>
      </c>
      <c r="H442" s="6">
        <v>10094.624</v>
      </c>
      <c r="I442">
        <f t="shared" si="12"/>
        <v>14</v>
      </c>
      <c r="J442">
        <f t="shared" si="13"/>
        <v>97</v>
      </c>
    </row>
    <row r="443" spans="2:10" ht="15.5" x14ac:dyDescent="0.35">
      <c r="B443" s="3" t="s">
        <v>620</v>
      </c>
      <c r="C443" s="16" t="s">
        <v>3168</v>
      </c>
      <c r="D443" s="17" t="s">
        <v>860</v>
      </c>
      <c r="E443" s="16" t="s">
        <v>2309</v>
      </c>
      <c r="F443" s="17" t="s">
        <v>1469</v>
      </c>
      <c r="G443" s="3" t="s">
        <v>3850</v>
      </c>
      <c r="H443" s="6">
        <v>68901.295999999988</v>
      </c>
      <c r="I443">
        <f t="shared" si="12"/>
        <v>2</v>
      </c>
      <c r="J443">
        <f t="shared" si="13"/>
        <v>97</v>
      </c>
    </row>
    <row r="444" spans="2:10" ht="15.5" hidden="1" x14ac:dyDescent="0.35">
      <c r="B444" s="3" t="s">
        <v>623</v>
      </c>
      <c r="C444" s="16" t="s">
        <v>3171</v>
      </c>
      <c r="D444" s="17" t="s">
        <v>861</v>
      </c>
      <c r="E444" s="16" t="s">
        <v>2312</v>
      </c>
      <c r="F444" s="17" t="s">
        <v>1472</v>
      </c>
      <c r="G444" s="3" t="s">
        <v>3851</v>
      </c>
      <c r="H444" s="6">
        <v>30183.248</v>
      </c>
      <c r="I444">
        <f t="shared" si="12"/>
        <v>92</v>
      </c>
      <c r="J444">
        <f t="shared" si="13"/>
        <v>73</v>
      </c>
    </row>
    <row r="445" spans="2:10" ht="15.5" x14ac:dyDescent="0.35">
      <c r="B445" s="3" t="s">
        <v>624</v>
      </c>
      <c r="C445" s="16" t="s">
        <v>3172</v>
      </c>
      <c r="D445" s="17" t="s">
        <v>861</v>
      </c>
      <c r="E445" s="16" t="s">
        <v>2313</v>
      </c>
      <c r="F445" s="17" t="s">
        <v>1473</v>
      </c>
      <c r="G445" s="3" t="s">
        <v>3851</v>
      </c>
      <c r="H445" s="6">
        <v>30752.944</v>
      </c>
      <c r="I445">
        <f t="shared" si="12"/>
        <v>14</v>
      </c>
      <c r="J445">
        <f t="shared" si="13"/>
        <v>97</v>
      </c>
    </row>
    <row r="446" spans="2:10" ht="15.5" hidden="1" x14ac:dyDescent="0.35">
      <c r="B446" s="3" t="s">
        <v>625</v>
      </c>
      <c r="C446" s="16" t="s">
        <v>3173</v>
      </c>
      <c r="D446" s="17" t="s">
        <v>860</v>
      </c>
      <c r="E446" s="16" t="s">
        <v>2314</v>
      </c>
      <c r="F446" s="17" t="s">
        <v>1474</v>
      </c>
      <c r="G446" s="3" t="s">
        <v>3852</v>
      </c>
      <c r="H446" s="6">
        <v>10919.679999999998</v>
      </c>
      <c r="I446">
        <f t="shared" si="12"/>
        <v>89</v>
      </c>
      <c r="J446">
        <f t="shared" si="13"/>
        <v>73</v>
      </c>
    </row>
    <row r="447" spans="2:10" ht="15.5" hidden="1" x14ac:dyDescent="0.35">
      <c r="B447" s="3" t="s">
        <v>626</v>
      </c>
      <c r="C447" s="16" t="s">
        <v>3174</v>
      </c>
      <c r="D447" s="17" t="s">
        <v>861</v>
      </c>
      <c r="E447" s="16" t="s">
        <v>2315</v>
      </c>
      <c r="F447" s="17" t="s">
        <v>1475</v>
      </c>
      <c r="G447" s="3" t="s">
        <v>3851</v>
      </c>
      <c r="H447" s="6">
        <v>42256.911999999997</v>
      </c>
      <c r="I447">
        <f t="shared" si="12"/>
        <v>95</v>
      </c>
      <c r="J447">
        <f t="shared" si="13"/>
        <v>73</v>
      </c>
    </row>
    <row r="448" spans="2:10" ht="15.5" hidden="1" x14ac:dyDescent="0.35">
      <c r="B448" s="3" t="s">
        <v>628</v>
      </c>
      <c r="C448" s="16" t="s">
        <v>3176</v>
      </c>
      <c r="D448" s="17" t="s">
        <v>860</v>
      </c>
      <c r="E448" s="16" t="s">
        <v>2317</v>
      </c>
      <c r="F448" s="17" t="s">
        <v>1477</v>
      </c>
      <c r="G448" s="3" t="s">
        <v>3852</v>
      </c>
      <c r="H448" s="6">
        <v>17868.207999999999</v>
      </c>
      <c r="I448">
        <f t="shared" si="12"/>
        <v>97</v>
      </c>
      <c r="J448">
        <f t="shared" si="13"/>
        <v>73</v>
      </c>
    </row>
    <row r="449" spans="2:10" ht="15.5" x14ac:dyDescent="0.35">
      <c r="B449" s="3" t="s">
        <v>630</v>
      </c>
      <c r="C449" s="16" t="s">
        <v>3178</v>
      </c>
      <c r="D449" s="17" t="s">
        <v>861</v>
      </c>
      <c r="E449" s="16" t="s">
        <v>2319</v>
      </c>
      <c r="F449" s="17" t="s">
        <v>1479</v>
      </c>
      <c r="G449" s="3" t="s">
        <v>3851</v>
      </c>
      <c r="H449" s="6">
        <v>9609.7440000000006</v>
      </c>
      <c r="I449">
        <f t="shared" si="12"/>
        <v>15</v>
      </c>
      <c r="J449">
        <f t="shared" si="13"/>
        <v>97</v>
      </c>
    </row>
    <row r="450" spans="2:10" ht="15.5" x14ac:dyDescent="0.35">
      <c r="B450" s="3" t="s">
        <v>632</v>
      </c>
      <c r="C450" s="16" t="s">
        <v>3180</v>
      </c>
      <c r="D450" s="17" t="s">
        <v>861</v>
      </c>
      <c r="E450" s="16" t="s">
        <v>2321</v>
      </c>
      <c r="F450" s="17" t="s">
        <v>1481</v>
      </c>
      <c r="G450" s="3" t="s">
        <v>3853</v>
      </c>
      <c r="H450" s="6">
        <v>37895.727999999996</v>
      </c>
      <c r="I450">
        <f t="shared" si="12"/>
        <v>2</v>
      </c>
      <c r="J450">
        <f t="shared" si="13"/>
        <v>97</v>
      </c>
    </row>
    <row r="451" spans="2:10" ht="15.5" x14ac:dyDescent="0.35">
      <c r="B451" s="3" t="s">
        <v>635</v>
      </c>
      <c r="C451" s="16" t="s">
        <v>3183</v>
      </c>
      <c r="D451" s="17" t="s">
        <v>860</v>
      </c>
      <c r="E451" s="16" t="s">
        <v>2324</v>
      </c>
      <c r="F451" s="17" t="s">
        <v>1484</v>
      </c>
      <c r="G451" s="3" t="s">
        <v>3854</v>
      </c>
      <c r="H451" s="6">
        <v>6982.576</v>
      </c>
      <c r="I451">
        <f t="shared" si="12"/>
        <v>19</v>
      </c>
      <c r="J451">
        <f t="shared" si="13"/>
        <v>97</v>
      </c>
    </row>
    <row r="452" spans="2:10" ht="15.5" x14ac:dyDescent="0.35">
      <c r="B452" s="3" t="s">
        <v>636</v>
      </c>
      <c r="C452" s="16" t="s">
        <v>3184</v>
      </c>
      <c r="D452" s="17" t="s">
        <v>861</v>
      </c>
      <c r="E452" s="16" t="s">
        <v>2325</v>
      </c>
      <c r="F452" s="17" t="s">
        <v>1485</v>
      </c>
      <c r="G452" s="3" t="s">
        <v>3851</v>
      </c>
      <c r="H452" s="6">
        <v>5624.6080000000002</v>
      </c>
      <c r="I452">
        <f t="shared" ref="I452:I515" si="14">_xlfn.NUMBERVALUE(MID(C452,3,2))</f>
        <v>13</v>
      </c>
      <c r="J452">
        <f t="shared" ref="J452:J515" si="15">IF(I452&gt;25,IF(I452&lt;=97,73,97),97)</f>
        <v>97</v>
      </c>
    </row>
    <row r="453" spans="2:10" ht="15.5" hidden="1" x14ac:dyDescent="0.35">
      <c r="B453" s="3" t="s">
        <v>637</v>
      </c>
      <c r="C453" s="16" t="s">
        <v>3185</v>
      </c>
      <c r="D453" s="17" t="s">
        <v>861</v>
      </c>
      <c r="E453" s="16" t="s">
        <v>2326</v>
      </c>
      <c r="F453" s="17" t="s">
        <v>1486</v>
      </c>
      <c r="G453" s="3" t="s">
        <v>3855</v>
      </c>
      <c r="H453" s="6">
        <v>10820.271999999999</v>
      </c>
      <c r="I453">
        <f t="shared" si="14"/>
        <v>96</v>
      </c>
      <c r="J453">
        <f t="shared" si="15"/>
        <v>73</v>
      </c>
    </row>
    <row r="454" spans="2:10" ht="15.5" x14ac:dyDescent="0.35">
      <c r="B454" s="3" t="s">
        <v>638</v>
      </c>
      <c r="C454" s="16" t="s">
        <v>3186</v>
      </c>
      <c r="D454" s="17" t="s">
        <v>861</v>
      </c>
      <c r="E454" s="16" t="s">
        <v>2327</v>
      </c>
      <c r="F454" s="17" t="s">
        <v>1487</v>
      </c>
      <c r="G454" s="3" t="s">
        <v>3856</v>
      </c>
      <c r="H454" s="6">
        <v>12378.575999999999</v>
      </c>
      <c r="I454">
        <f t="shared" si="14"/>
        <v>8</v>
      </c>
      <c r="J454">
        <f t="shared" si="15"/>
        <v>97</v>
      </c>
    </row>
    <row r="455" spans="2:10" ht="15.5" x14ac:dyDescent="0.35">
      <c r="B455" s="3" t="s">
        <v>639</v>
      </c>
      <c r="C455" s="16" t="s">
        <v>3187</v>
      </c>
      <c r="D455" s="17" t="s">
        <v>861</v>
      </c>
      <c r="E455" s="16" t="s">
        <v>2328</v>
      </c>
      <c r="F455" s="17" t="s">
        <v>1488</v>
      </c>
      <c r="G455" s="3" t="s">
        <v>3857</v>
      </c>
      <c r="H455" s="6">
        <v>11928.351999999999</v>
      </c>
      <c r="I455">
        <f t="shared" si="14"/>
        <v>9</v>
      </c>
      <c r="J455">
        <f t="shared" si="15"/>
        <v>97</v>
      </c>
    </row>
    <row r="456" spans="2:10" ht="15.5" x14ac:dyDescent="0.35">
      <c r="B456" s="3" t="s">
        <v>643</v>
      </c>
      <c r="C456" s="16" t="s">
        <v>3191</v>
      </c>
      <c r="D456" s="17" t="s">
        <v>860</v>
      </c>
      <c r="E456" s="16" t="s">
        <v>2332</v>
      </c>
      <c r="F456" s="17" t="s">
        <v>1491</v>
      </c>
      <c r="G456" s="3" t="s">
        <v>3858</v>
      </c>
      <c r="H456" s="6">
        <v>45508.799999999996</v>
      </c>
      <c r="I456">
        <f t="shared" si="14"/>
        <v>12</v>
      </c>
      <c r="J456">
        <f t="shared" si="15"/>
        <v>97</v>
      </c>
    </row>
    <row r="457" spans="2:10" ht="15.5" x14ac:dyDescent="0.35">
      <c r="B457" s="3" t="s">
        <v>645</v>
      </c>
      <c r="C457" s="16" t="s">
        <v>3193</v>
      </c>
      <c r="D457" s="17" t="s">
        <v>860</v>
      </c>
      <c r="E457" s="16" t="s">
        <v>2334</v>
      </c>
      <c r="F457" s="17" t="s">
        <v>1493</v>
      </c>
      <c r="G457" s="3" t="s">
        <v>3859</v>
      </c>
      <c r="H457" s="6">
        <v>24602.415999999997</v>
      </c>
      <c r="I457">
        <f t="shared" si="14"/>
        <v>14</v>
      </c>
      <c r="J457">
        <f t="shared" si="15"/>
        <v>97</v>
      </c>
    </row>
    <row r="458" spans="2:10" ht="15.5" x14ac:dyDescent="0.35">
      <c r="B458" s="3" t="s">
        <v>647</v>
      </c>
      <c r="C458" s="16" t="s">
        <v>3195</v>
      </c>
      <c r="D458" s="17" t="s">
        <v>861</v>
      </c>
      <c r="E458" s="16" t="s">
        <v>2336</v>
      </c>
      <c r="F458" s="17" t="s">
        <v>1495</v>
      </c>
      <c r="G458" s="3" t="s">
        <v>3860</v>
      </c>
      <c r="H458" s="6">
        <v>19578.815999999999</v>
      </c>
      <c r="I458">
        <f t="shared" si="14"/>
        <v>19</v>
      </c>
      <c r="J458">
        <f t="shared" si="15"/>
        <v>97</v>
      </c>
    </row>
    <row r="459" spans="2:10" ht="15.5" hidden="1" x14ac:dyDescent="0.35">
      <c r="B459" s="3" t="s">
        <v>649</v>
      </c>
      <c r="C459" s="16" t="s">
        <v>3197</v>
      </c>
      <c r="D459" s="17" t="s">
        <v>861</v>
      </c>
      <c r="E459" s="16" t="s">
        <v>2338</v>
      </c>
      <c r="F459" s="17" t="s">
        <v>1496</v>
      </c>
      <c r="G459" s="3" t="s">
        <v>3556</v>
      </c>
      <c r="H459" s="6">
        <v>13261.088</v>
      </c>
      <c r="I459">
        <f t="shared" si="14"/>
        <v>93</v>
      </c>
      <c r="J459">
        <f t="shared" si="15"/>
        <v>73</v>
      </c>
    </row>
    <row r="460" spans="2:10" ht="15.5" hidden="1" x14ac:dyDescent="0.35">
      <c r="B460" s="3" t="s">
        <v>651</v>
      </c>
      <c r="C460" s="16" t="s">
        <v>3199</v>
      </c>
      <c r="D460" s="17" t="s">
        <v>860</v>
      </c>
      <c r="E460" s="16" t="s">
        <v>2340</v>
      </c>
      <c r="F460" s="17" t="s">
        <v>1497</v>
      </c>
      <c r="G460" s="3" t="s">
        <v>3861</v>
      </c>
      <c r="H460" s="6">
        <v>16682</v>
      </c>
      <c r="I460">
        <f t="shared" si="14"/>
        <v>96</v>
      </c>
      <c r="J460">
        <f t="shared" si="15"/>
        <v>73</v>
      </c>
    </row>
    <row r="461" spans="2:10" ht="15.5" hidden="1" x14ac:dyDescent="0.35">
      <c r="B461" s="3" t="s">
        <v>652</v>
      </c>
      <c r="C461" s="16" t="s">
        <v>3200</v>
      </c>
      <c r="D461" s="17" t="s">
        <v>861</v>
      </c>
      <c r="E461" s="16" t="s">
        <v>2341</v>
      </c>
      <c r="F461" s="17" t="s">
        <v>1498</v>
      </c>
      <c r="G461" s="3" t="s">
        <v>3862</v>
      </c>
      <c r="H461" s="6">
        <v>5624.6080000000002</v>
      </c>
      <c r="I461">
        <f t="shared" si="14"/>
        <v>90</v>
      </c>
      <c r="J461">
        <f t="shared" si="15"/>
        <v>73</v>
      </c>
    </row>
    <row r="462" spans="2:10" ht="15.5" x14ac:dyDescent="0.35">
      <c r="B462" s="3" t="s">
        <v>3863</v>
      </c>
      <c r="C462" s="16" t="s">
        <v>3864</v>
      </c>
      <c r="D462" s="17" t="s">
        <v>861</v>
      </c>
      <c r="E462" s="16" t="s">
        <v>3865</v>
      </c>
      <c r="F462" s="17" t="s">
        <v>3866</v>
      </c>
      <c r="G462" s="3" t="s">
        <v>3867</v>
      </c>
      <c r="H462" s="6">
        <v>21838.144</v>
      </c>
      <c r="I462">
        <f t="shared" si="14"/>
        <v>16</v>
      </c>
      <c r="J462">
        <f t="shared" si="15"/>
        <v>97</v>
      </c>
    </row>
    <row r="463" spans="2:10" ht="15.5" x14ac:dyDescent="0.35">
      <c r="B463" s="3" t="s">
        <v>658</v>
      </c>
      <c r="C463" s="16" t="s">
        <v>3206</v>
      </c>
      <c r="D463" s="17" t="s">
        <v>861</v>
      </c>
      <c r="E463" s="16" t="s">
        <v>2347</v>
      </c>
      <c r="F463" s="17" t="s">
        <v>1504</v>
      </c>
      <c r="G463" s="3" t="s">
        <v>3868</v>
      </c>
      <c r="H463" s="6">
        <v>70323.712</v>
      </c>
      <c r="I463">
        <f t="shared" si="14"/>
        <v>11</v>
      </c>
      <c r="J463">
        <f t="shared" si="15"/>
        <v>97</v>
      </c>
    </row>
    <row r="464" spans="2:10" ht="15.5" x14ac:dyDescent="0.35">
      <c r="B464" s="3" t="s">
        <v>660</v>
      </c>
      <c r="C464" s="16" t="s">
        <v>3208</v>
      </c>
      <c r="D464" s="17" t="s">
        <v>861</v>
      </c>
      <c r="E464" s="16" t="s">
        <v>2349</v>
      </c>
      <c r="F464" s="17" t="s">
        <v>1501</v>
      </c>
      <c r="G464" s="3" t="s">
        <v>3869</v>
      </c>
      <c r="H464" s="6">
        <v>19245.936000000002</v>
      </c>
      <c r="I464">
        <f t="shared" si="14"/>
        <v>13</v>
      </c>
      <c r="J464">
        <f t="shared" si="15"/>
        <v>97</v>
      </c>
    </row>
    <row r="465" spans="2:10" ht="15.5" x14ac:dyDescent="0.35">
      <c r="B465" s="3" t="s">
        <v>661</v>
      </c>
      <c r="C465" s="16" t="s">
        <v>3209</v>
      </c>
      <c r="D465" s="17" t="s">
        <v>861</v>
      </c>
      <c r="E465" s="16" t="s">
        <v>2350</v>
      </c>
      <c r="F465" s="17" t="s">
        <v>1506</v>
      </c>
      <c r="G465" s="3" t="s">
        <v>3870</v>
      </c>
      <c r="H465" s="6">
        <v>5624.6080000000002</v>
      </c>
      <c r="I465">
        <f t="shared" si="14"/>
        <v>16</v>
      </c>
      <c r="J465">
        <f t="shared" si="15"/>
        <v>97</v>
      </c>
    </row>
    <row r="466" spans="2:10" ht="15.5" x14ac:dyDescent="0.35">
      <c r="B466" s="3" t="s">
        <v>663</v>
      </c>
      <c r="C466" s="16" t="s">
        <v>3211</v>
      </c>
      <c r="D466" s="17" t="s">
        <v>861</v>
      </c>
      <c r="E466" s="16" t="s">
        <v>2352</v>
      </c>
      <c r="F466" s="17" t="s">
        <v>1508</v>
      </c>
      <c r="G466" s="3" t="s">
        <v>3871</v>
      </c>
      <c r="H466" s="6">
        <v>25561.536</v>
      </c>
      <c r="I466">
        <f t="shared" si="14"/>
        <v>3</v>
      </c>
      <c r="J466">
        <f t="shared" si="15"/>
        <v>97</v>
      </c>
    </row>
    <row r="467" spans="2:10" ht="15.5" x14ac:dyDescent="0.35">
      <c r="B467" s="3" t="s">
        <v>665</v>
      </c>
      <c r="C467" s="16" t="s">
        <v>3213</v>
      </c>
      <c r="D467" s="17" t="s">
        <v>861</v>
      </c>
      <c r="E467" s="16" t="s">
        <v>2354</v>
      </c>
      <c r="F467" s="17" t="s">
        <v>1510</v>
      </c>
      <c r="G467" s="3" t="s">
        <v>3872</v>
      </c>
      <c r="H467" s="6">
        <v>18963.823999999997</v>
      </c>
      <c r="I467">
        <f t="shared" si="14"/>
        <v>7</v>
      </c>
      <c r="J467">
        <f t="shared" si="15"/>
        <v>97</v>
      </c>
    </row>
    <row r="468" spans="2:10" ht="15.5" x14ac:dyDescent="0.35">
      <c r="B468" s="3" t="s">
        <v>666</v>
      </c>
      <c r="C468" s="16" t="s">
        <v>3214</v>
      </c>
      <c r="D468" s="17" t="s">
        <v>860</v>
      </c>
      <c r="E468" s="16" t="s">
        <v>2355</v>
      </c>
      <c r="F468" s="17" t="s">
        <v>1511</v>
      </c>
      <c r="G468" s="3" t="s">
        <v>3873</v>
      </c>
      <c r="H468" s="6">
        <v>12749.759999999998</v>
      </c>
      <c r="I468">
        <f t="shared" si="14"/>
        <v>11</v>
      </c>
      <c r="J468">
        <f t="shared" si="15"/>
        <v>97</v>
      </c>
    </row>
    <row r="469" spans="2:10" ht="15.5" x14ac:dyDescent="0.35">
      <c r="B469" s="3" t="s">
        <v>667</v>
      </c>
      <c r="C469" s="16" t="s">
        <v>3215</v>
      </c>
      <c r="D469" s="17" t="s">
        <v>861</v>
      </c>
      <c r="E469" s="16" t="s">
        <v>2356</v>
      </c>
      <c r="F469" s="17" t="s">
        <v>1512</v>
      </c>
      <c r="G469" s="3" t="s">
        <v>3874</v>
      </c>
      <c r="H469" s="6">
        <v>15261.711999999998</v>
      </c>
      <c r="I469">
        <f t="shared" si="14"/>
        <v>8</v>
      </c>
      <c r="J469">
        <f t="shared" si="15"/>
        <v>97</v>
      </c>
    </row>
    <row r="470" spans="2:10" ht="15.5" x14ac:dyDescent="0.35">
      <c r="B470" s="3" t="s">
        <v>675</v>
      </c>
      <c r="C470" s="16" t="s">
        <v>3223</v>
      </c>
      <c r="D470" s="17" t="s">
        <v>860</v>
      </c>
      <c r="E470" s="16" t="s">
        <v>2364</v>
      </c>
      <c r="F470" s="17" t="s">
        <v>1520</v>
      </c>
      <c r="G470" s="3" t="s">
        <v>3875</v>
      </c>
      <c r="H470" s="6">
        <v>13846.288</v>
      </c>
      <c r="I470">
        <f t="shared" si="14"/>
        <v>7</v>
      </c>
      <c r="J470">
        <f t="shared" si="15"/>
        <v>97</v>
      </c>
    </row>
    <row r="471" spans="2:10" ht="15.5" x14ac:dyDescent="0.35">
      <c r="B471" s="3" t="s">
        <v>676</v>
      </c>
      <c r="C471" s="16" t="s">
        <v>3224</v>
      </c>
      <c r="D471" s="17" t="s">
        <v>861</v>
      </c>
      <c r="E471" s="16" t="s">
        <v>2365</v>
      </c>
      <c r="F471" s="17" t="s">
        <v>1521</v>
      </c>
      <c r="G471" s="3" t="s">
        <v>3876</v>
      </c>
      <c r="H471" s="6">
        <v>16558.576000000001</v>
      </c>
      <c r="I471">
        <f t="shared" si="14"/>
        <v>13</v>
      </c>
      <c r="J471">
        <f t="shared" si="15"/>
        <v>97</v>
      </c>
    </row>
    <row r="472" spans="2:10" ht="15.5" x14ac:dyDescent="0.35">
      <c r="B472" s="3" t="s">
        <v>678</v>
      </c>
      <c r="C472" s="16" t="s">
        <v>3226</v>
      </c>
      <c r="D472" s="17" t="s">
        <v>861</v>
      </c>
      <c r="E472" s="16" t="s">
        <v>2367</v>
      </c>
      <c r="F472" s="17" t="s">
        <v>1523</v>
      </c>
      <c r="G472" s="3" t="s">
        <v>3877</v>
      </c>
      <c r="H472" s="6">
        <v>30752.944</v>
      </c>
      <c r="I472">
        <f t="shared" si="14"/>
        <v>6</v>
      </c>
      <c r="J472">
        <f t="shared" si="15"/>
        <v>97</v>
      </c>
    </row>
    <row r="473" spans="2:10" ht="15.5" x14ac:dyDescent="0.35">
      <c r="B473" s="3" t="s">
        <v>680</v>
      </c>
      <c r="C473" s="16" t="s">
        <v>3228</v>
      </c>
      <c r="D473" s="17" t="s">
        <v>861</v>
      </c>
      <c r="E473" s="16" t="s">
        <v>2369</v>
      </c>
      <c r="F473" s="17" t="s">
        <v>1525</v>
      </c>
      <c r="G473" s="3" t="s">
        <v>3877</v>
      </c>
      <c r="H473" s="6">
        <v>12625.423999999999</v>
      </c>
      <c r="I473">
        <f t="shared" si="14"/>
        <v>14</v>
      </c>
      <c r="J473">
        <f t="shared" si="15"/>
        <v>97</v>
      </c>
    </row>
    <row r="474" spans="2:10" ht="15.5" hidden="1" x14ac:dyDescent="0.35">
      <c r="B474" s="3" t="s">
        <v>681</v>
      </c>
      <c r="C474" s="16" t="s">
        <v>3229</v>
      </c>
      <c r="D474" s="17" t="s">
        <v>861</v>
      </c>
      <c r="E474" s="16" t="s">
        <v>2370</v>
      </c>
      <c r="F474" s="17" t="s">
        <v>1168</v>
      </c>
      <c r="G474" s="3" t="s">
        <v>3878</v>
      </c>
      <c r="H474" s="6">
        <v>8547.8719999999994</v>
      </c>
      <c r="I474">
        <f t="shared" si="14"/>
        <v>84</v>
      </c>
      <c r="J474">
        <f t="shared" si="15"/>
        <v>73</v>
      </c>
    </row>
    <row r="475" spans="2:10" ht="15.5" x14ac:dyDescent="0.35">
      <c r="B475" s="3" t="s">
        <v>682</v>
      </c>
      <c r="C475" s="16" t="s">
        <v>3230</v>
      </c>
      <c r="D475" s="17" t="s">
        <v>860</v>
      </c>
      <c r="E475" s="16" t="s">
        <v>2371</v>
      </c>
      <c r="F475" s="17" t="s">
        <v>1526</v>
      </c>
      <c r="G475" s="3" t="s">
        <v>3879</v>
      </c>
      <c r="H475" s="6">
        <v>15991.615999999998</v>
      </c>
      <c r="I475">
        <f t="shared" si="14"/>
        <v>15</v>
      </c>
      <c r="J475">
        <f t="shared" si="15"/>
        <v>97</v>
      </c>
    </row>
    <row r="476" spans="2:10" ht="15.5" x14ac:dyDescent="0.35">
      <c r="B476" s="3" t="s">
        <v>683</v>
      </c>
      <c r="C476" s="16" t="s">
        <v>3231</v>
      </c>
      <c r="D476" s="17" t="s">
        <v>860</v>
      </c>
      <c r="E476" s="16" t="s">
        <v>2372</v>
      </c>
      <c r="F476" s="17" t="s">
        <v>1197</v>
      </c>
      <c r="G476" s="3" t="s">
        <v>3880</v>
      </c>
      <c r="H476" s="6">
        <v>9362.8960000000006</v>
      </c>
      <c r="I476">
        <f t="shared" si="14"/>
        <v>19</v>
      </c>
      <c r="J476">
        <f t="shared" si="15"/>
        <v>97</v>
      </c>
    </row>
    <row r="477" spans="2:10" ht="15.5" hidden="1" x14ac:dyDescent="0.35">
      <c r="B477" s="3" t="s">
        <v>684</v>
      </c>
      <c r="C477" s="16" t="s">
        <v>3232</v>
      </c>
      <c r="D477" s="17" t="s">
        <v>860</v>
      </c>
      <c r="E477" s="16" t="s">
        <v>2373</v>
      </c>
      <c r="F477" s="17" t="s">
        <v>1527</v>
      </c>
      <c r="G477" s="3" t="s">
        <v>3879</v>
      </c>
      <c r="H477" s="6">
        <v>48656.415999999997</v>
      </c>
      <c r="I477">
        <f t="shared" si="14"/>
        <v>96</v>
      </c>
      <c r="J477">
        <f t="shared" si="15"/>
        <v>73</v>
      </c>
    </row>
    <row r="478" spans="2:10" ht="15.5" x14ac:dyDescent="0.35">
      <c r="B478" s="3" t="s">
        <v>685</v>
      </c>
      <c r="C478" s="16" t="s">
        <v>3233</v>
      </c>
      <c r="D478" s="17" t="s">
        <v>860</v>
      </c>
      <c r="E478" s="16" t="s">
        <v>2374</v>
      </c>
      <c r="F478" s="17" t="s">
        <v>1528</v>
      </c>
      <c r="G478" s="3" t="s">
        <v>3881</v>
      </c>
      <c r="H478" s="6">
        <v>8469.44</v>
      </c>
      <c r="I478">
        <f t="shared" si="14"/>
        <v>13</v>
      </c>
      <c r="J478">
        <f t="shared" si="15"/>
        <v>97</v>
      </c>
    </row>
    <row r="479" spans="2:10" ht="15.5" x14ac:dyDescent="0.35">
      <c r="B479" s="3" t="s">
        <v>687</v>
      </c>
      <c r="C479" s="16" t="s">
        <v>3235</v>
      </c>
      <c r="D479" s="17" t="s">
        <v>861</v>
      </c>
      <c r="E479" s="16" t="s">
        <v>2376</v>
      </c>
      <c r="F479" s="17" t="s">
        <v>1530</v>
      </c>
      <c r="G479" s="3" t="s">
        <v>3882</v>
      </c>
      <c r="H479" s="6">
        <v>5624.6080000000002</v>
      </c>
      <c r="I479">
        <f t="shared" si="14"/>
        <v>19</v>
      </c>
      <c r="J479">
        <f t="shared" si="15"/>
        <v>97</v>
      </c>
    </row>
    <row r="480" spans="2:10" ht="15.5" x14ac:dyDescent="0.35">
      <c r="B480" s="3" t="s">
        <v>688</v>
      </c>
      <c r="C480" s="16" t="s">
        <v>3236</v>
      </c>
      <c r="D480" s="17" t="s">
        <v>860</v>
      </c>
      <c r="E480" s="16" t="s">
        <v>2377</v>
      </c>
      <c r="F480" s="17" t="s">
        <v>1531</v>
      </c>
      <c r="G480" s="3" t="s">
        <v>3883</v>
      </c>
      <c r="H480" s="6">
        <v>7120.2879999999996</v>
      </c>
      <c r="I480">
        <f t="shared" si="14"/>
        <v>2</v>
      </c>
      <c r="J480">
        <f t="shared" si="15"/>
        <v>97</v>
      </c>
    </row>
    <row r="481" spans="2:10" ht="15.5" x14ac:dyDescent="0.35">
      <c r="B481" s="3" t="s">
        <v>690</v>
      </c>
      <c r="C481" s="16" t="s">
        <v>3238</v>
      </c>
      <c r="D481" s="17" t="s">
        <v>860</v>
      </c>
      <c r="E481" s="16" t="s">
        <v>2379</v>
      </c>
      <c r="F481" s="17" t="s">
        <v>1482</v>
      </c>
      <c r="G481" s="3" t="s">
        <v>3884</v>
      </c>
      <c r="H481" s="6">
        <v>9633.4559999999983</v>
      </c>
      <c r="I481">
        <f t="shared" si="14"/>
        <v>11</v>
      </c>
      <c r="J481">
        <f t="shared" si="15"/>
        <v>97</v>
      </c>
    </row>
    <row r="482" spans="2:10" ht="15.5" x14ac:dyDescent="0.35">
      <c r="B482" s="3" t="s">
        <v>691</v>
      </c>
      <c r="C482" s="16" t="s">
        <v>3239</v>
      </c>
      <c r="D482" s="17" t="s">
        <v>860</v>
      </c>
      <c r="E482" s="16" t="s">
        <v>2380</v>
      </c>
      <c r="F482" s="17" t="s">
        <v>1533</v>
      </c>
      <c r="G482" s="3" t="s">
        <v>3885</v>
      </c>
      <c r="H482" s="6">
        <v>10576.464</v>
      </c>
      <c r="I482">
        <f t="shared" si="14"/>
        <v>7</v>
      </c>
      <c r="J482">
        <f t="shared" si="15"/>
        <v>97</v>
      </c>
    </row>
    <row r="483" spans="2:10" ht="15.5" hidden="1" x14ac:dyDescent="0.35">
      <c r="B483" s="3" t="s">
        <v>692</v>
      </c>
      <c r="C483" s="16" t="s">
        <v>3240</v>
      </c>
      <c r="D483" s="17" t="s">
        <v>860</v>
      </c>
      <c r="E483" s="16" t="s">
        <v>2381</v>
      </c>
      <c r="F483" s="17" t="s">
        <v>1534</v>
      </c>
      <c r="G483" s="3" t="s">
        <v>3886</v>
      </c>
      <c r="H483" s="6">
        <v>8677.3760000000002</v>
      </c>
      <c r="I483">
        <f t="shared" si="14"/>
        <v>81</v>
      </c>
      <c r="J483">
        <f t="shared" si="15"/>
        <v>73</v>
      </c>
    </row>
    <row r="484" spans="2:10" ht="15.5" x14ac:dyDescent="0.35">
      <c r="B484" s="3" t="s">
        <v>693</v>
      </c>
      <c r="C484" s="16" t="s">
        <v>3241</v>
      </c>
      <c r="D484" s="17" t="s">
        <v>861</v>
      </c>
      <c r="E484" s="16" t="s">
        <v>2382</v>
      </c>
      <c r="F484" s="17" t="s">
        <v>1535</v>
      </c>
      <c r="G484" s="3" t="s">
        <v>3887</v>
      </c>
      <c r="H484" s="6">
        <v>21826.592000000001</v>
      </c>
      <c r="I484">
        <f t="shared" si="14"/>
        <v>16</v>
      </c>
      <c r="J484">
        <f t="shared" si="15"/>
        <v>97</v>
      </c>
    </row>
    <row r="485" spans="2:10" ht="15.5" x14ac:dyDescent="0.35">
      <c r="B485" s="3" t="s">
        <v>3888</v>
      </c>
      <c r="C485" s="16" t="s">
        <v>3889</v>
      </c>
      <c r="D485" s="17" t="s">
        <v>861</v>
      </c>
      <c r="E485" s="16" t="s">
        <v>3890</v>
      </c>
      <c r="F485" s="17" t="s">
        <v>3891</v>
      </c>
      <c r="G485" s="3" t="s">
        <v>3892</v>
      </c>
      <c r="H485" s="6">
        <v>17987.071999999996</v>
      </c>
      <c r="I485">
        <f t="shared" si="14"/>
        <v>9</v>
      </c>
      <c r="J485">
        <f t="shared" si="15"/>
        <v>97</v>
      </c>
    </row>
    <row r="486" spans="2:10" ht="15.5" x14ac:dyDescent="0.35">
      <c r="B486" s="3" t="s">
        <v>3893</v>
      </c>
      <c r="C486" s="16" t="s">
        <v>3894</v>
      </c>
      <c r="D486" s="17" t="s">
        <v>860</v>
      </c>
      <c r="E486" s="16" t="s">
        <v>3895</v>
      </c>
      <c r="F486" s="17" t="s">
        <v>3896</v>
      </c>
      <c r="G486" s="3" t="s">
        <v>3892</v>
      </c>
      <c r="H486" s="6">
        <v>18639.759999999998</v>
      </c>
      <c r="I486">
        <f t="shared" si="14"/>
        <v>13</v>
      </c>
      <c r="J486">
        <f t="shared" si="15"/>
        <v>97</v>
      </c>
    </row>
    <row r="487" spans="2:10" ht="15.5" x14ac:dyDescent="0.35">
      <c r="B487" s="3" t="s">
        <v>695</v>
      </c>
      <c r="C487" s="16" t="s">
        <v>3243</v>
      </c>
      <c r="D487" s="17" t="s">
        <v>861</v>
      </c>
      <c r="E487" s="16" t="s">
        <v>2384</v>
      </c>
      <c r="F487" s="17" t="s">
        <v>1537</v>
      </c>
      <c r="G487" s="3" t="s">
        <v>3897</v>
      </c>
      <c r="H487" s="6">
        <v>30454.415999999997</v>
      </c>
      <c r="I487">
        <f t="shared" si="14"/>
        <v>10</v>
      </c>
      <c r="J487">
        <f t="shared" si="15"/>
        <v>97</v>
      </c>
    </row>
    <row r="488" spans="2:10" ht="15.5" x14ac:dyDescent="0.35">
      <c r="B488" s="3" t="s">
        <v>697</v>
      </c>
      <c r="C488" s="16" t="s">
        <v>3245</v>
      </c>
      <c r="D488" s="17" t="s">
        <v>861</v>
      </c>
      <c r="E488" s="16" t="s">
        <v>2386</v>
      </c>
      <c r="F488" s="17" t="s">
        <v>1539</v>
      </c>
      <c r="G488" s="3" t="s">
        <v>3898</v>
      </c>
      <c r="H488" s="6">
        <v>39913.072</v>
      </c>
      <c r="I488">
        <f t="shared" si="14"/>
        <v>2</v>
      </c>
      <c r="J488">
        <f t="shared" si="15"/>
        <v>97</v>
      </c>
    </row>
    <row r="489" spans="2:10" ht="15.5" hidden="1" x14ac:dyDescent="0.35">
      <c r="B489" s="3" t="s">
        <v>701</v>
      </c>
      <c r="C489" s="16" t="s">
        <v>3249</v>
      </c>
      <c r="D489" s="17" t="s">
        <v>861</v>
      </c>
      <c r="E489" s="16" t="s">
        <v>2390</v>
      </c>
      <c r="F489" s="17" t="s">
        <v>1543</v>
      </c>
      <c r="G489" s="3" t="s">
        <v>3899</v>
      </c>
      <c r="H489" s="6">
        <v>23885.887999999999</v>
      </c>
      <c r="I489">
        <f t="shared" si="14"/>
        <v>97</v>
      </c>
      <c r="J489">
        <f t="shared" si="15"/>
        <v>73</v>
      </c>
    </row>
    <row r="490" spans="2:10" ht="15.5" hidden="1" x14ac:dyDescent="0.35">
      <c r="B490" s="3" t="s">
        <v>702</v>
      </c>
      <c r="C490" s="16" t="s">
        <v>3250</v>
      </c>
      <c r="D490" s="17" t="s">
        <v>861</v>
      </c>
      <c r="E490" s="16" t="s">
        <v>2391</v>
      </c>
      <c r="F490" s="17" t="s">
        <v>1544</v>
      </c>
      <c r="G490" s="3" t="s">
        <v>3899</v>
      </c>
      <c r="H490" s="6">
        <v>18799.359999999997</v>
      </c>
      <c r="I490">
        <f t="shared" si="14"/>
        <v>94</v>
      </c>
      <c r="J490">
        <f t="shared" si="15"/>
        <v>73</v>
      </c>
    </row>
    <row r="491" spans="2:10" ht="15.5" x14ac:dyDescent="0.35">
      <c r="B491" s="3" t="s">
        <v>703</v>
      </c>
      <c r="C491" s="16" t="s">
        <v>3251</v>
      </c>
      <c r="D491" s="17" t="s">
        <v>861</v>
      </c>
      <c r="E491" s="16" t="s">
        <v>2392</v>
      </c>
      <c r="F491" s="17" t="s">
        <v>1545</v>
      </c>
      <c r="G491" s="3" t="s">
        <v>3900</v>
      </c>
      <c r="H491" s="6">
        <v>8073.3279999999995</v>
      </c>
      <c r="I491">
        <f t="shared" si="14"/>
        <v>10</v>
      </c>
      <c r="J491">
        <f t="shared" si="15"/>
        <v>97</v>
      </c>
    </row>
    <row r="492" spans="2:10" ht="15.5" x14ac:dyDescent="0.35">
      <c r="B492" s="3" t="s">
        <v>704</v>
      </c>
      <c r="C492" s="16" t="s">
        <v>3252</v>
      </c>
      <c r="D492" s="17" t="s">
        <v>861</v>
      </c>
      <c r="E492" s="16" t="s">
        <v>2393</v>
      </c>
      <c r="F492" s="17" t="s">
        <v>1546</v>
      </c>
      <c r="G492" s="3" t="s">
        <v>3901</v>
      </c>
      <c r="H492" s="6">
        <v>5602.72</v>
      </c>
      <c r="I492">
        <f t="shared" si="14"/>
        <v>9</v>
      </c>
      <c r="J492">
        <f t="shared" si="15"/>
        <v>97</v>
      </c>
    </row>
    <row r="493" spans="2:10" ht="15.5" x14ac:dyDescent="0.35">
      <c r="B493" s="3" t="s">
        <v>705</v>
      </c>
      <c r="C493" s="16" t="s">
        <v>3253</v>
      </c>
      <c r="D493" s="17" t="s">
        <v>861</v>
      </c>
      <c r="E493" s="16" t="s">
        <v>2394</v>
      </c>
      <c r="F493" s="17" t="s">
        <v>1547</v>
      </c>
      <c r="G493" s="3" t="s">
        <v>3899</v>
      </c>
      <c r="H493" s="6">
        <v>16906.351999999999</v>
      </c>
      <c r="I493">
        <f t="shared" si="14"/>
        <v>5</v>
      </c>
      <c r="J493">
        <f t="shared" si="15"/>
        <v>97</v>
      </c>
    </row>
    <row r="494" spans="2:10" ht="15.5" hidden="1" x14ac:dyDescent="0.35">
      <c r="B494" s="3" t="s">
        <v>706</v>
      </c>
      <c r="C494" s="16" t="s">
        <v>3254</v>
      </c>
      <c r="D494" s="17" t="s">
        <v>860</v>
      </c>
      <c r="E494" s="16" t="s">
        <v>2395</v>
      </c>
      <c r="F494" s="17" t="s">
        <v>1548</v>
      </c>
      <c r="G494" s="3" t="s">
        <v>3898</v>
      </c>
      <c r="H494" s="6">
        <v>10049.023999999999</v>
      </c>
      <c r="I494">
        <f t="shared" si="14"/>
        <v>91</v>
      </c>
      <c r="J494">
        <f t="shared" si="15"/>
        <v>73</v>
      </c>
    </row>
    <row r="495" spans="2:10" ht="15.5" x14ac:dyDescent="0.35">
      <c r="B495" s="3" t="s">
        <v>707</v>
      </c>
      <c r="C495" s="16" t="s">
        <v>3255</v>
      </c>
      <c r="D495" s="17" t="s">
        <v>860</v>
      </c>
      <c r="E495" s="16" t="s">
        <v>2396</v>
      </c>
      <c r="F495" s="17" t="s">
        <v>1549</v>
      </c>
      <c r="G495" s="3" t="s">
        <v>3902</v>
      </c>
      <c r="H495" s="6">
        <v>15488.191999999999</v>
      </c>
      <c r="I495">
        <f t="shared" si="14"/>
        <v>13</v>
      </c>
      <c r="J495">
        <f t="shared" si="15"/>
        <v>97</v>
      </c>
    </row>
    <row r="496" spans="2:10" ht="15.5" x14ac:dyDescent="0.35">
      <c r="B496" s="3" t="s">
        <v>708</v>
      </c>
      <c r="C496" s="16" t="s">
        <v>3256</v>
      </c>
      <c r="D496" s="17" t="s">
        <v>861</v>
      </c>
      <c r="E496" s="16" t="s">
        <v>2397</v>
      </c>
      <c r="F496" s="17" t="s">
        <v>1550</v>
      </c>
      <c r="G496" s="3" t="s">
        <v>3902</v>
      </c>
      <c r="H496" s="6">
        <v>14767.103999999999</v>
      </c>
      <c r="I496">
        <f t="shared" si="14"/>
        <v>12</v>
      </c>
      <c r="J496">
        <f t="shared" si="15"/>
        <v>97</v>
      </c>
    </row>
    <row r="497" spans="2:10" ht="15.5" x14ac:dyDescent="0.35">
      <c r="B497" s="3" t="s">
        <v>710</v>
      </c>
      <c r="C497" s="16" t="s">
        <v>3258</v>
      </c>
      <c r="D497" s="17" t="s">
        <v>861</v>
      </c>
      <c r="E497" s="16" t="s">
        <v>2399</v>
      </c>
      <c r="F497" s="17" t="s">
        <v>1552</v>
      </c>
      <c r="G497" s="3" t="s">
        <v>3899</v>
      </c>
      <c r="H497" s="6">
        <v>12709.328</v>
      </c>
      <c r="I497">
        <f t="shared" si="14"/>
        <v>15</v>
      </c>
      <c r="J497">
        <f t="shared" si="15"/>
        <v>97</v>
      </c>
    </row>
    <row r="498" spans="2:10" ht="15.5" x14ac:dyDescent="0.35">
      <c r="B498" s="3" t="s">
        <v>712</v>
      </c>
      <c r="C498" s="16" t="s">
        <v>3260</v>
      </c>
      <c r="D498" s="17" t="s">
        <v>861</v>
      </c>
      <c r="E498" s="16" t="s">
        <v>2401</v>
      </c>
      <c r="F498" s="17" t="s">
        <v>1554</v>
      </c>
      <c r="G498" s="3" t="s">
        <v>3899</v>
      </c>
      <c r="H498" s="6">
        <v>18799.359999999997</v>
      </c>
      <c r="I498">
        <f t="shared" si="14"/>
        <v>11</v>
      </c>
      <c r="J498">
        <f t="shared" si="15"/>
        <v>97</v>
      </c>
    </row>
    <row r="499" spans="2:10" ht="15.5" hidden="1" x14ac:dyDescent="0.35">
      <c r="B499" s="3" t="s">
        <v>716</v>
      </c>
      <c r="C499" s="16" t="s">
        <v>3264</v>
      </c>
      <c r="D499" s="17" t="s">
        <v>861</v>
      </c>
      <c r="E499" s="16" t="s">
        <v>2405</v>
      </c>
      <c r="F499" s="17" t="s">
        <v>1557</v>
      </c>
      <c r="G499" s="3" t="s">
        <v>3903</v>
      </c>
      <c r="H499" s="6">
        <v>22161.903999999999</v>
      </c>
      <c r="I499">
        <f t="shared" si="14"/>
        <v>90</v>
      </c>
      <c r="J499">
        <f t="shared" si="15"/>
        <v>73</v>
      </c>
    </row>
    <row r="500" spans="2:10" ht="15.5" x14ac:dyDescent="0.35">
      <c r="B500" s="3" t="s">
        <v>3904</v>
      </c>
      <c r="C500" s="16" t="s">
        <v>3905</v>
      </c>
      <c r="D500" s="17" t="s">
        <v>861</v>
      </c>
      <c r="E500" s="16" t="s">
        <v>3906</v>
      </c>
      <c r="F500" s="17" t="s">
        <v>3907</v>
      </c>
      <c r="G500" s="3" t="s">
        <v>3908</v>
      </c>
      <c r="H500" s="6">
        <v>17536.240000000002</v>
      </c>
      <c r="I500">
        <f t="shared" si="14"/>
        <v>2</v>
      </c>
      <c r="J500">
        <f t="shared" si="15"/>
        <v>97</v>
      </c>
    </row>
    <row r="501" spans="2:10" ht="15.5" x14ac:dyDescent="0.35">
      <c r="B501" s="3" t="s">
        <v>717</v>
      </c>
      <c r="C501" s="16" t="s">
        <v>3265</v>
      </c>
      <c r="D501" s="17" t="s">
        <v>861</v>
      </c>
      <c r="E501" s="16" t="s">
        <v>2406</v>
      </c>
      <c r="F501" s="17" t="s">
        <v>1558</v>
      </c>
      <c r="G501" s="3" t="s">
        <v>3909</v>
      </c>
      <c r="H501" s="6">
        <v>13141.92</v>
      </c>
      <c r="I501">
        <f t="shared" si="14"/>
        <v>8</v>
      </c>
      <c r="J501">
        <f t="shared" si="15"/>
        <v>97</v>
      </c>
    </row>
    <row r="502" spans="2:10" ht="15.5" x14ac:dyDescent="0.35">
      <c r="B502" s="3" t="s">
        <v>719</v>
      </c>
      <c r="C502" s="16" t="s">
        <v>3267</v>
      </c>
      <c r="D502" s="17" t="s">
        <v>861</v>
      </c>
      <c r="E502" s="16" t="s">
        <v>2408</v>
      </c>
      <c r="F502" s="17" t="s">
        <v>1559</v>
      </c>
      <c r="G502" s="3" t="s">
        <v>3910</v>
      </c>
      <c r="H502" s="6">
        <v>5624.6080000000002</v>
      </c>
      <c r="I502">
        <f t="shared" si="14"/>
        <v>99</v>
      </c>
      <c r="J502">
        <f t="shared" si="15"/>
        <v>97</v>
      </c>
    </row>
    <row r="503" spans="2:10" ht="15.5" x14ac:dyDescent="0.35">
      <c r="B503" s="3" t="s">
        <v>3911</v>
      </c>
      <c r="C503" s="16" t="s">
        <v>3912</v>
      </c>
      <c r="D503" s="17" t="s">
        <v>861</v>
      </c>
      <c r="E503" s="16" t="s">
        <v>3913</v>
      </c>
      <c r="F503" s="17" t="s">
        <v>3914</v>
      </c>
      <c r="G503" s="3" t="s">
        <v>3585</v>
      </c>
      <c r="H503" s="6">
        <v>16968.976000000002</v>
      </c>
      <c r="I503">
        <f t="shared" si="14"/>
        <v>9</v>
      </c>
      <c r="J503">
        <f t="shared" si="15"/>
        <v>97</v>
      </c>
    </row>
    <row r="504" spans="2:10" ht="15.5" hidden="1" x14ac:dyDescent="0.35">
      <c r="B504" s="3" t="s">
        <v>722</v>
      </c>
      <c r="C504" s="16" t="s">
        <v>3270</v>
      </c>
      <c r="D504" s="17" t="s">
        <v>861</v>
      </c>
      <c r="E504" s="16" t="s">
        <v>2411</v>
      </c>
      <c r="F504" s="17" t="s">
        <v>1562</v>
      </c>
      <c r="G504" s="3" t="s">
        <v>3915</v>
      </c>
      <c r="H504" s="6">
        <v>18691.439999999999</v>
      </c>
      <c r="I504">
        <f t="shared" si="14"/>
        <v>90</v>
      </c>
      <c r="J504">
        <f t="shared" si="15"/>
        <v>73</v>
      </c>
    </row>
    <row r="505" spans="2:10" ht="15.5" x14ac:dyDescent="0.35">
      <c r="B505" s="3" t="s">
        <v>725</v>
      </c>
      <c r="C505" s="16" t="s">
        <v>3273</v>
      </c>
      <c r="D505" s="17" t="s">
        <v>861</v>
      </c>
      <c r="E505" s="16" t="s">
        <v>2414</v>
      </c>
      <c r="F505" s="17" t="s">
        <v>1486</v>
      </c>
      <c r="G505" s="3" t="s">
        <v>3916</v>
      </c>
      <c r="H505" s="6">
        <v>47771.472000000002</v>
      </c>
      <c r="I505">
        <f t="shared" si="14"/>
        <v>5</v>
      </c>
      <c r="J505">
        <f t="shared" si="15"/>
        <v>97</v>
      </c>
    </row>
    <row r="506" spans="2:10" ht="15.5" x14ac:dyDescent="0.35">
      <c r="B506" s="3" t="s">
        <v>726</v>
      </c>
      <c r="C506" s="16" t="s">
        <v>3274</v>
      </c>
      <c r="D506" s="17" t="s">
        <v>861</v>
      </c>
      <c r="E506" s="16" t="s">
        <v>2415</v>
      </c>
      <c r="F506" s="17" t="s">
        <v>1013</v>
      </c>
      <c r="G506" s="3" t="s">
        <v>3916</v>
      </c>
      <c r="H506" s="6">
        <v>5624.6080000000002</v>
      </c>
      <c r="I506">
        <f t="shared" si="14"/>
        <v>6</v>
      </c>
      <c r="J506">
        <f t="shared" si="15"/>
        <v>97</v>
      </c>
    </row>
    <row r="507" spans="2:10" ht="15.5" x14ac:dyDescent="0.35">
      <c r="B507" s="3" t="s">
        <v>727</v>
      </c>
      <c r="C507" s="16" t="s">
        <v>3275</v>
      </c>
      <c r="D507" s="17" t="s">
        <v>861</v>
      </c>
      <c r="E507" s="16" t="s">
        <v>2416</v>
      </c>
      <c r="F507" s="17" t="s">
        <v>1565</v>
      </c>
      <c r="G507" s="3" t="s">
        <v>3917</v>
      </c>
      <c r="H507" s="6">
        <v>5624.6080000000002</v>
      </c>
      <c r="I507">
        <f t="shared" si="14"/>
        <v>19</v>
      </c>
      <c r="J507">
        <f t="shared" si="15"/>
        <v>97</v>
      </c>
    </row>
    <row r="508" spans="2:10" ht="15.5" x14ac:dyDescent="0.35">
      <c r="B508" s="3" t="s">
        <v>728</v>
      </c>
      <c r="C508" s="16" t="s">
        <v>3276</v>
      </c>
      <c r="D508" s="17" t="s">
        <v>861</v>
      </c>
      <c r="E508" s="16" t="s">
        <v>2417</v>
      </c>
      <c r="F508" s="17" t="s">
        <v>1566</v>
      </c>
      <c r="G508" s="3" t="s">
        <v>3608</v>
      </c>
      <c r="H508" s="6">
        <v>30923.791999999998</v>
      </c>
      <c r="I508">
        <f t="shared" si="14"/>
        <v>5</v>
      </c>
      <c r="J508">
        <f t="shared" si="15"/>
        <v>97</v>
      </c>
    </row>
    <row r="509" spans="2:10" ht="15.5" x14ac:dyDescent="0.35">
      <c r="B509" s="3" t="s">
        <v>729</v>
      </c>
      <c r="C509" s="16" t="s">
        <v>3277</v>
      </c>
      <c r="D509" s="17" t="s">
        <v>861</v>
      </c>
      <c r="E509" s="16" t="s">
        <v>2418</v>
      </c>
      <c r="F509" s="17" t="s">
        <v>1567</v>
      </c>
      <c r="G509" s="3" t="s">
        <v>3918</v>
      </c>
      <c r="H509" s="6">
        <v>22019.023999999998</v>
      </c>
      <c r="I509">
        <f t="shared" si="14"/>
        <v>19</v>
      </c>
      <c r="J509">
        <f t="shared" si="15"/>
        <v>97</v>
      </c>
    </row>
    <row r="510" spans="2:10" ht="15.5" x14ac:dyDescent="0.35">
      <c r="B510" s="3" t="s">
        <v>730</v>
      </c>
      <c r="C510" s="16" t="s">
        <v>3278</v>
      </c>
      <c r="D510" s="17" t="s">
        <v>860</v>
      </c>
      <c r="E510" s="16" t="s">
        <v>2419</v>
      </c>
      <c r="F510" s="17" t="s">
        <v>1568</v>
      </c>
      <c r="G510" s="3" t="s">
        <v>3919</v>
      </c>
      <c r="H510" s="6">
        <v>6836.655999999999</v>
      </c>
      <c r="I510">
        <f t="shared" si="14"/>
        <v>10</v>
      </c>
      <c r="J510">
        <f t="shared" si="15"/>
        <v>97</v>
      </c>
    </row>
    <row r="511" spans="2:10" ht="15.5" x14ac:dyDescent="0.35">
      <c r="B511" s="3" t="s">
        <v>731</v>
      </c>
      <c r="C511" s="16" t="s">
        <v>3279</v>
      </c>
      <c r="D511" s="17" t="s">
        <v>860</v>
      </c>
      <c r="E511" s="16" t="s">
        <v>2420</v>
      </c>
      <c r="F511" s="17" t="s">
        <v>1569</v>
      </c>
      <c r="G511" s="3" t="s">
        <v>3920</v>
      </c>
      <c r="H511" s="6">
        <v>5617.3119999999999</v>
      </c>
      <c r="I511">
        <f t="shared" si="14"/>
        <v>19</v>
      </c>
      <c r="J511">
        <f t="shared" si="15"/>
        <v>97</v>
      </c>
    </row>
    <row r="512" spans="2:10" ht="15.5" x14ac:dyDescent="0.35">
      <c r="B512" s="3" t="s">
        <v>733</v>
      </c>
      <c r="C512" s="16" t="s">
        <v>3281</v>
      </c>
      <c r="D512" s="17" t="s">
        <v>861</v>
      </c>
      <c r="E512" s="16" t="s">
        <v>2422</v>
      </c>
      <c r="F512" s="17" t="s">
        <v>1571</v>
      </c>
      <c r="G512" s="3" t="s">
        <v>3921</v>
      </c>
      <c r="H512" s="6">
        <v>14107.119999999999</v>
      </c>
      <c r="I512">
        <f t="shared" si="14"/>
        <v>15</v>
      </c>
      <c r="J512">
        <f t="shared" si="15"/>
        <v>97</v>
      </c>
    </row>
    <row r="513" spans="2:10" ht="15.5" x14ac:dyDescent="0.35">
      <c r="B513" s="3" t="s">
        <v>734</v>
      </c>
      <c r="C513" s="16" t="s">
        <v>3282</v>
      </c>
      <c r="D513" s="17" t="s">
        <v>860</v>
      </c>
      <c r="E513" s="16" t="s">
        <v>2423</v>
      </c>
      <c r="F513" s="17" t="s">
        <v>1572</v>
      </c>
      <c r="G513" s="3" t="s">
        <v>3922</v>
      </c>
      <c r="H513" s="6">
        <v>46515.039999999994</v>
      </c>
      <c r="I513">
        <f t="shared" si="14"/>
        <v>99</v>
      </c>
      <c r="J513">
        <f t="shared" si="15"/>
        <v>97</v>
      </c>
    </row>
    <row r="514" spans="2:10" ht="15.5" x14ac:dyDescent="0.35">
      <c r="B514" s="3" t="s">
        <v>736</v>
      </c>
      <c r="C514" s="16" t="s">
        <v>3284</v>
      </c>
      <c r="D514" s="17" t="s">
        <v>860</v>
      </c>
      <c r="E514" s="16" t="s">
        <v>2425</v>
      </c>
      <c r="F514" s="17" t="s">
        <v>1574</v>
      </c>
      <c r="G514" s="3" t="s">
        <v>3923</v>
      </c>
      <c r="H514" s="6">
        <v>15030.975999999999</v>
      </c>
      <c r="I514">
        <f t="shared" si="14"/>
        <v>14</v>
      </c>
      <c r="J514">
        <f t="shared" si="15"/>
        <v>97</v>
      </c>
    </row>
    <row r="515" spans="2:10" ht="15.5" x14ac:dyDescent="0.35">
      <c r="B515" s="3" t="s">
        <v>739</v>
      </c>
      <c r="C515" s="16" t="s">
        <v>3287</v>
      </c>
      <c r="D515" s="17" t="s">
        <v>861</v>
      </c>
      <c r="E515" s="16" t="s">
        <v>2428</v>
      </c>
      <c r="F515" s="17" t="s">
        <v>1577</v>
      </c>
      <c r="G515" s="3" t="s">
        <v>3923</v>
      </c>
      <c r="H515" s="6">
        <v>14923.664000000001</v>
      </c>
      <c r="I515">
        <f t="shared" si="14"/>
        <v>19</v>
      </c>
      <c r="J515">
        <f t="shared" si="15"/>
        <v>97</v>
      </c>
    </row>
    <row r="516" spans="2:10" ht="15.5" x14ac:dyDescent="0.35">
      <c r="B516" s="3" t="s">
        <v>3924</v>
      </c>
      <c r="C516" s="16" t="s">
        <v>3925</v>
      </c>
      <c r="D516" s="17" t="s">
        <v>861</v>
      </c>
      <c r="E516" s="16" t="s">
        <v>3926</v>
      </c>
      <c r="F516" s="17" t="s">
        <v>3927</v>
      </c>
      <c r="G516" s="3" t="s">
        <v>3928</v>
      </c>
      <c r="H516" s="6">
        <v>17624.095999999998</v>
      </c>
      <c r="I516">
        <f t="shared" ref="I516:I579" si="16">_xlfn.NUMBERVALUE(MID(C516,3,2))</f>
        <v>10</v>
      </c>
      <c r="J516">
        <f t="shared" ref="J516:J579" si="17">IF(I516&gt;25,IF(I516&lt;=97,73,97),97)</f>
        <v>97</v>
      </c>
    </row>
    <row r="517" spans="2:10" ht="15.5" x14ac:dyDescent="0.35">
      <c r="B517" s="3" t="s">
        <v>742</v>
      </c>
      <c r="C517" s="16" t="s">
        <v>3290</v>
      </c>
      <c r="D517" s="17" t="s">
        <v>861</v>
      </c>
      <c r="E517" s="16" t="s">
        <v>2431</v>
      </c>
      <c r="F517" s="17" t="s">
        <v>1580</v>
      </c>
      <c r="G517" s="3" t="s">
        <v>3929</v>
      </c>
      <c r="H517" s="6">
        <v>5617.3119999999999</v>
      </c>
      <c r="I517">
        <f t="shared" si="16"/>
        <v>10</v>
      </c>
      <c r="J517">
        <f t="shared" si="17"/>
        <v>97</v>
      </c>
    </row>
    <row r="518" spans="2:10" ht="15.5" x14ac:dyDescent="0.35">
      <c r="B518" s="3" t="s">
        <v>743</v>
      </c>
      <c r="C518" s="16" t="s">
        <v>3291</v>
      </c>
      <c r="D518" s="17" t="s">
        <v>860</v>
      </c>
      <c r="E518" s="16" t="s">
        <v>2432</v>
      </c>
      <c r="F518" s="17" t="s">
        <v>1581</v>
      </c>
      <c r="G518" s="3" t="s">
        <v>3929</v>
      </c>
      <c r="H518" s="6">
        <v>18365.552</v>
      </c>
      <c r="I518">
        <f t="shared" si="16"/>
        <v>9</v>
      </c>
      <c r="J518">
        <f t="shared" si="17"/>
        <v>97</v>
      </c>
    </row>
    <row r="519" spans="2:10" ht="15.5" x14ac:dyDescent="0.35">
      <c r="B519" s="3" t="s">
        <v>744</v>
      </c>
      <c r="C519" s="16" t="s">
        <v>3292</v>
      </c>
      <c r="D519" s="17" t="s">
        <v>860</v>
      </c>
      <c r="E519" s="16" t="s">
        <v>2433</v>
      </c>
      <c r="F519" s="17" t="s">
        <v>1582</v>
      </c>
      <c r="G519" s="3" t="s">
        <v>3930</v>
      </c>
      <c r="H519" s="6">
        <v>8086.0959999999995</v>
      </c>
      <c r="I519">
        <f t="shared" si="16"/>
        <v>11</v>
      </c>
      <c r="J519">
        <f t="shared" si="17"/>
        <v>97</v>
      </c>
    </row>
    <row r="520" spans="2:10" ht="15.5" x14ac:dyDescent="0.35">
      <c r="B520" s="3" t="s">
        <v>745</v>
      </c>
      <c r="C520" s="16" t="s">
        <v>3293</v>
      </c>
      <c r="D520" s="17" t="s">
        <v>861</v>
      </c>
      <c r="E520" s="16" t="s">
        <v>2434</v>
      </c>
      <c r="F520" s="17" t="s">
        <v>1583</v>
      </c>
      <c r="G520" s="3" t="s">
        <v>3931</v>
      </c>
      <c r="H520" s="6">
        <v>50460.047999999995</v>
      </c>
      <c r="I520">
        <f t="shared" si="16"/>
        <v>4</v>
      </c>
      <c r="J520">
        <f t="shared" si="17"/>
        <v>97</v>
      </c>
    </row>
    <row r="521" spans="2:10" ht="15.5" x14ac:dyDescent="0.35">
      <c r="B521" s="3" t="s">
        <v>3932</v>
      </c>
      <c r="C521" s="16" t="s">
        <v>3933</v>
      </c>
      <c r="D521" s="17" t="s">
        <v>860</v>
      </c>
      <c r="E521" s="16" t="s">
        <v>3934</v>
      </c>
      <c r="F521" s="17" t="s">
        <v>3935</v>
      </c>
      <c r="G521" s="3" t="s">
        <v>3936</v>
      </c>
      <c r="H521" s="6">
        <v>25827.84</v>
      </c>
      <c r="I521">
        <f t="shared" si="16"/>
        <v>6</v>
      </c>
      <c r="J521">
        <f t="shared" si="17"/>
        <v>97</v>
      </c>
    </row>
    <row r="522" spans="2:10" ht="15.5" x14ac:dyDescent="0.35">
      <c r="B522" s="3" t="s">
        <v>750</v>
      </c>
      <c r="C522" s="16" t="s">
        <v>3298</v>
      </c>
      <c r="D522" s="17" t="s">
        <v>860</v>
      </c>
      <c r="E522" s="16" t="s">
        <v>2439</v>
      </c>
      <c r="F522" s="17" t="s">
        <v>1588</v>
      </c>
      <c r="G522" s="3" t="s">
        <v>3937</v>
      </c>
      <c r="H522" s="6">
        <v>10618.72</v>
      </c>
      <c r="I522">
        <f t="shared" si="16"/>
        <v>11</v>
      </c>
      <c r="J522">
        <f t="shared" si="17"/>
        <v>97</v>
      </c>
    </row>
    <row r="523" spans="2:10" ht="15.5" hidden="1" x14ac:dyDescent="0.35">
      <c r="B523" s="3" t="s">
        <v>751</v>
      </c>
      <c r="C523" s="16" t="s">
        <v>3299</v>
      </c>
      <c r="D523" s="17" t="s">
        <v>861</v>
      </c>
      <c r="E523" s="16" t="s">
        <v>2440</v>
      </c>
      <c r="F523" s="17" t="s">
        <v>1589</v>
      </c>
      <c r="G523" s="3" t="s">
        <v>3938</v>
      </c>
      <c r="H523" s="6">
        <v>5617.3119999999999</v>
      </c>
      <c r="I523">
        <f t="shared" si="16"/>
        <v>96</v>
      </c>
      <c r="J523">
        <f t="shared" si="17"/>
        <v>73</v>
      </c>
    </row>
    <row r="524" spans="2:10" ht="15.5" x14ac:dyDescent="0.35">
      <c r="B524" s="3" t="s">
        <v>752</v>
      </c>
      <c r="C524" s="16" t="s">
        <v>3300</v>
      </c>
      <c r="D524" s="17" t="s">
        <v>861</v>
      </c>
      <c r="E524" s="16" t="s">
        <v>2441</v>
      </c>
      <c r="F524" s="17" t="s">
        <v>1590</v>
      </c>
      <c r="G524" s="3" t="s">
        <v>3680</v>
      </c>
      <c r="H524" s="6">
        <v>9552.5920000000006</v>
      </c>
      <c r="I524">
        <f t="shared" si="16"/>
        <v>16</v>
      </c>
      <c r="J524">
        <f t="shared" si="17"/>
        <v>97</v>
      </c>
    </row>
    <row r="525" spans="2:10" ht="15.5" x14ac:dyDescent="0.35">
      <c r="B525" s="3" t="s">
        <v>753</v>
      </c>
      <c r="C525" s="16" t="s">
        <v>3301</v>
      </c>
      <c r="D525" s="17" t="s">
        <v>860</v>
      </c>
      <c r="E525" s="16" t="s">
        <v>2442</v>
      </c>
      <c r="F525" s="17" t="s">
        <v>1591</v>
      </c>
      <c r="G525" s="3" t="s">
        <v>3939</v>
      </c>
      <c r="H525" s="6">
        <v>21611.359999999997</v>
      </c>
      <c r="I525">
        <f t="shared" si="16"/>
        <v>10</v>
      </c>
      <c r="J525">
        <f t="shared" si="17"/>
        <v>97</v>
      </c>
    </row>
    <row r="526" spans="2:10" ht="15.5" x14ac:dyDescent="0.35">
      <c r="B526" s="3" t="s">
        <v>758</v>
      </c>
      <c r="C526" s="16" t="s">
        <v>3306</v>
      </c>
      <c r="D526" s="17" t="s">
        <v>861</v>
      </c>
      <c r="E526" s="16" t="s">
        <v>2447</v>
      </c>
      <c r="F526" s="17" t="s">
        <v>1595</v>
      </c>
      <c r="G526" s="3" t="s">
        <v>3938</v>
      </c>
      <c r="H526" s="6">
        <v>18734</v>
      </c>
      <c r="I526">
        <f t="shared" si="16"/>
        <v>7</v>
      </c>
      <c r="J526">
        <f t="shared" si="17"/>
        <v>97</v>
      </c>
    </row>
    <row r="527" spans="2:10" ht="15.5" hidden="1" x14ac:dyDescent="0.35">
      <c r="B527" s="3" t="s">
        <v>759</v>
      </c>
      <c r="C527" s="16" t="s">
        <v>3307</v>
      </c>
      <c r="D527" s="17" t="s">
        <v>861</v>
      </c>
      <c r="E527" s="16" t="s">
        <v>2448</v>
      </c>
      <c r="F527" s="17" t="s">
        <v>1596</v>
      </c>
      <c r="G527" s="3" t="s">
        <v>3940</v>
      </c>
      <c r="H527" s="6">
        <v>0</v>
      </c>
      <c r="I527">
        <f t="shared" si="16"/>
        <v>93</v>
      </c>
      <c r="J527">
        <f t="shared" si="17"/>
        <v>73</v>
      </c>
    </row>
    <row r="528" spans="2:10" ht="15.5" x14ac:dyDescent="0.35">
      <c r="B528" s="3" t="s">
        <v>763</v>
      </c>
      <c r="C528" s="16" t="s">
        <v>3311</v>
      </c>
      <c r="D528" s="17" t="s">
        <v>861</v>
      </c>
      <c r="E528" s="16" t="s">
        <v>2452</v>
      </c>
      <c r="F528" s="17" t="s">
        <v>1600</v>
      </c>
      <c r="G528" s="3" t="s">
        <v>3941</v>
      </c>
      <c r="H528" s="6">
        <v>11165.008</v>
      </c>
      <c r="I528">
        <f t="shared" si="16"/>
        <v>19</v>
      </c>
      <c r="J528">
        <f t="shared" si="17"/>
        <v>97</v>
      </c>
    </row>
    <row r="529" spans="2:10" ht="15.5" x14ac:dyDescent="0.35">
      <c r="B529" s="3" t="s">
        <v>765</v>
      </c>
      <c r="C529" s="16" t="s">
        <v>3313</v>
      </c>
      <c r="D529" s="17" t="s">
        <v>860</v>
      </c>
      <c r="E529" s="16" t="s">
        <v>2454</v>
      </c>
      <c r="F529" s="17" t="s">
        <v>1602</v>
      </c>
      <c r="G529" s="3" t="s">
        <v>3942</v>
      </c>
      <c r="H529" s="6">
        <v>13673.616</v>
      </c>
      <c r="I529">
        <f t="shared" si="16"/>
        <v>19</v>
      </c>
      <c r="J529">
        <f t="shared" si="17"/>
        <v>97</v>
      </c>
    </row>
    <row r="530" spans="2:10" ht="15.5" x14ac:dyDescent="0.35">
      <c r="B530" s="3" t="s">
        <v>767</v>
      </c>
      <c r="C530" s="16" t="s">
        <v>3315</v>
      </c>
      <c r="D530" s="17" t="s">
        <v>860</v>
      </c>
      <c r="E530" s="16" t="s">
        <v>2456</v>
      </c>
      <c r="F530" s="17" t="s">
        <v>1604</v>
      </c>
      <c r="G530" s="3" t="s">
        <v>3943</v>
      </c>
      <c r="H530" s="6">
        <v>19878.255999999998</v>
      </c>
      <c r="I530">
        <f t="shared" si="16"/>
        <v>5</v>
      </c>
      <c r="J530">
        <f t="shared" si="17"/>
        <v>97</v>
      </c>
    </row>
    <row r="531" spans="2:10" ht="15.5" hidden="1" x14ac:dyDescent="0.35">
      <c r="B531" s="3" t="s">
        <v>3944</v>
      </c>
      <c r="C531" s="16" t="s">
        <v>3945</v>
      </c>
      <c r="D531" s="17" t="s">
        <v>861</v>
      </c>
      <c r="E531" s="16" t="s">
        <v>3946</v>
      </c>
      <c r="F531" s="17" t="s">
        <v>1072</v>
      </c>
      <c r="G531" s="3" t="s">
        <v>3947</v>
      </c>
      <c r="H531" s="6">
        <v>19355.68</v>
      </c>
      <c r="I531">
        <f t="shared" si="16"/>
        <v>93</v>
      </c>
      <c r="J531">
        <f t="shared" si="17"/>
        <v>73</v>
      </c>
    </row>
    <row r="532" spans="2:10" ht="15.5" x14ac:dyDescent="0.35">
      <c r="B532" s="3" t="s">
        <v>770</v>
      </c>
      <c r="C532" s="16" t="s">
        <v>3318</v>
      </c>
      <c r="D532" s="17" t="s">
        <v>861</v>
      </c>
      <c r="E532" s="16" t="s">
        <v>2459</v>
      </c>
      <c r="F532" s="17" t="s">
        <v>1607</v>
      </c>
      <c r="G532" s="3" t="s">
        <v>3948</v>
      </c>
      <c r="H532" s="6">
        <v>16071.567999999997</v>
      </c>
      <c r="I532">
        <f t="shared" si="16"/>
        <v>15</v>
      </c>
      <c r="J532">
        <f t="shared" si="17"/>
        <v>97</v>
      </c>
    </row>
    <row r="533" spans="2:10" ht="15.5" x14ac:dyDescent="0.35">
      <c r="B533" s="3" t="s">
        <v>773</v>
      </c>
      <c r="C533" s="16" t="s">
        <v>3321</v>
      </c>
      <c r="D533" s="17" t="s">
        <v>860</v>
      </c>
      <c r="E533" s="16" t="s">
        <v>2462</v>
      </c>
      <c r="F533" s="17" t="s">
        <v>1499</v>
      </c>
      <c r="G533" s="3" t="s">
        <v>3949</v>
      </c>
      <c r="H533" s="6">
        <v>9837.44</v>
      </c>
      <c r="I533">
        <f t="shared" si="16"/>
        <v>16</v>
      </c>
      <c r="J533">
        <f t="shared" si="17"/>
        <v>97</v>
      </c>
    </row>
    <row r="534" spans="2:10" ht="15.5" x14ac:dyDescent="0.35">
      <c r="B534" s="3" t="s">
        <v>775</v>
      </c>
      <c r="C534" s="16" t="s">
        <v>3323</v>
      </c>
      <c r="D534" s="17" t="s">
        <v>861</v>
      </c>
      <c r="E534" s="16" t="s">
        <v>2464</v>
      </c>
      <c r="F534" s="17" t="s">
        <v>1611</v>
      </c>
      <c r="G534" s="3" t="s">
        <v>3950</v>
      </c>
      <c r="H534" s="6">
        <v>76420.804096000007</v>
      </c>
      <c r="I534">
        <f t="shared" si="16"/>
        <v>13</v>
      </c>
      <c r="J534">
        <f t="shared" si="17"/>
        <v>97</v>
      </c>
    </row>
    <row r="535" spans="2:10" ht="15.5" x14ac:dyDescent="0.35">
      <c r="B535" s="3" t="s">
        <v>778</v>
      </c>
      <c r="C535" s="16" t="s">
        <v>3326</v>
      </c>
      <c r="D535" s="17" t="s">
        <v>861</v>
      </c>
      <c r="E535" s="16" t="s">
        <v>2467</v>
      </c>
      <c r="F535" s="17" t="s">
        <v>1614</v>
      </c>
      <c r="G535" s="3" t="s">
        <v>3951</v>
      </c>
      <c r="H535" s="6">
        <v>13791.871999999999</v>
      </c>
      <c r="I535">
        <f t="shared" si="16"/>
        <v>16</v>
      </c>
      <c r="J535">
        <f t="shared" si="17"/>
        <v>97</v>
      </c>
    </row>
    <row r="536" spans="2:10" ht="15.5" x14ac:dyDescent="0.35">
      <c r="B536" s="3" t="s">
        <v>779</v>
      </c>
      <c r="C536" s="16" t="s">
        <v>3327</v>
      </c>
      <c r="D536" s="17" t="s">
        <v>860</v>
      </c>
      <c r="E536" s="16" t="s">
        <v>2468</v>
      </c>
      <c r="F536" s="17" t="s">
        <v>1615</v>
      </c>
      <c r="G536" s="3" t="s">
        <v>3951</v>
      </c>
      <c r="H536" s="6">
        <v>8066.0319999999992</v>
      </c>
      <c r="I536">
        <f t="shared" si="16"/>
        <v>16</v>
      </c>
      <c r="J536">
        <f t="shared" si="17"/>
        <v>97</v>
      </c>
    </row>
    <row r="537" spans="2:10" ht="15.5" x14ac:dyDescent="0.35">
      <c r="B537" s="3" t="s">
        <v>780</v>
      </c>
      <c r="C537" s="16" t="s">
        <v>3328</v>
      </c>
      <c r="D537" s="17" t="s">
        <v>861</v>
      </c>
      <c r="E537" s="16" t="s">
        <v>2469</v>
      </c>
      <c r="F537" s="17" t="s">
        <v>1616</v>
      </c>
      <c r="G537" s="3" t="s">
        <v>3951</v>
      </c>
      <c r="H537" s="6">
        <v>12147.535999999998</v>
      </c>
      <c r="I537">
        <f t="shared" si="16"/>
        <v>17</v>
      </c>
      <c r="J537">
        <f t="shared" si="17"/>
        <v>97</v>
      </c>
    </row>
    <row r="538" spans="2:10" ht="15.5" x14ac:dyDescent="0.35">
      <c r="B538" s="3" t="s">
        <v>782</v>
      </c>
      <c r="C538" s="16" t="s">
        <v>3330</v>
      </c>
      <c r="D538" s="17" t="s">
        <v>860</v>
      </c>
      <c r="E538" s="16" t="s">
        <v>2471</v>
      </c>
      <c r="F538" s="17" t="s">
        <v>1618</v>
      </c>
      <c r="G538" s="3" t="s">
        <v>3951</v>
      </c>
      <c r="H538" s="6">
        <v>14920.624</v>
      </c>
      <c r="I538">
        <f t="shared" si="16"/>
        <v>13</v>
      </c>
      <c r="J538">
        <f t="shared" si="17"/>
        <v>97</v>
      </c>
    </row>
    <row r="539" spans="2:10" ht="15.5" x14ac:dyDescent="0.35">
      <c r="B539" s="3" t="s">
        <v>784</v>
      </c>
      <c r="C539" s="16" t="s">
        <v>3332</v>
      </c>
      <c r="D539" s="17" t="s">
        <v>860</v>
      </c>
      <c r="E539" s="16" t="s">
        <v>2473</v>
      </c>
      <c r="F539" s="17" t="s">
        <v>1620</v>
      </c>
      <c r="G539" s="3" t="s">
        <v>3952</v>
      </c>
      <c r="H539" s="6">
        <v>11321.264000000001</v>
      </c>
      <c r="I539">
        <f t="shared" si="16"/>
        <v>12</v>
      </c>
      <c r="J539">
        <f t="shared" si="17"/>
        <v>97</v>
      </c>
    </row>
    <row r="540" spans="2:10" ht="15.5" x14ac:dyDescent="0.35">
      <c r="B540" s="3" t="s">
        <v>790</v>
      </c>
      <c r="C540" s="16" t="s">
        <v>3338</v>
      </c>
      <c r="D540" s="17" t="s">
        <v>860</v>
      </c>
      <c r="E540" s="16" t="s">
        <v>2479</v>
      </c>
      <c r="F540" s="17" t="s">
        <v>1626</v>
      </c>
      <c r="G540" s="3" t="s">
        <v>3953</v>
      </c>
      <c r="H540" s="6">
        <v>8637.2479999999996</v>
      </c>
      <c r="I540">
        <f t="shared" si="16"/>
        <v>11</v>
      </c>
      <c r="J540">
        <f t="shared" si="17"/>
        <v>97</v>
      </c>
    </row>
    <row r="541" spans="2:10" ht="15.5" x14ac:dyDescent="0.35">
      <c r="B541" s="3" t="s">
        <v>791</v>
      </c>
      <c r="C541" s="16" t="s">
        <v>3339</v>
      </c>
      <c r="D541" s="17" t="s">
        <v>861</v>
      </c>
      <c r="E541" s="16" t="s">
        <v>2480</v>
      </c>
      <c r="F541" s="17" t="s">
        <v>1627</v>
      </c>
      <c r="G541" s="3" t="s">
        <v>3954</v>
      </c>
      <c r="H541" s="6">
        <v>7611.5519999999997</v>
      </c>
      <c r="I541">
        <f t="shared" si="16"/>
        <v>13</v>
      </c>
      <c r="J541">
        <f t="shared" si="17"/>
        <v>97</v>
      </c>
    </row>
    <row r="542" spans="2:10" ht="15.5" x14ac:dyDescent="0.35">
      <c r="B542" s="3" t="s">
        <v>793</v>
      </c>
      <c r="C542" s="16" t="s">
        <v>3341</v>
      </c>
      <c r="D542" s="17" t="s">
        <v>861</v>
      </c>
      <c r="E542" s="16" t="s">
        <v>2482</v>
      </c>
      <c r="F542" s="17" t="s">
        <v>1629</v>
      </c>
      <c r="G542" s="3" t="s">
        <v>3955</v>
      </c>
      <c r="H542" s="6">
        <v>8292.2079999999987</v>
      </c>
      <c r="I542">
        <f t="shared" si="16"/>
        <v>16</v>
      </c>
      <c r="J542">
        <f t="shared" si="17"/>
        <v>97</v>
      </c>
    </row>
    <row r="543" spans="2:10" ht="15.5" x14ac:dyDescent="0.35">
      <c r="B543" s="3" t="s">
        <v>794</v>
      </c>
      <c r="C543" s="16" t="s">
        <v>3342</v>
      </c>
      <c r="D543" s="17" t="s">
        <v>861</v>
      </c>
      <c r="E543" s="16" t="s">
        <v>2483</v>
      </c>
      <c r="F543" s="17" t="s">
        <v>1630</v>
      </c>
      <c r="G543" s="3" t="s">
        <v>3955</v>
      </c>
      <c r="H543" s="6">
        <v>13594.271999999999</v>
      </c>
      <c r="I543">
        <f t="shared" si="16"/>
        <v>11</v>
      </c>
      <c r="J543">
        <f t="shared" si="17"/>
        <v>97</v>
      </c>
    </row>
    <row r="544" spans="2:10" ht="15.5" x14ac:dyDescent="0.35">
      <c r="B544" s="3" t="s">
        <v>799</v>
      </c>
      <c r="C544" s="16" t="s">
        <v>3347</v>
      </c>
      <c r="D544" s="17" t="s">
        <v>860</v>
      </c>
      <c r="E544" s="16" t="s">
        <v>2488</v>
      </c>
      <c r="F544" s="17" t="s">
        <v>1635</v>
      </c>
      <c r="G544" s="3" t="s">
        <v>3956</v>
      </c>
      <c r="H544" s="6">
        <v>6352.6880000000001</v>
      </c>
      <c r="I544">
        <f t="shared" si="16"/>
        <v>17</v>
      </c>
      <c r="J544">
        <f t="shared" si="17"/>
        <v>97</v>
      </c>
    </row>
    <row r="545" spans="2:10" ht="15.5" x14ac:dyDescent="0.35">
      <c r="B545" s="3" t="s">
        <v>802</v>
      </c>
      <c r="C545" s="16" t="s">
        <v>3350</v>
      </c>
      <c r="D545" s="17" t="s">
        <v>861</v>
      </c>
      <c r="E545" s="16" t="s">
        <v>2491</v>
      </c>
      <c r="F545" s="17" t="s">
        <v>1638</v>
      </c>
      <c r="G545" s="3" t="s">
        <v>3957</v>
      </c>
      <c r="H545" s="6">
        <v>12147.84</v>
      </c>
      <c r="I545">
        <f t="shared" si="16"/>
        <v>9</v>
      </c>
      <c r="J545">
        <f t="shared" si="17"/>
        <v>97</v>
      </c>
    </row>
    <row r="546" spans="2:10" ht="15.5" x14ac:dyDescent="0.35">
      <c r="B546" s="3" t="s">
        <v>805</v>
      </c>
      <c r="C546" s="16" t="s">
        <v>3353</v>
      </c>
      <c r="D546" s="17" t="s">
        <v>860</v>
      </c>
      <c r="E546" s="16" t="s">
        <v>2494</v>
      </c>
      <c r="F546" s="17" t="s">
        <v>1641</v>
      </c>
      <c r="G546" s="3" t="s">
        <v>3958</v>
      </c>
      <c r="H546" s="6">
        <v>21237.439999999999</v>
      </c>
      <c r="I546">
        <f t="shared" si="16"/>
        <v>6</v>
      </c>
      <c r="J546">
        <f t="shared" si="17"/>
        <v>97</v>
      </c>
    </row>
    <row r="547" spans="2:10" ht="15.5" x14ac:dyDescent="0.35">
      <c r="B547" s="3" t="s">
        <v>809</v>
      </c>
      <c r="C547" s="16" t="s">
        <v>3357</v>
      </c>
      <c r="D547" s="17" t="s">
        <v>861</v>
      </c>
      <c r="E547" s="16" t="s">
        <v>2498</v>
      </c>
      <c r="F547" s="17" t="s">
        <v>1645</v>
      </c>
      <c r="G547" s="3" t="s">
        <v>3959</v>
      </c>
      <c r="H547" s="6">
        <v>10667.664000000001</v>
      </c>
      <c r="I547">
        <f t="shared" si="16"/>
        <v>6</v>
      </c>
      <c r="J547">
        <f t="shared" si="17"/>
        <v>97</v>
      </c>
    </row>
    <row r="548" spans="2:10" ht="15.5" x14ac:dyDescent="0.35">
      <c r="B548" s="3" t="s">
        <v>810</v>
      </c>
      <c r="C548" s="16" t="s">
        <v>3358</v>
      </c>
      <c r="D548" s="17" t="s">
        <v>861</v>
      </c>
      <c r="E548" s="16" t="s">
        <v>2499</v>
      </c>
      <c r="F548" s="17" t="s">
        <v>1646</v>
      </c>
      <c r="G548" s="3" t="s">
        <v>3959</v>
      </c>
      <c r="H548" s="6">
        <v>8460.9279999999999</v>
      </c>
      <c r="I548">
        <f t="shared" si="16"/>
        <v>12</v>
      </c>
      <c r="J548">
        <f t="shared" si="17"/>
        <v>97</v>
      </c>
    </row>
    <row r="549" spans="2:10" ht="15.5" x14ac:dyDescent="0.35">
      <c r="B549" s="3" t="s">
        <v>817</v>
      </c>
      <c r="C549" s="16" t="s">
        <v>3365</v>
      </c>
      <c r="D549" s="17" t="s">
        <v>861</v>
      </c>
      <c r="E549" s="16" t="s">
        <v>2506</v>
      </c>
      <c r="F549" s="17" t="s">
        <v>1652</v>
      </c>
      <c r="G549" s="3" t="s">
        <v>3960</v>
      </c>
      <c r="H549" s="6">
        <v>13018.191999999999</v>
      </c>
      <c r="I549">
        <f t="shared" si="16"/>
        <v>13</v>
      </c>
      <c r="J549">
        <f t="shared" si="17"/>
        <v>97</v>
      </c>
    </row>
    <row r="550" spans="2:10" ht="15.5" x14ac:dyDescent="0.35">
      <c r="B550" s="3" t="s">
        <v>818</v>
      </c>
      <c r="C550" s="16" t="s">
        <v>3366</v>
      </c>
      <c r="D550" s="17" t="s">
        <v>861</v>
      </c>
      <c r="E550" s="16" t="s">
        <v>2507</v>
      </c>
      <c r="F550" s="17" t="s">
        <v>1653</v>
      </c>
      <c r="G550" s="3" t="s">
        <v>3960</v>
      </c>
      <c r="H550" s="6">
        <v>5617.3119999999999</v>
      </c>
      <c r="I550">
        <f t="shared" si="16"/>
        <v>16</v>
      </c>
      <c r="J550">
        <f t="shared" si="17"/>
        <v>97</v>
      </c>
    </row>
    <row r="551" spans="2:10" ht="15.5" x14ac:dyDescent="0.35">
      <c r="B551" s="3" t="s">
        <v>819</v>
      </c>
      <c r="C551" s="16" t="s">
        <v>3367</v>
      </c>
      <c r="D551" s="17" t="s">
        <v>861</v>
      </c>
      <c r="E551" s="16" t="s">
        <v>2508</v>
      </c>
      <c r="F551" s="17" t="s">
        <v>1654</v>
      </c>
      <c r="G551" s="3" t="s">
        <v>3960</v>
      </c>
      <c r="H551" s="6">
        <v>11354.096</v>
      </c>
      <c r="I551">
        <f t="shared" si="16"/>
        <v>14</v>
      </c>
      <c r="J551">
        <f t="shared" si="17"/>
        <v>97</v>
      </c>
    </row>
    <row r="552" spans="2:10" ht="15.5" x14ac:dyDescent="0.35">
      <c r="B552" s="3" t="s">
        <v>820</v>
      </c>
      <c r="C552" s="16" t="s">
        <v>3368</v>
      </c>
      <c r="D552" s="17" t="s">
        <v>861</v>
      </c>
      <c r="E552" s="16" t="s">
        <v>2509</v>
      </c>
      <c r="F552" s="17" t="s">
        <v>1655</v>
      </c>
      <c r="G552" s="3" t="s">
        <v>3960</v>
      </c>
      <c r="H552" s="6">
        <v>10890.8</v>
      </c>
      <c r="I552">
        <f t="shared" si="16"/>
        <v>17</v>
      </c>
      <c r="J552">
        <f t="shared" si="17"/>
        <v>97</v>
      </c>
    </row>
    <row r="553" spans="2:10" ht="15.5" x14ac:dyDescent="0.35">
      <c r="B553" s="3" t="s">
        <v>823</v>
      </c>
      <c r="C553" s="16" t="s">
        <v>3371</v>
      </c>
      <c r="D553" s="17" t="s">
        <v>861</v>
      </c>
      <c r="E553" s="16" t="s">
        <v>2512</v>
      </c>
      <c r="F553" s="17" t="s">
        <v>1657</v>
      </c>
      <c r="G553" s="3" t="s">
        <v>3961</v>
      </c>
      <c r="H553" s="6">
        <v>7876.9440000000004</v>
      </c>
      <c r="I553">
        <f t="shared" si="16"/>
        <v>11</v>
      </c>
      <c r="J553">
        <f t="shared" si="17"/>
        <v>97</v>
      </c>
    </row>
    <row r="554" spans="2:10" ht="15.5" x14ac:dyDescent="0.35">
      <c r="B554" s="3" t="s">
        <v>826</v>
      </c>
      <c r="C554" s="16" t="s">
        <v>3374</v>
      </c>
      <c r="D554" s="17" t="s">
        <v>861</v>
      </c>
      <c r="E554" s="16" t="s">
        <v>2515</v>
      </c>
      <c r="F554" s="17" t="s">
        <v>1660</v>
      </c>
      <c r="G554" s="3" t="s">
        <v>3962</v>
      </c>
      <c r="H554" s="6">
        <v>11003.888000000001</v>
      </c>
      <c r="I554">
        <f t="shared" si="16"/>
        <v>18</v>
      </c>
      <c r="J554">
        <f t="shared" si="17"/>
        <v>97</v>
      </c>
    </row>
    <row r="555" spans="2:10" ht="15.5" x14ac:dyDescent="0.35">
      <c r="B555" s="3" t="s">
        <v>827</v>
      </c>
      <c r="C555" s="16" t="s">
        <v>3375</v>
      </c>
      <c r="D555" s="17" t="s">
        <v>861</v>
      </c>
      <c r="E555" s="16" t="s">
        <v>2516</v>
      </c>
      <c r="F555" s="17" t="s">
        <v>1661</v>
      </c>
      <c r="G555" s="3" t="s">
        <v>3962</v>
      </c>
      <c r="H555" s="6">
        <v>7277.4559999999992</v>
      </c>
      <c r="I555">
        <f t="shared" si="16"/>
        <v>18</v>
      </c>
      <c r="J555">
        <f t="shared" si="17"/>
        <v>97</v>
      </c>
    </row>
    <row r="556" spans="2:10" ht="15.5" x14ac:dyDescent="0.35">
      <c r="B556" s="3" t="s">
        <v>829</v>
      </c>
      <c r="C556" s="16" t="s">
        <v>3377</v>
      </c>
      <c r="D556" s="17" t="s">
        <v>861</v>
      </c>
      <c r="E556" s="16" t="s">
        <v>2518</v>
      </c>
      <c r="F556" s="17" t="s">
        <v>1663</v>
      </c>
      <c r="G556" s="3" t="s">
        <v>3963</v>
      </c>
      <c r="H556" s="6">
        <v>10954.64</v>
      </c>
      <c r="I556">
        <f t="shared" si="16"/>
        <v>11</v>
      </c>
      <c r="J556">
        <f t="shared" si="17"/>
        <v>97</v>
      </c>
    </row>
    <row r="557" spans="2:10" ht="15.5" x14ac:dyDescent="0.35">
      <c r="B557" s="3" t="s">
        <v>3964</v>
      </c>
      <c r="C557" s="16" t="s">
        <v>3965</v>
      </c>
      <c r="D557" s="17" t="s">
        <v>861</v>
      </c>
      <c r="E557" s="16" t="s">
        <v>3966</v>
      </c>
      <c r="F557" s="17" t="s">
        <v>3967</v>
      </c>
      <c r="G557" s="3" t="s">
        <v>3968</v>
      </c>
      <c r="H557" s="6">
        <v>10757.951999999999</v>
      </c>
      <c r="I557">
        <f t="shared" si="16"/>
        <v>4</v>
      </c>
      <c r="J557">
        <f t="shared" si="17"/>
        <v>97</v>
      </c>
    </row>
    <row r="558" spans="2:10" ht="15.5" x14ac:dyDescent="0.35">
      <c r="B558" s="3" t="s">
        <v>3969</v>
      </c>
      <c r="C558" s="16" t="s">
        <v>3970</v>
      </c>
      <c r="D558" s="17" t="s">
        <v>860</v>
      </c>
      <c r="E558" s="16" t="s">
        <v>3971</v>
      </c>
      <c r="F558" s="17" t="s">
        <v>3972</v>
      </c>
      <c r="G558" s="3" t="s">
        <v>3973</v>
      </c>
      <c r="H558" s="6">
        <v>34362.031999999999</v>
      </c>
      <c r="I558">
        <f t="shared" si="16"/>
        <v>10</v>
      </c>
      <c r="J558">
        <f t="shared" si="17"/>
        <v>97</v>
      </c>
    </row>
    <row r="559" spans="2:10" ht="15.5" x14ac:dyDescent="0.35">
      <c r="B559" s="3" t="s">
        <v>3974</v>
      </c>
      <c r="C559" s="16" t="s">
        <v>3975</v>
      </c>
      <c r="D559" s="17" t="s">
        <v>861</v>
      </c>
      <c r="E559" s="16" t="s">
        <v>3976</v>
      </c>
      <c r="F559" s="17" t="s">
        <v>3977</v>
      </c>
      <c r="G559" s="3" t="s">
        <v>3978</v>
      </c>
      <c r="H559" s="6">
        <v>13797.647999999999</v>
      </c>
      <c r="I559">
        <f t="shared" si="16"/>
        <v>16</v>
      </c>
      <c r="J559">
        <f t="shared" si="17"/>
        <v>97</v>
      </c>
    </row>
    <row r="560" spans="2:10" ht="15.5" x14ac:dyDescent="0.35">
      <c r="B560" s="3" t="s">
        <v>3979</v>
      </c>
      <c r="C560" s="16" t="s">
        <v>3980</v>
      </c>
      <c r="D560" s="17" t="s">
        <v>860</v>
      </c>
      <c r="E560" s="16" t="s">
        <v>3981</v>
      </c>
      <c r="F560" s="17" t="s">
        <v>3982</v>
      </c>
      <c r="G560" s="3" t="s">
        <v>3978</v>
      </c>
      <c r="H560" s="6">
        <v>15327.983999999999</v>
      </c>
      <c r="I560">
        <f t="shared" si="16"/>
        <v>13</v>
      </c>
      <c r="J560">
        <f t="shared" si="17"/>
        <v>97</v>
      </c>
    </row>
    <row r="561" spans="2:10" ht="15.5" x14ac:dyDescent="0.35">
      <c r="B561" s="3" t="s">
        <v>3983</v>
      </c>
      <c r="C561" s="16" t="s">
        <v>3984</v>
      </c>
      <c r="D561" s="17" t="s">
        <v>860</v>
      </c>
      <c r="E561" s="16" t="s">
        <v>3985</v>
      </c>
      <c r="F561" s="17" t="s">
        <v>3986</v>
      </c>
      <c r="G561" s="3" t="s">
        <v>3987</v>
      </c>
      <c r="H561" s="6">
        <v>13699.759999999998</v>
      </c>
      <c r="I561">
        <f t="shared" si="16"/>
        <v>7</v>
      </c>
      <c r="J561">
        <f t="shared" si="17"/>
        <v>97</v>
      </c>
    </row>
    <row r="562" spans="2:10" ht="15.5" x14ac:dyDescent="0.35">
      <c r="B562" s="3" t="s">
        <v>3988</v>
      </c>
      <c r="C562" s="16" t="s">
        <v>3989</v>
      </c>
      <c r="D562" s="17" t="s">
        <v>861</v>
      </c>
      <c r="E562" s="16" t="s">
        <v>3990</v>
      </c>
      <c r="F562" s="17" t="s">
        <v>3991</v>
      </c>
      <c r="G562" s="3" t="s">
        <v>3992</v>
      </c>
      <c r="H562" s="6">
        <v>11480.864</v>
      </c>
      <c r="I562">
        <f t="shared" si="16"/>
        <v>21</v>
      </c>
      <c r="J562">
        <f t="shared" si="17"/>
        <v>97</v>
      </c>
    </row>
    <row r="563" spans="2:10" ht="15.5" x14ac:dyDescent="0.35">
      <c r="B563" s="3" t="s">
        <v>3993</v>
      </c>
      <c r="C563" s="16" t="s">
        <v>3994</v>
      </c>
      <c r="D563" s="17" t="s">
        <v>861</v>
      </c>
      <c r="E563" s="16" t="s">
        <v>3995</v>
      </c>
      <c r="F563" s="17" t="s">
        <v>3996</v>
      </c>
      <c r="G563" s="3" t="s">
        <v>3947</v>
      </c>
      <c r="H563" s="6">
        <v>15892.511999999999</v>
      </c>
      <c r="I563">
        <f t="shared" si="16"/>
        <v>14</v>
      </c>
      <c r="J563">
        <f t="shared" si="17"/>
        <v>97</v>
      </c>
    </row>
    <row r="564" spans="2:10" ht="15.5" x14ac:dyDescent="0.35">
      <c r="B564" s="3" t="s">
        <v>3997</v>
      </c>
      <c r="C564" s="16" t="s">
        <v>3998</v>
      </c>
      <c r="D564" s="17" t="s">
        <v>861</v>
      </c>
      <c r="E564" s="16" t="s">
        <v>3999</v>
      </c>
      <c r="F564" s="17" t="s">
        <v>4000</v>
      </c>
      <c r="G564" s="3" t="s">
        <v>4001</v>
      </c>
      <c r="H564" s="6">
        <v>7769.9359999999997</v>
      </c>
      <c r="I564">
        <f t="shared" si="16"/>
        <v>11</v>
      </c>
      <c r="J564">
        <f t="shared" si="17"/>
        <v>97</v>
      </c>
    </row>
    <row r="565" spans="2:10" ht="15.5" x14ac:dyDescent="0.35">
      <c r="B565" s="3" t="s">
        <v>4002</v>
      </c>
      <c r="C565" s="16" t="s">
        <v>4003</v>
      </c>
      <c r="D565" s="17" t="s">
        <v>861</v>
      </c>
      <c r="E565" s="16" t="s">
        <v>4004</v>
      </c>
      <c r="F565" s="17" t="s">
        <v>4005</v>
      </c>
      <c r="G565" s="3" t="s">
        <v>4006</v>
      </c>
      <c r="H565" s="6">
        <v>5602.72</v>
      </c>
      <c r="I565">
        <f t="shared" si="16"/>
        <v>12</v>
      </c>
      <c r="J565">
        <f t="shared" si="17"/>
        <v>97</v>
      </c>
    </row>
    <row r="566" spans="2:10" ht="15.5" x14ac:dyDescent="0.35">
      <c r="B566" s="3" t="s">
        <v>4007</v>
      </c>
      <c r="C566" s="16" t="s">
        <v>4008</v>
      </c>
      <c r="D566" s="17" t="s">
        <v>861</v>
      </c>
      <c r="E566" s="16" t="s">
        <v>4009</v>
      </c>
      <c r="F566" s="17" t="s">
        <v>4010</v>
      </c>
      <c r="G566" s="3" t="s">
        <v>3947</v>
      </c>
      <c r="H566" s="6">
        <v>7914.64</v>
      </c>
      <c r="I566">
        <f t="shared" si="16"/>
        <v>16</v>
      </c>
      <c r="J566">
        <f t="shared" si="17"/>
        <v>97</v>
      </c>
    </row>
    <row r="567" spans="2:10" ht="15.5" x14ac:dyDescent="0.35">
      <c r="B567" s="3" t="s">
        <v>4011</v>
      </c>
      <c r="C567" s="16" t="s">
        <v>4012</v>
      </c>
      <c r="D567" s="17" t="s">
        <v>860</v>
      </c>
      <c r="E567" s="16" t="s">
        <v>4013</v>
      </c>
      <c r="F567" s="17" t="s">
        <v>4014</v>
      </c>
      <c r="G567" s="3" t="s">
        <v>3947</v>
      </c>
      <c r="H567" s="6">
        <v>6223.1840000000002</v>
      </c>
      <c r="I567">
        <f t="shared" si="16"/>
        <v>12</v>
      </c>
      <c r="J567">
        <f t="shared" si="17"/>
        <v>97</v>
      </c>
    </row>
    <row r="568" spans="2:10" ht="15.5" x14ac:dyDescent="0.35">
      <c r="B568" s="3" t="s">
        <v>4015</v>
      </c>
      <c r="C568" s="16" t="s">
        <v>4016</v>
      </c>
      <c r="D568" s="17" t="s">
        <v>860</v>
      </c>
      <c r="E568" s="16" t="s">
        <v>4017</v>
      </c>
      <c r="F568" s="17" t="s">
        <v>4018</v>
      </c>
      <c r="G568" s="3" t="s">
        <v>4019</v>
      </c>
      <c r="H568" s="6">
        <v>11325.52</v>
      </c>
      <c r="I568">
        <f t="shared" si="16"/>
        <v>17</v>
      </c>
      <c r="J568">
        <f t="shared" si="17"/>
        <v>97</v>
      </c>
    </row>
    <row r="569" spans="2:10" ht="15.5" x14ac:dyDescent="0.35">
      <c r="B569" s="3" t="s">
        <v>4020</v>
      </c>
      <c r="C569" s="16" t="s">
        <v>4021</v>
      </c>
      <c r="D569" s="17" t="s">
        <v>860</v>
      </c>
      <c r="E569" s="16" t="s">
        <v>4022</v>
      </c>
      <c r="F569" s="17" t="s">
        <v>4023</v>
      </c>
      <c r="G569" s="3" t="s">
        <v>4019</v>
      </c>
      <c r="H569" s="6">
        <v>6873.7439999999997</v>
      </c>
      <c r="I569">
        <f t="shared" si="16"/>
        <v>15</v>
      </c>
      <c r="J569">
        <f t="shared" si="17"/>
        <v>97</v>
      </c>
    </row>
    <row r="570" spans="2:10" ht="15.5" x14ac:dyDescent="0.35">
      <c r="B570" s="3" t="s">
        <v>4024</v>
      </c>
      <c r="C570" s="16" t="s">
        <v>4025</v>
      </c>
      <c r="D570" s="17" t="s">
        <v>861</v>
      </c>
      <c r="E570" s="16" t="s">
        <v>4026</v>
      </c>
      <c r="F570" s="17" t="s">
        <v>4027</v>
      </c>
      <c r="G570" s="3" t="s">
        <v>4019</v>
      </c>
      <c r="H570" s="6">
        <v>6556.6719999999996</v>
      </c>
      <c r="I570">
        <f t="shared" si="16"/>
        <v>17</v>
      </c>
      <c r="J570">
        <f t="shared" si="17"/>
        <v>97</v>
      </c>
    </row>
    <row r="571" spans="2:10" ht="15.5" x14ac:dyDescent="0.35">
      <c r="B571" s="3" t="s">
        <v>4028</v>
      </c>
      <c r="C571" s="16" t="s">
        <v>4029</v>
      </c>
      <c r="D571" s="17" t="s">
        <v>861</v>
      </c>
      <c r="E571" s="16" t="s">
        <v>4030</v>
      </c>
      <c r="F571" s="17" t="s">
        <v>4031</v>
      </c>
      <c r="G571" s="3" t="s">
        <v>4032</v>
      </c>
      <c r="H571" s="6">
        <v>13744.751999999999</v>
      </c>
      <c r="I571">
        <f t="shared" si="16"/>
        <v>16</v>
      </c>
      <c r="J571">
        <f t="shared" si="17"/>
        <v>97</v>
      </c>
    </row>
    <row r="572" spans="2:10" ht="15.5" x14ac:dyDescent="0.35">
      <c r="B572" s="3" t="s">
        <v>4033</v>
      </c>
      <c r="C572" s="16" t="s">
        <v>4034</v>
      </c>
      <c r="D572" s="17" t="s">
        <v>861</v>
      </c>
      <c r="E572" s="16" t="s">
        <v>4035</v>
      </c>
      <c r="F572" s="17" t="s">
        <v>4036</v>
      </c>
      <c r="G572" s="3" t="s">
        <v>4037</v>
      </c>
      <c r="H572" s="6">
        <v>23332.304</v>
      </c>
      <c r="I572">
        <f t="shared" si="16"/>
        <v>12</v>
      </c>
      <c r="J572">
        <f t="shared" si="17"/>
        <v>97</v>
      </c>
    </row>
    <row r="573" spans="2:10" ht="15.5" x14ac:dyDescent="0.35">
      <c r="B573" s="3" t="s">
        <v>4038</v>
      </c>
      <c r="C573" s="16" t="s">
        <v>4039</v>
      </c>
      <c r="D573" s="17" t="s">
        <v>861</v>
      </c>
      <c r="E573" s="16" t="s">
        <v>4040</v>
      </c>
      <c r="F573" s="17" t="s">
        <v>4041</v>
      </c>
      <c r="G573" s="3" t="s">
        <v>4042</v>
      </c>
      <c r="H573" s="6">
        <v>15072.624</v>
      </c>
      <c r="I573">
        <f t="shared" si="16"/>
        <v>18</v>
      </c>
      <c r="J573">
        <f t="shared" si="17"/>
        <v>97</v>
      </c>
    </row>
    <row r="574" spans="2:10" ht="15.5" x14ac:dyDescent="0.35">
      <c r="B574" s="3" t="s">
        <v>4043</v>
      </c>
      <c r="C574" s="16" t="s">
        <v>4044</v>
      </c>
      <c r="D574" s="17" t="s">
        <v>860</v>
      </c>
      <c r="E574" s="16" t="s">
        <v>4045</v>
      </c>
      <c r="F574" s="17" t="s">
        <v>4046</v>
      </c>
      <c r="G574" s="3" t="s">
        <v>4047</v>
      </c>
      <c r="H574" s="6">
        <v>8326.56</v>
      </c>
      <c r="I574">
        <f t="shared" si="16"/>
        <v>13</v>
      </c>
      <c r="J574">
        <f t="shared" si="17"/>
        <v>97</v>
      </c>
    </row>
    <row r="575" spans="2:10" ht="15.5" x14ac:dyDescent="0.35">
      <c r="B575" s="3" t="s">
        <v>4048</v>
      </c>
      <c r="C575" s="16" t="s">
        <v>4049</v>
      </c>
      <c r="D575" s="17" t="s">
        <v>860</v>
      </c>
      <c r="E575" s="16" t="s">
        <v>4050</v>
      </c>
      <c r="F575" s="17" t="s">
        <v>4051</v>
      </c>
      <c r="G575" s="3" t="s">
        <v>4052</v>
      </c>
      <c r="H575" s="6">
        <v>13787.311999999998</v>
      </c>
      <c r="I575">
        <f t="shared" si="16"/>
        <v>19</v>
      </c>
      <c r="J575">
        <f t="shared" si="17"/>
        <v>97</v>
      </c>
    </row>
    <row r="576" spans="2:10" ht="15.5" x14ac:dyDescent="0.35">
      <c r="B576" s="3" t="s">
        <v>4053</v>
      </c>
      <c r="C576" s="16" t="s">
        <v>4054</v>
      </c>
      <c r="D576" s="17" t="s">
        <v>860</v>
      </c>
      <c r="E576" s="16" t="s">
        <v>4055</v>
      </c>
      <c r="F576" s="17" t="s">
        <v>4056</v>
      </c>
      <c r="G576" s="3" t="s">
        <v>4057</v>
      </c>
      <c r="H576" s="6">
        <v>7872.3839999999991</v>
      </c>
      <c r="I576">
        <f t="shared" si="16"/>
        <v>9</v>
      </c>
      <c r="J576">
        <f t="shared" si="17"/>
        <v>97</v>
      </c>
    </row>
    <row r="577" spans="2:10" ht="15.5" x14ac:dyDescent="0.35">
      <c r="B577" s="3" t="s">
        <v>4058</v>
      </c>
      <c r="C577" s="16" t="s">
        <v>4059</v>
      </c>
      <c r="D577" s="17" t="s">
        <v>860</v>
      </c>
      <c r="E577" s="16" t="s">
        <v>4060</v>
      </c>
      <c r="F577" s="17" t="s">
        <v>1099</v>
      </c>
      <c r="G577" s="3" t="s">
        <v>4061</v>
      </c>
      <c r="H577" s="6">
        <v>9488.7519999999986</v>
      </c>
      <c r="I577">
        <f t="shared" si="16"/>
        <v>19</v>
      </c>
      <c r="J577">
        <f t="shared" si="17"/>
        <v>97</v>
      </c>
    </row>
    <row r="578" spans="2:10" ht="15.5" x14ac:dyDescent="0.35">
      <c r="B578" s="3" t="s">
        <v>4062</v>
      </c>
      <c r="C578" s="16" t="s">
        <v>4063</v>
      </c>
      <c r="D578" s="17" t="s">
        <v>860</v>
      </c>
      <c r="E578" s="16" t="s">
        <v>4064</v>
      </c>
      <c r="F578" s="17" t="s">
        <v>4065</v>
      </c>
      <c r="G578" s="3" t="s">
        <v>4066</v>
      </c>
      <c r="H578" s="6">
        <v>22907.919999999998</v>
      </c>
      <c r="I578">
        <f t="shared" si="16"/>
        <v>12</v>
      </c>
      <c r="J578">
        <f t="shared" si="17"/>
        <v>97</v>
      </c>
    </row>
    <row r="579" spans="2:10" ht="15.5" x14ac:dyDescent="0.35">
      <c r="B579" s="3" t="s">
        <v>4067</v>
      </c>
      <c r="C579" s="16" t="s">
        <v>4068</v>
      </c>
      <c r="D579" s="17" t="s">
        <v>861</v>
      </c>
      <c r="E579" s="16" t="s">
        <v>4069</v>
      </c>
      <c r="F579" s="17" t="s">
        <v>4070</v>
      </c>
      <c r="G579" s="3" t="s">
        <v>4071</v>
      </c>
      <c r="H579" s="6">
        <v>13277.503999999999</v>
      </c>
      <c r="I579">
        <f t="shared" si="16"/>
        <v>9</v>
      </c>
      <c r="J579">
        <f t="shared" si="17"/>
        <v>97</v>
      </c>
    </row>
    <row r="580" spans="2:10" ht="15.5" x14ac:dyDescent="0.35">
      <c r="B580" s="3" t="s">
        <v>4072</v>
      </c>
      <c r="C580" s="16" t="s">
        <v>4073</v>
      </c>
      <c r="D580" s="17" t="s">
        <v>860</v>
      </c>
      <c r="E580" s="16" t="s">
        <v>4074</v>
      </c>
      <c r="F580" s="17" t="s">
        <v>4075</v>
      </c>
      <c r="G580" s="3" t="s">
        <v>4076</v>
      </c>
      <c r="H580" s="6">
        <v>27415.328000000001</v>
      </c>
      <c r="I580">
        <f t="shared" ref="I580:I643" si="18">_xlfn.NUMBERVALUE(MID(C580,3,2))</f>
        <v>4</v>
      </c>
      <c r="J580">
        <f t="shared" ref="J580:J643" si="19">IF(I580&gt;25,IF(I580&lt;=97,73,97),97)</f>
        <v>97</v>
      </c>
    </row>
    <row r="581" spans="2:10" ht="15.5" x14ac:dyDescent="0.35">
      <c r="B581" s="3" t="s">
        <v>4077</v>
      </c>
      <c r="C581" s="16" t="s">
        <v>4078</v>
      </c>
      <c r="D581" s="17" t="s">
        <v>861</v>
      </c>
      <c r="E581" s="16" t="s">
        <v>4079</v>
      </c>
      <c r="F581" s="17" t="s">
        <v>4080</v>
      </c>
      <c r="G581" s="3" t="s">
        <v>4081</v>
      </c>
      <c r="H581" s="6">
        <v>10347.856</v>
      </c>
      <c r="I581">
        <f t="shared" si="18"/>
        <v>11</v>
      </c>
      <c r="J581">
        <f t="shared" si="19"/>
        <v>97</v>
      </c>
    </row>
    <row r="582" spans="2:10" ht="15.5" x14ac:dyDescent="0.35">
      <c r="B582" s="3" t="s">
        <v>4082</v>
      </c>
      <c r="C582" s="16" t="s">
        <v>4083</v>
      </c>
      <c r="D582" s="17" t="s">
        <v>861</v>
      </c>
      <c r="E582" s="16" t="s">
        <v>4084</v>
      </c>
      <c r="F582" s="17" t="s">
        <v>4085</v>
      </c>
      <c r="G582" s="3" t="s">
        <v>4086</v>
      </c>
      <c r="H582" s="6">
        <v>14614.495999999999</v>
      </c>
      <c r="I582">
        <f t="shared" si="18"/>
        <v>21</v>
      </c>
      <c r="J582">
        <f t="shared" si="19"/>
        <v>97</v>
      </c>
    </row>
    <row r="583" spans="2:10" ht="15.5" x14ac:dyDescent="0.35">
      <c r="B583" s="3" t="s">
        <v>4087</v>
      </c>
      <c r="C583" s="16" t="s">
        <v>4088</v>
      </c>
      <c r="D583" s="17" t="s">
        <v>861</v>
      </c>
      <c r="E583" s="16" t="s">
        <v>4089</v>
      </c>
      <c r="F583" s="17" t="s">
        <v>4090</v>
      </c>
      <c r="G583" s="3" t="s">
        <v>4091</v>
      </c>
      <c r="H583" s="6">
        <v>131090.920128</v>
      </c>
      <c r="I583">
        <f t="shared" si="18"/>
        <v>21</v>
      </c>
      <c r="J583">
        <f t="shared" si="19"/>
        <v>97</v>
      </c>
    </row>
    <row r="584" spans="2:10" ht="15.5" x14ac:dyDescent="0.35">
      <c r="B584" s="3" t="s">
        <v>4092</v>
      </c>
      <c r="C584" s="16" t="s">
        <v>4093</v>
      </c>
      <c r="D584" s="17" t="s">
        <v>860</v>
      </c>
      <c r="E584" s="16" t="s">
        <v>4094</v>
      </c>
      <c r="F584" s="17" t="s">
        <v>4095</v>
      </c>
      <c r="G584" s="3" t="s">
        <v>4096</v>
      </c>
      <c r="H584" s="6">
        <v>38498.256000000001</v>
      </c>
      <c r="I584">
        <f t="shared" si="18"/>
        <v>7</v>
      </c>
      <c r="J584">
        <f t="shared" si="19"/>
        <v>97</v>
      </c>
    </row>
    <row r="585" spans="2:10" ht="15.5" hidden="1" x14ac:dyDescent="0.35">
      <c r="B585" s="3" t="s">
        <v>4097</v>
      </c>
      <c r="C585" s="16" t="s">
        <v>4098</v>
      </c>
      <c r="D585" s="17" t="s">
        <v>861</v>
      </c>
      <c r="E585" s="16" t="s">
        <v>4099</v>
      </c>
      <c r="F585" s="17" t="s">
        <v>4100</v>
      </c>
      <c r="G585" s="3" t="s">
        <v>4101</v>
      </c>
      <c r="H585" s="6">
        <v>44097.935999999994</v>
      </c>
      <c r="I585">
        <f t="shared" si="18"/>
        <v>85</v>
      </c>
      <c r="J585">
        <f t="shared" si="19"/>
        <v>73</v>
      </c>
    </row>
    <row r="586" spans="2:10" ht="15.5" x14ac:dyDescent="0.35">
      <c r="B586" s="3" t="s">
        <v>4102</v>
      </c>
      <c r="C586" s="16" t="s">
        <v>4103</v>
      </c>
      <c r="D586" s="17" t="s">
        <v>861</v>
      </c>
      <c r="E586" s="16" t="s">
        <v>4104</v>
      </c>
      <c r="F586" s="17" t="s">
        <v>4105</v>
      </c>
      <c r="G586" s="3" t="s">
        <v>4106</v>
      </c>
      <c r="H586" s="6">
        <v>6198.5599999999995</v>
      </c>
      <c r="I586">
        <f t="shared" si="18"/>
        <v>14</v>
      </c>
      <c r="J586">
        <f t="shared" si="19"/>
        <v>97</v>
      </c>
    </row>
    <row r="587" spans="2:10" ht="15.5" x14ac:dyDescent="0.35">
      <c r="B587" s="3" t="s">
        <v>4107</v>
      </c>
      <c r="C587" s="16" t="s">
        <v>4108</v>
      </c>
      <c r="D587" s="17" t="s">
        <v>860</v>
      </c>
      <c r="E587" s="16" t="s">
        <v>4109</v>
      </c>
      <c r="F587" s="17" t="s">
        <v>4110</v>
      </c>
      <c r="G587" s="3" t="s">
        <v>4111</v>
      </c>
      <c r="H587" s="6">
        <v>11252.864</v>
      </c>
      <c r="I587">
        <f t="shared" si="18"/>
        <v>11</v>
      </c>
      <c r="J587">
        <f t="shared" si="19"/>
        <v>97</v>
      </c>
    </row>
    <row r="588" spans="2:10" ht="15.5" x14ac:dyDescent="0.35">
      <c r="B588" s="3" t="s">
        <v>4112</v>
      </c>
      <c r="C588" s="16" t="s">
        <v>4113</v>
      </c>
      <c r="D588" s="17" t="s">
        <v>861</v>
      </c>
      <c r="E588" s="16" t="s">
        <v>4114</v>
      </c>
      <c r="F588" s="17" t="s">
        <v>4115</v>
      </c>
      <c r="G588" s="3" t="s">
        <v>4116</v>
      </c>
      <c r="H588" s="6">
        <v>5610.32</v>
      </c>
      <c r="I588">
        <f t="shared" si="18"/>
        <v>20</v>
      </c>
      <c r="J588">
        <f t="shared" si="19"/>
        <v>97</v>
      </c>
    </row>
    <row r="589" spans="2:10" ht="15.5" x14ac:dyDescent="0.35">
      <c r="B589" s="3" t="s">
        <v>4117</v>
      </c>
      <c r="C589" s="16" t="s">
        <v>4118</v>
      </c>
      <c r="D589" s="17" t="s">
        <v>861</v>
      </c>
      <c r="E589" s="16" t="s">
        <v>4119</v>
      </c>
      <c r="F589" s="17" t="s">
        <v>4120</v>
      </c>
      <c r="G589" s="3" t="s">
        <v>4116</v>
      </c>
      <c r="H589" s="6">
        <v>13744.751999999999</v>
      </c>
      <c r="I589">
        <f t="shared" si="18"/>
        <v>0</v>
      </c>
      <c r="J589">
        <f t="shared" si="19"/>
        <v>97</v>
      </c>
    </row>
    <row r="590" spans="2:10" ht="15.5" x14ac:dyDescent="0.35">
      <c r="B590" s="3" t="s">
        <v>4121</v>
      </c>
      <c r="C590" s="16" t="s">
        <v>4122</v>
      </c>
      <c r="D590" s="17" t="s">
        <v>861</v>
      </c>
      <c r="E590" s="16" t="s">
        <v>4123</v>
      </c>
      <c r="F590" s="17" t="s">
        <v>4124</v>
      </c>
      <c r="G590" s="3" t="s">
        <v>4125</v>
      </c>
      <c r="H590" s="6">
        <v>12582.255999999999</v>
      </c>
      <c r="I590">
        <f t="shared" si="18"/>
        <v>12</v>
      </c>
      <c r="J590">
        <f t="shared" si="19"/>
        <v>97</v>
      </c>
    </row>
    <row r="591" spans="2:10" ht="15.5" x14ac:dyDescent="0.35">
      <c r="B591" s="3" t="s">
        <v>4126</v>
      </c>
      <c r="C591" s="16" t="s">
        <v>4127</v>
      </c>
      <c r="D591" s="17" t="s">
        <v>861</v>
      </c>
      <c r="E591" s="16" t="s">
        <v>4128</v>
      </c>
      <c r="F591" s="17" t="s">
        <v>4129</v>
      </c>
      <c r="G591" s="3" t="s">
        <v>4130</v>
      </c>
      <c r="H591" s="6">
        <v>7816.1440000000002</v>
      </c>
      <c r="I591">
        <f t="shared" si="18"/>
        <v>9</v>
      </c>
      <c r="J591">
        <f t="shared" si="19"/>
        <v>97</v>
      </c>
    </row>
    <row r="592" spans="2:10" ht="15.5" x14ac:dyDescent="0.35">
      <c r="B592" s="3" t="s">
        <v>4131</v>
      </c>
      <c r="C592" s="16" t="s">
        <v>4132</v>
      </c>
      <c r="D592" s="17" t="s">
        <v>861</v>
      </c>
      <c r="E592" s="16" t="s">
        <v>4133</v>
      </c>
      <c r="F592" s="17" t="s">
        <v>4134</v>
      </c>
      <c r="G592" s="3" t="s">
        <v>4135</v>
      </c>
      <c r="H592" s="6">
        <v>5757.4559999999992</v>
      </c>
      <c r="I592">
        <f t="shared" si="18"/>
        <v>13</v>
      </c>
      <c r="J592">
        <f t="shared" si="19"/>
        <v>97</v>
      </c>
    </row>
    <row r="593" spans="2:10" ht="15.5" x14ac:dyDescent="0.35">
      <c r="B593" s="3" t="s">
        <v>4136</v>
      </c>
      <c r="C593" s="16" t="s">
        <v>4137</v>
      </c>
      <c r="D593" s="17" t="s">
        <v>861</v>
      </c>
      <c r="E593" s="16" t="s">
        <v>4138</v>
      </c>
      <c r="F593" s="17" t="s">
        <v>4139</v>
      </c>
      <c r="G593" s="3" t="s">
        <v>4140</v>
      </c>
      <c r="H593" s="6">
        <v>18112.623999999996</v>
      </c>
      <c r="I593">
        <f t="shared" si="18"/>
        <v>8</v>
      </c>
      <c r="J593">
        <f t="shared" si="19"/>
        <v>97</v>
      </c>
    </row>
    <row r="594" spans="2:10" ht="15.5" x14ac:dyDescent="0.35">
      <c r="B594" s="3" t="s">
        <v>4141</v>
      </c>
      <c r="C594" s="16" t="s">
        <v>4142</v>
      </c>
      <c r="D594" s="17" t="s">
        <v>860</v>
      </c>
      <c r="E594" s="16" t="s">
        <v>4143</v>
      </c>
      <c r="F594" s="17" t="s">
        <v>4144</v>
      </c>
      <c r="G594" s="3" t="s">
        <v>4145</v>
      </c>
      <c r="H594" s="6">
        <v>21772.175999999999</v>
      </c>
      <c r="I594">
        <f t="shared" si="18"/>
        <v>4</v>
      </c>
      <c r="J594">
        <f t="shared" si="19"/>
        <v>97</v>
      </c>
    </row>
    <row r="595" spans="2:10" ht="15.5" x14ac:dyDescent="0.35">
      <c r="B595" s="3" t="s">
        <v>4146</v>
      </c>
      <c r="C595" s="16" t="s">
        <v>4147</v>
      </c>
      <c r="D595" s="17" t="s">
        <v>860</v>
      </c>
      <c r="E595" s="16" t="s">
        <v>4148</v>
      </c>
      <c r="F595" s="17" t="s">
        <v>4149</v>
      </c>
      <c r="G595" s="3" t="s">
        <v>4150</v>
      </c>
      <c r="H595" s="6">
        <v>12726.655999999999</v>
      </c>
      <c r="I595">
        <f t="shared" si="18"/>
        <v>7</v>
      </c>
      <c r="J595">
        <f t="shared" si="19"/>
        <v>97</v>
      </c>
    </row>
    <row r="596" spans="2:10" ht="15.5" hidden="1" x14ac:dyDescent="0.35">
      <c r="B596" s="3" t="s">
        <v>4151</v>
      </c>
      <c r="C596" s="16" t="s">
        <v>4152</v>
      </c>
      <c r="D596" s="17" t="s">
        <v>860</v>
      </c>
      <c r="E596" s="16" t="s">
        <v>4153</v>
      </c>
      <c r="F596" s="17" t="s">
        <v>4154</v>
      </c>
      <c r="G596" s="3" t="s">
        <v>4145</v>
      </c>
      <c r="H596" s="6">
        <v>9353.4719999999998</v>
      </c>
      <c r="I596">
        <f t="shared" si="18"/>
        <v>95</v>
      </c>
      <c r="J596">
        <f t="shared" si="19"/>
        <v>73</v>
      </c>
    </row>
    <row r="597" spans="2:10" ht="15.5" x14ac:dyDescent="0.35">
      <c r="B597" s="3" t="s">
        <v>4155</v>
      </c>
      <c r="C597" s="16" t="s">
        <v>4156</v>
      </c>
      <c r="D597" s="17" t="s">
        <v>860</v>
      </c>
      <c r="E597" s="16" t="s">
        <v>4157</v>
      </c>
      <c r="F597" s="17" t="s">
        <v>4158</v>
      </c>
      <c r="G597" s="3" t="s">
        <v>4159</v>
      </c>
      <c r="H597" s="6">
        <v>7872.3839999999991</v>
      </c>
      <c r="I597">
        <f t="shared" si="18"/>
        <v>15</v>
      </c>
      <c r="J597">
        <f t="shared" si="19"/>
        <v>97</v>
      </c>
    </row>
    <row r="598" spans="2:10" ht="15.5" x14ac:dyDescent="0.35">
      <c r="B598" s="3" t="s">
        <v>4160</v>
      </c>
      <c r="C598" s="16" t="s">
        <v>4161</v>
      </c>
      <c r="D598" s="17" t="s">
        <v>860</v>
      </c>
      <c r="E598" s="16" t="s">
        <v>4162</v>
      </c>
      <c r="F598" s="17" t="s">
        <v>4163</v>
      </c>
      <c r="G598" s="3" t="s">
        <v>4164</v>
      </c>
      <c r="H598" s="6">
        <v>19305.215999999997</v>
      </c>
      <c r="I598">
        <f t="shared" si="18"/>
        <v>7</v>
      </c>
      <c r="J598">
        <f t="shared" si="19"/>
        <v>97</v>
      </c>
    </row>
    <row r="599" spans="2:10" ht="15.5" x14ac:dyDescent="0.35">
      <c r="B599" s="3" t="s">
        <v>4165</v>
      </c>
      <c r="C599" s="16" t="s">
        <v>4166</v>
      </c>
      <c r="D599" s="17" t="s">
        <v>860</v>
      </c>
      <c r="E599" s="16" t="s">
        <v>4167</v>
      </c>
      <c r="F599" s="17" t="s">
        <v>4168</v>
      </c>
      <c r="G599" s="3" t="s">
        <v>4159</v>
      </c>
      <c r="H599" s="6">
        <v>14680.464</v>
      </c>
      <c r="I599">
        <f t="shared" si="18"/>
        <v>16</v>
      </c>
      <c r="J599">
        <f t="shared" si="19"/>
        <v>97</v>
      </c>
    </row>
    <row r="600" spans="2:10" ht="15.5" hidden="1" x14ac:dyDescent="0.35">
      <c r="B600" s="3" t="s">
        <v>4169</v>
      </c>
      <c r="C600" s="16" t="s">
        <v>4170</v>
      </c>
      <c r="D600" s="17" t="s">
        <v>861</v>
      </c>
      <c r="E600" s="16" t="s">
        <v>4171</v>
      </c>
      <c r="F600" s="17" t="s">
        <v>4172</v>
      </c>
      <c r="G600" s="3" t="s">
        <v>4173</v>
      </c>
      <c r="H600" s="6">
        <v>7946.8640000000005</v>
      </c>
      <c r="I600">
        <f t="shared" si="18"/>
        <v>97</v>
      </c>
      <c r="J600">
        <f t="shared" si="19"/>
        <v>73</v>
      </c>
    </row>
    <row r="601" spans="2:10" ht="15.5" x14ac:dyDescent="0.35">
      <c r="B601" s="3" t="s">
        <v>4174</v>
      </c>
      <c r="C601" s="16" t="s">
        <v>4175</v>
      </c>
      <c r="D601" s="17" t="s">
        <v>860</v>
      </c>
      <c r="E601" s="16" t="s">
        <v>4176</v>
      </c>
      <c r="F601" s="17" t="s">
        <v>4177</v>
      </c>
      <c r="G601" s="3" t="s">
        <v>4178</v>
      </c>
      <c r="H601" s="6">
        <v>7754.1279999999997</v>
      </c>
      <c r="I601">
        <f t="shared" si="18"/>
        <v>15</v>
      </c>
      <c r="J601">
        <f t="shared" si="19"/>
        <v>97</v>
      </c>
    </row>
    <row r="602" spans="2:10" ht="15.5" x14ac:dyDescent="0.35">
      <c r="B602" s="3" t="s">
        <v>4179</v>
      </c>
      <c r="C602" s="16" t="s">
        <v>4180</v>
      </c>
      <c r="D602" s="17" t="s">
        <v>861</v>
      </c>
      <c r="E602" s="16" t="s">
        <v>4181</v>
      </c>
      <c r="F602" s="17" t="s">
        <v>4182</v>
      </c>
      <c r="G602" s="3" t="s">
        <v>3823</v>
      </c>
      <c r="H602" s="6">
        <v>7004.7679999999991</v>
      </c>
      <c r="I602">
        <f t="shared" si="18"/>
        <v>16</v>
      </c>
      <c r="J602">
        <f t="shared" si="19"/>
        <v>97</v>
      </c>
    </row>
    <row r="603" spans="2:10" ht="15.5" x14ac:dyDescent="0.35">
      <c r="B603" s="3" t="s">
        <v>4183</v>
      </c>
      <c r="C603" s="16" t="s">
        <v>4184</v>
      </c>
      <c r="D603" s="17" t="s">
        <v>861</v>
      </c>
      <c r="E603" s="16" t="s">
        <v>4185</v>
      </c>
      <c r="F603" s="17" t="s">
        <v>4186</v>
      </c>
      <c r="G603" s="3" t="s">
        <v>3823</v>
      </c>
      <c r="H603" s="6">
        <v>6257.5360000000001</v>
      </c>
      <c r="I603">
        <f t="shared" si="18"/>
        <v>13</v>
      </c>
      <c r="J603">
        <f t="shared" si="19"/>
        <v>97</v>
      </c>
    </row>
    <row r="604" spans="2:10" ht="15.5" x14ac:dyDescent="0.35">
      <c r="B604" s="3" t="s">
        <v>4187</v>
      </c>
      <c r="C604" s="16" t="s">
        <v>4188</v>
      </c>
      <c r="D604" s="17" t="s">
        <v>860</v>
      </c>
      <c r="E604" s="16" t="s">
        <v>4189</v>
      </c>
      <c r="F604" s="17" t="s">
        <v>4190</v>
      </c>
      <c r="G604" s="3" t="s">
        <v>4191</v>
      </c>
      <c r="H604" s="6">
        <v>6684.96</v>
      </c>
      <c r="I604">
        <f t="shared" si="18"/>
        <v>10</v>
      </c>
      <c r="J604">
        <f t="shared" si="19"/>
        <v>97</v>
      </c>
    </row>
    <row r="605" spans="2:10" ht="15.5" x14ac:dyDescent="0.35">
      <c r="B605" s="3" t="s">
        <v>4192</v>
      </c>
      <c r="C605" s="16" t="s">
        <v>4193</v>
      </c>
      <c r="D605" s="17" t="s">
        <v>861</v>
      </c>
      <c r="E605" s="16" t="s">
        <v>4194</v>
      </c>
      <c r="F605" s="17" t="s">
        <v>4195</v>
      </c>
      <c r="G605" s="3" t="s">
        <v>4196</v>
      </c>
      <c r="H605" s="6">
        <v>23202.191999999999</v>
      </c>
      <c r="I605">
        <f t="shared" si="18"/>
        <v>1</v>
      </c>
      <c r="J605">
        <f t="shared" si="19"/>
        <v>97</v>
      </c>
    </row>
    <row r="606" spans="2:10" ht="15.5" x14ac:dyDescent="0.35">
      <c r="B606" s="3" t="s">
        <v>4197</v>
      </c>
      <c r="C606" s="16" t="s">
        <v>4198</v>
      </c>
      <c r="D606" s="17" t="s">
        <v>860</v>
      </c>
      <c r="E606" s="16" t="s">
        <v>4199</v>
      </c>
      <c r="F606" s="17" t="s">
        <v>4200</v>
      </c>
      <c r="G606" s="3" t="s">
        <v>4201</v>
      </c>
      <c r="H606" s="6">
        <v>13526.784</v>
      </c>
      <c r="I606">
        <f t="shared" si="18"/>
        <v>15</v>
      </c>
      <c r="J606">
        <f t="shared" si="19"/>
        <v>97</v>
      </c>
    </row>
    <row r="607" spans="2:10" ht="15.5" x14ac:dyDescent="0.35">
      <c r="B607" s="3" t="s">
        <v>4202</v>
      </c>
      <c r="C607" s="16" t="s">
        <v>4203</v>
      </c>
      <c r="D607" s="17" t="s">
        <v>860</v>
      </c>
      <c r="E607" s="16" t="s">
        <v>4204</v>
      </c>
      <c r="F607" s="17" t="s">
        <v>4205</v>
      </c>
      <c r="G607" s="3" t="s">
        <v>4201</v>
      </c>
      <c r="H607" s="6">
        <v>11136.127999999999</v>
      </c>
      <c r="I607">
        <f t="shared" si="18"/>
        <v>18</v>
      </c>
      <c r="J607">
        <f t="shared" si="19"/>
        <v>97</v>
      </c>
    </row>
    <row r="608" spans="2:10" ht="15.5" x14ac:dyDescent="0.35">
      <c r="B608" s="3" t="s">
        <v>4206</v>
      </c>
      <c r="C608" s="16" t="s">
        <v>4207</v>
      </c>
      <c r="D608" s="17" t="s">
        <v>860</v>
      </c>
      <c r="E608" s="16" t="s">
        <v>4208</v>
      </c>
      <c r="F608" s="17" t="s">
        <v>4209</v>
      </c>
      <c r="G608" s="3" t="s">
        <v>4201</v>
      </c>
      <c r="H608" s="6">
        <v>7963.8880000000008</v>
      </c>
      <c r="I608">
        <f t="shared" si="18"/>
        <v>16</v>
      </c>
      <c r="J608">
        <f t="shared" si="19"/>
        <v>97</v>
      </c>
    </row>
    <row r="609" spans="2:10" ht="15.5" x14ac:dyDescent="0.35">
      <c r="B609" s="3" t="s">
        <v>4210</v>
      </c>
      <c r="C609" s="16" t="s">
        <v>4211</v>
      </c>
      <c r="D609" s="17" t="s">
        <v>861</v>
      </c>
      <c r="E609" s="16" t="s">
        <v>4212</v>
      </c>
      <c r="F609" s="17" t="s">
        <v>4213</v>
      </c>
      <c r="G609" s="3" t="s">
        <v>4196</v>
      </c>
      <c r="H609" s="6">
        <v>15716.8</v>
      </c>
      <c r="I609">
        <f t="shared" si="18"/>
        <v>13</v>
      </c>
      <c r="J609">
        <f t="shared" si="19"/>
        <v>97</v>
      </c>
    </row>
    <row r="610" spans="2:10" ht="15.5" hidden="1" x14ac:dyDescent="0.35">
      <c r="B610" s="3" t="s">
        <v>4214</v>
      </c>
      <c r="C610" s="16" t="s">
        <v>4215</v>
      </c>
      <c r="D610" s="17" t="s">
        <v>861</v>
      </c>
      <c r="E610" s="16" t="s">
        <v>4216</v>
      </c>
      <c r="F610" s="17" t="s">
        <v>4217</v>
      </c>
      <c r="G610" s="3" t="s">
        <v>4218</v>
      </c>
      <c r="H610" s="6">
        <v>6482.4960000000001</v>
      </c>
      <c r="I610">
        <f t="shared" si="18"/>
        <v>94</v>
      </c>
      <c r="J610">
        <f t="shared" si="19"/>
        <v>73</v>
      </c>
    </row>
    <row r="611" spans="2:10" ht="15.5" hidden="1" x14ac:dyDescent="0.35">
      <c r="B611" s="3" t="s">
        <v>4219</v>
      </c>
      <c r="C611" s="16" t="s">
        <v>4220</v>
      </c>
      <c r="D611" s="17" t="s">
        <v>861</v>
      </c>
      <c r="E611" s="16" t="s">
        <v>4221</v>
      </c>
      <c r="F611" s="17" t="s">
        <v>4222</v>
      </c>
      <c r="G611" s="3" t="s">
        <v>4223</v>
      </c>
      <c r="H611" s="6">
        <v>0</v>
      </c>
      <c r="I611">
        <f t="shared" si="18"/>
        <v>90</v>
      </c>
      <c r="J611">
        <f t="shared" si="19"/>
        <v>73</v>
      </c>
    </row>
    <row r="612" spans="2:10" ht="15.5" x14ac:dyDescent="0.35">
      <c r="B612" s="3" t="s">
        <v>4224</v>
      </c>
      <c r="C612" s="16" t="s">
        <v>4225</v>
      </c>
      <c r="D612" s="17" t="s">
        <v>861</v>
      </c>
      <c r="E612" s="16" t="s">
        <v>4226</v>
      </c>
      <c r="F612" s="17" t="s">
        <v>4227</v>
      </c>
      <c r="G612" s="3" t="s">
        <v>4228</v>
      </c>
      <c r="H612" s="6">
        <v>12356.688</v>
      </c>
      <c r="I612">
        <f t="shared" si="18"/>
        <v>8</v>
      </c>
      <c r="J612">
        <f t="shared" si="19"/>
        <v>97</v>
      </c>
    </row>
    <row r="613" spans="2:10" ht="15.5" x14ac:dyDescent="0.35">
      <c r="B613" s="3" t="s">
        <v>4229</v>
      </c>
      <c r="C613" s="16" t="s">
        <v>4230</v>
      </c>
      <c r="D613" s="17" t="s">
        <v>860</v>
      </c>
      <c r="E613" s="16" t="s">
        <v>4231</v>
      </c>
      <c r="F613" s="17" t="s">
        <v>4232</v>
      </c>
      <c r="G613" s="3" t="s">
        <v>3828</v>
      </c>
      <c r="H613" s="6">
        <v>9555.6319999999996</v>
      </c>
      <c r="I613">
        <f t="shared" si="18"/>
        <v>15</v>
      </c>
      <c r="J613">
        <f t="shared" si="19"/>
        <v>97</v>
      </c>
    </row>
    <row r="614" spans="2:10" ht="15.5" x14ac:dyDescent="0.35">
      <c r="B614" s="3" t="s">
        <v>4233</v>
      </c>
      <c r="C614" s="16" t="s">
        <v>4234</v>
      </c>
      <c r="D614" s="17" t="s">
        <v>860</v>
      </c>
      <c r="E614" s="16" t="s">
        <v>4235</v>
      </c>
      <c r="F614" s="17" t="s">
        <v>1463</v>
      </c>
      <c r="G614" s="3" t="s">
        <v>3464</v>
      </c>
      <c r="H614" s="6">
        <v>15332.544</v>
      </c>
      <c r="I614">
        <f t="shared" si="18"/>
        <v>11</v>
      </c>
      <c r="J614">
        <f t="shared" si="19"/>
        <v>97</v>
      </c>
    </row>
    <row r="615" spans="2:10" ht="15.5" x14ac:dyDescent="0.35">
      <c r="B615" s="3" t="s">
        <v>4236</v>
      </c>
      <c r="C615" s="16" t="s">
        <v>4237</v>
      </c>
      <c r="D615" s="17" t="s">
        <v>861</v>
      </c>
      <c r="E615" s="16" t="s">
        <v>4238</v>
      </c>
      <c r="F615" s="17" t="s">
        <v>4239</v>
      </c>
      <c r="G615" s="3" t="s">
        <v>4240</v>
      </c>
      <c r="H615" s="6">
        <v>14968.655999999999</v>
      </c>
      <c r="I615">
        <f t="shared" si="18"/>
        <v>11</v>
      </c>
      <c r="J615">
        <f t="shared" si="19"/>
        <v>97</v>
      </c>
    </row>
    <row r="616" spans="2:10" ht="15.5" x14ac:dyDescent="0.35">
      <c r="B616" s="3" t="s">
        <v>4241</v>
      </c>
      <c r="C616" s="16" t="s">
        <v>4242</v>
      </c>
      <c r="D616" s="17" t="s">
        <v>860</v>
      </c>
      <c r="E616" s="16" t="s">
        <v>4243</v>
      </c>
      <c r="F616" s="17" t="s">
        <v>4244</v>
      </c>
      <c r="G616" s="3" t="s">
        <v>4240</v>
      </c>
      <c r="H616" s="6">
        <v>9001.7440000000006</v>
      </c>
      <c r="I616">
        <f t="shared" si="18"/>
        <v>13</v>
      </c>
      <c r="J616">
        <f t="shared" si="19"/>
        <v>97</v>
      </c>
    </row>
    <row r="617" spans="2:10" ht="15.5" x14ac:dyDescent="0.35">
      <c r="B617" s="3" t="s">
        <v>4245</v>
      </c>
      <c r="C617" s="16" t="s">
        <v>4246</v>
      </c>
      <c r="D617" s="17" t="s">
        <v>860</v>
      </c>
      <c r="E617" s="16" t="s">
        <v>4247</v>
      </c>
      <c r="F617" s="17" t="s">
        <v>4248</v>
      </c>
      <c r="G617" s="3" t="s">
        <v>4240</v>
      </c>
      <c r="H617" s="6">
        <v>7635.8720000000003</v>
      </c>
      <c r="I617">
        <f t="shared" si="18"/>
        <v>12</v>
      </c>
      <c r="J617">
        <f t="shared" si="19"/>
        <v>97</v>
      </c>
    </row>
    <row r="618" spans="2:10" ht="15.5" x14ac:dyDescent="0.35">
      <c r="B618" s="3" t="s">
        <v>4249</v>
      </c>
      <c r="C618" s="16" t="s">
        <v>4250</v>
      </c>
      <c r="D618" s="17" t="s">
        <v>861</v>
      </c>
      <c r="E618" s="16" t="s">
        <v>4251</v>
      </c>
      <c r="F618" s="17" t="s">
        <v>4252</v>
      </c>
      <c r="G618" s="3" t="s">
        <v>4253</v>
      </c>
      <c r="H618" s="6">
        <v>11898.255999999999</v>
      </c>
      <c r="I618">
        <f t="shared" si="18"/>
        <v>14</v>
      </c>
      <c r="J618">
        <f t="shared" si="19"/>
        <v>97</v>
      </c>
    </row>
    <row r="619" spans="2:10" ht="15.5" x14ac:dyDescent="0.35">
      <c r="B619" s="3" t="s">
        <v>4254</v>
      </c>
      <c r="C619" s="16" t="s">
        <v>4255</v>
      </c>
      <c r="D619" s="17" t="s">
        <v>860</v>
      </c>
      <c r="E619" s="16" t="s">
        <v>4256</v>
      </c>
      <c r="F619" s="17" t="s">
        <v>4257</v>
      </c>
      <c r="G619" s="3" t="s">
        <v>4253</v>
      </c>
      <c r="H619" s="6">
        <v>9143.7119999999995</v>
      </c>
      <c r="I619">
        <f t="shared" si="18"/>
        <v>11</v>
      </c>
      <c r="J619">
        <f t="shared" si="19"/>
        <v>97</v>
      </c>
    </row>
    <row r="620" spans="2:10" ht="15.5" x14ac:dyDescent="0.35">
      <c r="B620" s="3" t="s">
        <v>4258</v>
      </c>
      <c r="C620" s="16" t="s">
        <v>4259</v>
      </c>
      <c r="D620" s="17" t="s">
        <v>861</v>
      </c>
      <c r="E620" s="16" t="s">
        <v>4260</v>
      </c>
      <c r="F620" s="17" t="s">
        <v>4261</v>
      </c>
      <c r="G620" s="3" t="s">
        <v>4262</v>
      </c>
      <c r="H620" s="6">
        <v>11454.111999999999</v>
      </c>
      <c r="I620">
        <f t="shared" si="18"/>
        <v>11</v>
      </c>
      <c r="J620">
        <f t="shared" si="19"/>
        <v>97</v>
      </c>
    </row>
    <row r="621" spans="2:10" ht="15.5" x14ac:dyDescent="0.35">
      <c r="B621" s="3" t="s">
        <v>4263</v>
      </c>
      <c r="C621" s="16" t="s">
        <v>4264</v>
      </c>
      <c r="D621" s="17" t="s">
        <v>861</v>
      </c>
      <c r="E621" s="16" t="s">
        <v>4265</v>
      </c>
      <c r="F621" s="17" t="s">
        <v>4266</v>
      </c>
      <c r="G621" s="3" t="s">
        <v>4262</v>
      </c>
      <c r="H621" s="6">
        <v>17818.351999999999</v>
      </c>
      <c r="I621">
        <f t="shared" si="18"/>
        <v>7</v>
      </c>
      <c r="J621">
        <f t="shared" si="19"/>
        <v>97</v>
      </c>
    </row>
    <row r="622" spans="2:10" ht="15.5" x14ac:dyDescent="0.35">
      <c r="B622" s="3" t="s">
        <v>4267</v>
      </c>
      <c r="C622" s="16" t="s">
        <v>4268</v>
      </c>
      <c r="D622" s="17" t="s">
        <v>861</v>
      </c>
      <c r="E622" s="16" t="s">
        <v>4269</v>
      </c>
      <c r="F622" s="17" t="s">
        <v>4270</v>
      </c>
      <c r="G622" s="3" t="s">
        <v>4271</v>
      </c>
      <c r="H622" s="6">
        <v>10181.567999999999</v>
      </c>
      <c r="I622">
        <f t="shared" si="18"/>
        <v>11</v>
      </c>
      <c r="J622">
        <f t="shared" si="19"/>
        <v>97</v>
      </c>
    </row>
    <row r="623" spans="2:10" ht="15.5" x14ac:dyDescent="0.35">
      <c r="B623" s="3" t="s">
        <v>4272</v>
      </c>
      <c r="C623" s="16" t="s">
        <v>4273</v>
      </c>
      <c r="D623" s="17" t="s">
        <v>860</v>
      </c>
      <c r="E623" s="16" t="s">
        <v>4274</v>
      </c>
      <c r="F623" s="17" t="s">
        <v>4275</v>
      </c>
      <c r="G623" s="3" t="s">
        <v>4271</v>
      </c>
      <c r="H623" s="6">
        <v>8848.2240000000002</v>
      </c>
      <c r="I623">
        <f t="shared" si="18"/>
        <v>17</v>
      </c>
      <c r="J623">
        <f t="shared" si="19"/>
        <v>97</v>
      </c>
    </row>
    <row r="624" spans="2:10" ht="15.5" x14ac:dyDescent="0.35">
      <c r="B624" s="3" t="s">
        <v>4276</v>
      </c>
      <c r="C624" s="16" t="s">
        <v>4277</v>
      </c>
      <c r="D624" s="17" t="s">
        <v>861</v>
      </c>
      <c r="E624" s="16" t="s">
        <v>4278</v>
      </c>
      <c r="F624" s="17" t="s">
        <v>4279</v>
      </c>
      <c r="G624" s="3" t="s">
        <v>4280</v>
      </c>
      <c r="H624" s="6">
        <v>8365.4719999999998</v>
      </c>
      <c r="I624">
        <f t="shared" si="18"/>
        <v>8</v>
      </c>
      <c r="J624">
        <f t="shared" si="19"/>
        <v>97</v>
      </c>
    </row>
    <row r="625" spans="2:10" ht="15.5" x14ac:dyDescent="0.35">
      <c r="B625" s="3" t="s">
        <v>4281</v>
      </c>
      <c r="C625" s="16" t="s">
        <v>4282</v>
      </c>
      <c r="D625" s="17" t="s">
        <v>861</v>
      </c>
      <c r="E625" s="16" t="s">
        <v>4283</v>
      </c>
      <c r="F625" s="17" t="s">
        <v>1626</v>
      </c>
      <c r="G625" s="3" t="s">
        <v>4280</v>
      </c>
      <c r="H625" s="6">
        <v>9816.4639999999999</v>
      </c>
      <c r="I625">
        <f t="shared" si="18"/>
        <v>16</v>
      </c>
      <c r="J625">
        <f t="shared" si="19"/>
        <v>97</v>
      </c>
    </row>
    <row r="626" spans="2:10" ht="15.5" x14ac:dyDescent="0.35">
      <c r="B626" s="3" t="s">
        <v>4284</v>
      </c>
      <c r="C626" s="16" t="s">
        <v>4285</v>
      </c>
      <c r="D626" s="17" t="s">
        <v>861</v>
      </c>
      <c r="E626" s="16" t="s">
        <v>4286</v>
      </c>
      <c r="F626" s="17" t="s">
        <v>4287</v>
      </c>
      <c r="G626" s="3" t="s">
        <v>4288</v>
      </c>
      <c r="H626" s="6">
        <v>15887.039999999999</v>
      </c>
      <c r="I626">
        <f t="shared" si="18"/>
        <v>8</v>
      </c>
      <c r="J626">
        <f t="shared" si="19"/>
        <v>97</v>
      </c>
    </row>
    <row r="627" spans="2:10" ht="15.5" x14ac:dyDescent="0.35">
      <c r="B627" s="3" t="s">
        <v>4289</v>
      </c>
      <c r="C627" s="16" t="s">
        <v>4290</v>
      </c>
      <c r="D627" s="17" t="s">
        <v>860</v>
      </c>
      <c r="E627" s="16" t="s">
        <v>4291</v>
      </c>
      <c r="F627" s="17" t="s">
        <v>4292</v>
      </c>
      <c r="G627" s="3" t="s">
        <v>4280</v>
      </c>
      <c r="H627" s="6">
        <v>19980.399999999998</v>
      </c>
      <c r="I627">
        <f t="shared" si="18"/>
        <v>18</v>
      </c>
      <c r="J627">
        <f t="shared" si="19"/>
        <v>97</v>
      </c>
    </row>
    <row r="628" spans="2:10" ht="15.5" x14ac:dyDescent="0.35">
      <c r="B628" s="3" t="s">
        <v>4293</v>
      </c>
      <c r="C628" s="16" t="s">
        <v>4294</v>
      </c>
      <c r="D628" s="17" t="s">
        <v>861</v>
      </c>
      <c r="E628" s="16" t="s">
        <v>4295</v>
      </c>
      <c r="F628" s="17" t="s">
        <v>4296</v>
      </c>
      <c r="G628" s="3" t="s">
        <v>4280</v>
      </c>
      <c r="H628" s="6">
        <v>13072.607999999998</v>
      </c>
      <c r="I628">
        <f t="shared" si="18"/>
        <v>10</v>
      </c>
      <c r="J628">
        <f t="shared" si="19"/>
        <v>97</v>
      </c>
    </row>
    <row r="629" spans="2:10" ht="15.5" x14ac:dyDescent="0.35">
      <c r="B629" s="3" t="s">
        <v>4297</v>
      </c>
      <c r="C629" s="16" t="s">
        <v>4298</v>
      </c>
      <c r="D629" s="17" t="s">
        <v>861</v>
      </c>
      <c r="E629" s="16" t="s">
        <v>4299</v>
      </c>
      <c r="F629" s="17" t="s">
        <v>1423</v>
      </c>
      <c r="G629" s="3" t="s">
        <v>3832</v>
      </c>
      <c r="H629" s="6">
        <v>5610.32</v>
      </c>
      <c r="I629">
        <f t="shared" si="18"/>
        <v>18</v>
      </c>
      <c r="J629">
        <f t="shared" si="19"/>
        <v>97</v>
      </c>
    </row>
    <row r="630" spans="2:10" ht="15.5" hidden="1" x14ac:dyDescent="0.35">
      <c r="B630" s="3" t="s">
        <v>4300</v>
      </c>
      <c r="C630" s="16" t="s">
        <v>4301</v>
      </c>
      <c r="D630" s="17" t="s">
        <v>861</v>
      </c>
      <c r="E630" s="16" t="s">
        <v>4302</v>
      </c>
      <c r="F630" s="17" t="s">
        <v>4303</v>
      </c>
      <c r="G630" s="3" t="s">
        <v>3832</v>
      </c>
      <c r="H630" s="6">
        <v>7599.3919999999989</v>
      </c>
      <c r="I630">
        <f t="shared" si="18"/>
        <v>94</v>
      </c>
      <c r="J630">
        <f t="shared" si="19"/>
        <v>73</v>
      </c>
    </row>
    <row r="631" spans="2:10" ht="15.5" x14ac:dyDescent="0.35">
      <c r="B631" s="3" t="s">
        <v>4304</v>
      </c>
      <c r="C631" s="16" t="s">
        <v>4305</v>
      </c>
      <c r="D631" s="17" t="s">
        <v>861</v>
      </c>
      <c r="E631" s="16" t="s">
        <v>4306</v>
      </c>
      <c r="F631" s="17" t="s">
        <v>4307</v>
      </c>
      <c r="G631" s="3" t="s">
        <v>3832</v>
      </c>
      <c r="H631" s="6">
        <v>7872.3839999999991</v>
      </c>
      <c r="I631">
        <f t="shared" si="18"/>
        <v>12</v>
      </c>
      <c r="J631">
        <f t="shared" si="19"/>
        <v>97</v>
      </c>
    </row>
    <row r="632" spans="2:10" ht="15.5" x14ac:dyDescent="0.35">
      <c r="B632" s="3" t="s">
        <v>4308</v>
      </c>
      <c r="C632" s="16" t="s">
        <v>4309</v>
      </c>
      <c r="D632" s="17" t="s">
        <v>861</v>
      </c>
      <c r="E632" s="16" t="s">
        <v>4310</v>
      </c>
      <c r="F632" s="17" t="s">
        <v>4311</v>
      </c>
      <c r="G632" s="3" t="s">
        <v>4312</v>
      </c>
      <c r="H632" s="6">
        <v>7254.96</v>
      </c>
      <c r="I632">
        <f t="shared" si="18"/>
        <v>7</v>
      </c>
      <c r="J632">
        <f t="shared" si="19"/>
        <v>97</v>
      </c>
    </row>
    <row r="633" spans="2:10" ht="15.5" x14ac:dyDescent="0.35">
      <c r="B633" s="3" t="s">
        <v>4313</v>
      </c>
      <c r="C633" s="16" t="s">
        <v>4314</v>
      </c>
      <c r="D633" s="17" t="s">
        <v>861</v>
      </c>
      <c r="E633" s="16" t="s">
        <v>4315</v>
      </c>
      <c r="F633" s="17" t="s">
        <v>1586</v>
      </c>
      <c r="G633" s="3" t="s">
        <v>4316</v>
      </c>
      <c r="H633" s="6">
        <v>7862.0479999999998</v>
      </c>
      <c r="I633">
        <f t="shared" si="18"/>
        <v>19</v>
      </c>
      <c r="J633">
        <f t="shared" si="19"/>
        <v>97</v>
      </c>
    </row>
    <row r="634" spans="2:10" ht="15.5" hidden="1" x14ac:dyDescent="0.35">
      <c r="B634" s="3" t="s">
        <v>4317</v>
      </c>
      <c r="C634" s="16" t="s">
        <v>4318</v>
      </c>
      <c r="D634" s="17" t="s">
        <v>861</v>
      </c>
      <c r="E634" s="16" t="s">
        <v>4319</v>
      </c>
      <c r="F634" s="17" t="s">
        <v>4320</v>
      </c>
      <c r="G634" s="3" t="s">
        <v>4321</v>
      </c>
      <c r="H634" s="6">
        <v>11343.455999999998</v>
      </c>
      <c r="I634">
        <f t="shared" si="18"/>
        <v>94</v>
      </c>
      <c r="J634">
        <f t="shared" si="19"/>
        <v>73</v>
      </c>
    </row>
    <row r="635" spans="2:10" ht="15.5" x14ac:dyDescent="0.35">
      <c r="B635" s="3" t="s">
        <v>4322</v>
      </c>
      <c r="C635" s="16" t="s">
        <v>4323</v>
      </c>
      <c r="D635" s="17" t="s">
        <v>861</v>
      </c>
      <c r="E635" s="16" t="s">
        <v>4324</v>
      </c>
      <c r="F635" s="17" t="s">
        <v>4325</v>
      </c>
      <c r="G635" s="3" t="s">
        <v>4326</v>
      </c>
      <c r="H635" s="6">
        <v>39599.952000000005</v>
      </c>
      <c r="I635">
        <f t="shared" si="18"/>
        <v>6</v>
      </c>
      <c r="J635">
        <f t="shared" si="19"/>
        <v>97</v>
      </c>
    </row>
    <row r="636" spans="2:10" ht="15.5" x14ac:dyDescent="0.35">
      <c r="B636" s="3" t="s">
        <v>4327</v>
      </c>
      <c r="C636" s="16" t="s">
        <v>4328</v>
      </c>
      <c r="D636" s="17" t="s">
        <v>861</v>
      </c>
      <c r="E636" s="16" t="s">
        <v>4329</v>
      </c>
      <c r="F636" s="17" t="s">
        <v>4330</v>
      </c>
      <c r="G636" s="3" t="s">
        <v>4331</v>
      </c>
      <c r="H636" s="6">
        <v>19477.28</v>
      </c>
      <c r="I636">
        <f t="shared" si="18"/>
        <v>14</v>
      </c>
      <c r="J636">
        <f t="shared" si="19"/>
        <v>97</v>
      </c>
    </row>
    <row r="637" spans="2:10" ht="15.5" x14ac:dyDescent="0.35">
      <c r="B637" s="3" t="s">
        <v>4332</v>
      </c>
      <c r="C637" s="16" t="s">
        <v>4333</v>
      </c>
      <c r="D637" s="17" t="s">
        <v>861</v>
      </c>
      <c r="E637" s="16" t="s">
        <v>4334</v>
      </c>
      <c r="F637" s="17" t="s">
        <v>4335</v>
      </c>
      <c r="G637" s="3" t="s">
        <v>4336</v>
      </c>
      <c r="H637" s="6">
        <v>5610.32</v>
      </c>
      <c r="I637">
        <f t="shared" si="18"/>
        <v>3</v>
      </c>
      <c r="J637">
        <f t="shared" si="19"/>
        <v>97</v>
      </c>
    </row>
    <row r="638" spans="2:10" ht="15.5" hidden="1" x14ac:dyDescent="0.35">
      <c r="B638" s="3" t="s">
        <v>4337</v>
      </c>
      <c r="C638" s="16" t="s">
        <v>4338</v>
      </c>
      <c r="D638" s="17" t="s">
        <v>861</v>
      </c>
      <c r="E638" s="16" t="s">
        <v>4339</v>
      </c>
      <c r="F638" s="17" t="s">
        <v>4340</v>
      </c>
      <c r="G638" s="3" t="s">
        <v>4336</v>
      </c>
      <c r="H638" s="6">
        <v>7954.1599999999989</v>
      </c>
      <c r="I638">
        <f t="shared" si="18"/>
        <v>91</v>
      </c>
      <c r="J638">
        <f t="shared" si="19"/>
        <v>73</v>
      </c>
    </row>
    <row r="639" spans="2:10" ht="15.5" x14ac:dyDescent="0.35">
      <c r="B639" s="3" t="s">
        <v>4341</v>
      </c>
      <c r="C639" s="16" t="s">
        <v>4342</v>
      </c>
      <c r="D639" s="17" t="s">
        <v>861</v>
      </c>
      <c r="E639" s="16" t="s">
        <v>4343</v>
      </c>
      <c r="F639" s="17" t="s">
        <v>1653</v>
      </c>
      <c r="G639" s="3" t="s">
        <v>4344</v>
      </c>
      <c r="H639" s="6">
        <v>7869.3440000000001</v>
      </c>
      <c r="I639">
        <f t="shared" si="18"/>
        <v>13</v>
      </c>
      <c r="J639">
        <f t="shared" si="19"/>
        <v>97</v>
      </c>
    </row>
    <row r="640" spans="2:10" ht="15.5" x14ac:dyDescent="0.35">
      <c r="B640" s="3" t="s">
        <v>4345</v>
      </c>
      <c r="C640" s="16" t="s">
        <v>4346</v>
      </c>
      <c r="D640" s="17" t="s">
        <v>860</v>
      </c>
      <c r="E640" s="16" t="s">
        <v>4347</v>
      </c>
      <c r="F640" s="17" t="s">
        <v>4348</v>
      </c>
      <c r="G640" s="3" t="s">
        <v>4349</v>
      </c>
      <c r="H640" s="6">
        <v>5977.8559999999989</v>
      </c>
      <c r="I640">
        <f t="shared" si="18"/>
        <v>15</v>
      </c>
      <c r="J640">
        <f t="shared" si="19"/>
        <v>97</v>
      </c>
    </row>
    <row r="641" spans="2:10" ht="15.5" x14ac:dyDescent="0.35">
      <c r="B641" s="3" t="s">
        <v>4350</v>
      </c>
      <c r="C641" s="16" t="s">
        <v>4351</v>
      </c>
      <c r="D641" s="17" t="s">
        <v>860</v>
      </c>
      <c r="E641" s="16" t="s">
        <v>4352</v>
      </c>
      <c r="F641" s="17" t="s">
        <v>4292</v>
      </c>
      <c r="G641" s="3" t="s">
        <v>4353</v>
      </c>
      <c r="H641" s="6">
        <v>11454.111999999999</v>
      </c>
      <c r="I641">
        <f t="shared" si="18"/>
        <v>10</v>
      </c>
      <c r="J641">
        <f t="shared" si="19"/>
        <v>97</v>
      </c>
    </row>
    <row r="642" spans="2:10" ht="15.5" x14ac:dyDescent="0.35">
      <c r="B642" s="3" t="s">
        <v>4354</v>
      </c>
      <c r="C642" s="16" t="s">
        <v>4355</v>
      </c>
      <c r="D642" s="17" t="s">
        <v>861</v>
      </c>
      <c r="E642" s="16" t="s">
        <v>4356</v>
      </c>
      <c r="F642" s="17" t="s">
        <v>1280</v>
      </c>
      <c r="G642" s="3" t="s">
        <v>4353</v>
      </c>
      <c r="H642" s="6">
        <v>38187.872000000003</v>
      </c>
      <c r="I642">
        <f t="shared" si="18"/>
        <v>11</v>
      </c>
      <c r="J642">
        <f t="shared" si="19"/>
        <v>97</v>
      </c>
    </row>
    <row r="643" spans="2:10" ht="15.5" hidden="1" x14ac:dyDescent="0.35">
      <c r="B643" s="3" t="s">
        <v>4357</v>
      </c>
      <c r="C643" s="16" t="s">
        <v>4358</v>
      </c>
      <c r="D643" s="17" t="s">
        <v>861</v>
      </c>
      <c r="E643" s="16" t="s">
        <v>4359</v>
      </c>
      <c r="F643" s="17" t="s">
        <v>4360</v>
      </c>
      <c r="G643" s="3" t="s">
        <v>4361</v>
      </c>
      <c r="H643" s="6">
        <v>18335.455999999998</v>
      </c>
      <c r="I643">
        <f t="shared" si="18"/>
        <v>93</v>
      </c>
      <c r="J643">
        <f t="shared" si="19"/>
        <v>73</v>
      </c>
    </row>
    <row r="644" spans="2:10" ht="15.5" x14ac:dyDescent="0.35">
      <c r="B644" s="3" t="s">
        <v>4362</v>
      </c>
      <c r="C644" s="16" t="s">
        <v>4363</v>
      </c>
      <c r="D644" s="17" t="s">
        <v>861</v>
      </c>
      <c r="E644" s="16" t="s">
        <v>4364</v>
      </c>
      <c r="F644" s="17" t="s">
        <v>4365</v>
      </c>
      <c r="G644" s="3" t="s">
        <v>4366</v>
      </c>
      <c r="H644" s="6">
        <v>7886.3680000000004</v>
      </c>
      <c r="I644">
        <f t="shared" ref="I644:I707" si="20">_xlfn.NUMBERVALUE(MID(C644,3,2))</f>
        <v>18</v>
      </c>
      <c r="J644">
        <f t="shared" ref="J644:J707" si="21">IF(I644&gt;25,IF(I644&lt;=97,73,97),97)</f>
        <v>97</v>
      </c>
    </row>
    <row r="645" spans="2:10" ht="15.5" x14ac:dyDescent="0.35">
      <c r="B645" s="3" t="s">
        <v>4367</v>
      </c>
      <c r="C645" s="16" t="s">
        <v>4368</v>
      </c>
      <c r="D645" s="17" t="s">
        <v>860</v>
      </c>
      <c r="E645" s="16" t="s">
        <v>4369</v>
      </c>
      <c r="F645" s="17" t="s">
        <v>4370</v>
      </c>
      <c r="G645" s="3" t="s">
        <v>4371</v>
      </c>
      <c r="H645" s="6">
        <v>11454.111999999999</v>
      </c>
      <c r="I645">
        <f t="shared" si="20"/>
        <v>15</v>
      </c>
      <c r="J645">
        <f t="shared" si="21"/>
        <v>97</v>
      </c>
    </row>
    <row r="646" spans="2:10" ht="15.5" x14ac:dyDescent="0.35">
      <c r="B646" s="3" t="s">
        <v>4372</v>
      </c>
      <c r="C646" s="16" t="s">
        <v>4373</v>
      </c>
      <c r="D646" s="17" t="s">
        <v>860</v>
      </c>
      <c r="E646" s="16" t="s">
        <v>4374</v>
      </c>
      <c r="F646" s="17" t="s">
        <v>4375</v>
      </c>
      <c r="G646" s="3" t="s">
        <v>4376</v>
      </c>
      <c r="H646" s="6">
        <v>5930.4319999999998</v>
      </c>
      <c r="I646">
        <f t="shared" si="20"/>
        <v>9</v>
      </c>
      <c r="J646">
        <f t="shared" si="21"/>
        <v>97</v>
      </c>
    </row>
    <row r="647" spans="2:10" ht="15.5" x14ac:dyDescent="0.35">
      <c r="B647" s="3" t="s">
        <v>4377</v>
      </c>
      <c r="C647" s="16" t="s">
        <v>4378</v>
      </c>
      <c r="D647" s="17" t="s">
        <v>860</v>
      </c>
      <c r="E647" s="16" t="s">
        <v>4379</v>
      </c>
      <c r="F647" s="17" t="s">
        <v>4380</v>
      </c>
      <c r="G647" s="3" t="s">
        <v>4376</v>
      </c>
      <c r="H647" s="6">
        <v>8590.4319999999989</v>
      </c>
      <c r="I647">
        <f t="shared" si="20"/>
        <v>2</v>
      </c>
      <c r="J647">
        <f t="shared" si="21"/>
        <v>97</v>
      </c>
    </row>
    <row r="648" spans="2:10" ht="15.5" x14ac:dyDescent="0.35">
      <c r="B648" s="3" t="s">
        <v>4381</v>
      </c>
      <c r="C648" s="16" t="s">
        <v>4382</v>
      </c>
      <c r="D648" s="17" t="s">
        <v>861</v>
      </c>
      <c r="E648" s="16" t="s">
        <v>4383</v>
      </c>
      <c r="F648" s="17" t="s">
        <v>4384</v>
      </c>
      <c r="G648" s="3" t="s">
        <v>4385</v>
      </c>
      <c r="H648" s="6">
        <v>7446.1759999999995</v>
      </c>
      <c r="I648">
        <f t="shared" si="20"/>
        <v>16</v>
      </c>
      <c r="J648">
        <f t="shared" si="21"/>
        <v>97</v>
      </c>
    </row>
    <row r="649" spans="2:10" ht="15.5" x14ac:dyDescent="0.35">
      <c r="B649" s="3" t="s">
        <v>4386</v>
      </c>
      <c r="C649" s="16" t="s">
        <v>4387</v>
      </c>
      <c r="D649" s="17" t="s">
        <v>860</v>
      </c>
      <c r="E649" s="16" t="s">
        <v>4388</v>
      </c>
      <c r="F649" s="17" t="s">
        <v>4389</v>
      </c>
      <c r="G649" s="3" t="s">
        <v>4390</v>
      </c>
      <c r="H649" s="6">
        <v>13656.592000000001</v>
      </c>
      <c r="I649">
        <f t="shared" si="20"/>
        <v>5</v>
      </c>
      <c r="J649">
        <f t="shared" si="21"/>
        <v>97</v>
      </c>
    </row>
    <row r="650" spans="2:10" ht="15.5" x14ac:dyDescent="0.35">
      <c r="B650" s="3" t="s">
        <v>4391</v>
      </c>
      <c r="C650" s="16" t="s">
        <v>4392</v>
      </c>
      <c r="D650" s="17" t="s">
        <v>861</v>
      </c>
      <c r="E650" s="16" t="s">
        <v>4393</v>
      </c>
      <c r="F650" s="17" t="s">
        <v>4394</v>
      </c>
      <c r="G650" s="3" t="s">
        <v>4395</v>
      </c>
      <c r="H650" s="6">
        <v>13768.768</v>
      </c>
      <c r="I650">
        <f t="shared" si="20"/>
        <v>4</v>
      </c>
      <c r="J650">
        <f t="shared" si="21"/>
        <v>97</v>
      </c>
    </row>
    <row r="651" spans="2:10" ht="15.5" x14ac:dyDescent="0.35">
      <c r="B651" s="3" t="s">
        <v>4396</v>
      </c>
      <c r="C651" s="16" t="s">
        <v>4397</v>
      </c>
      <c r="D651" s="17" t="s">
        <v>861</v>
      </c>
      <c r="E651" s="16" t="s">
        <v>4398</v>
      </c>
      <c r="F651" s="17" t="s">
        <v>4399</v>
      </c>
      <c r="G651" s="3" t="s">
        <v>4395</v>
      </c>
      <c r="H651" s="6">
        <v>6583.424</v>
      </c>
      <c r="I651">
        <f t="shared" si="20"/>
        <v>13</v>
      </c>
      <c r="J651">
        <f t="shared" si="21"/>
        <v>97</v>
      </c>
    </row>
    <row r="652" spans="2:10" ht="15.5" x14ac:dyDescent="0.35">
      <c r="B652" s="3" t="s">
        <v>4400</v>
      </c>
      <c r="C652" s="16" t="s">
        <v>4401</v>
      </c>
      <c r="D652" s="17" t="s">
        <v>860</v>
      </c>
      <c r="E652" s="16" t="s">
        <v>4402</v>
      </c>
      <c r="F652" s="17" t="s">
        <v>4403</v>
      </c>
      <c r="G652" s="3" t="s">
        <v>4395</v>
      </c>
      <c r="H652" s="6">
        <v>10757.951999999999</v>
      </c>
      <c r="I652">
        <f t="shared" si="20"/>
        <v>9</v>
      </c>
      <c r="J652">
        <f t="shared" si="21"/>
        <v>97</v>
      </c>
    </row>
    <row r="653" spans="2:10" ht="15.5" x14ac:dyDescent="0.35">
      <c r="B653" s="3" t="s">
        <v>4404</v>
      </c>
      <c r="C653" s="16" t="s">
        <v>4405</v>
      </c>
      <c r="D653" s="17" t="s">
        <v>861</v>
      </c>
      <c r="E653" s="16" t="s">
        <v>4406</v>
      </c>
      <c r="F653" s="17" t="s">
        <v>4407</v>
      </c>
      <c r="G653" s="3" t="s">
        <v>3796</v>
      </c>
      <c r="H653" s="6">
        <v>9574.48</v>
      </c>
      <c r="I653">
        <f t="shared" si="20"/>
        <v>21</v>
      </c>
      <c r="J653">
        <f t="shared" si="21"/>
        <v>97</v>
      </c>
    </row>
    <row r="654" spans="2:10" ht="15.5" x14ac:dyDescent="0.35">
      <c r="B654" s="3" t="s">
        <v>4408</v>
      </c>
      <c r="C654" s="16" t="s">
        <v>4409</v>
      </c>
      <c r="D654" s="17" t="s">
        <v>861</v>
      </c>
      <c r="E654" s="16" t="s">
        <v>4410</v>
      </c>
      <c r="F654" s="17" t="s">
        <v>4411</v>
      </c>
      <c r="G654" s="3" t="s">
        <v>3796</v>
      </c>
      <c r="H654" s="6">
        <v>8007.0559999999996</v>
      </c>
      <c r="I654">
        <f t="shared" si="20"/>
        <v>10</v>
      </c>
      <c r="J654">
        <f t="shared" si="21"/>
        <v>97</v>
      </c>
    </row>
    <row r="655" spans="2:10" ht="15.5" x14ac:dyDescent="0.35">
      <c r="B655" s="3" t="s">
        <v>4412</v>
      </c>
      <c r="C655" s="16" t="s">
        <v>4413</v>
      </c>
      <c r="D655" s="17" t="s">
        <v>861</v>
      </c>
      <c r="E655" s="16" t="s">
        <v>4414</v>
      </c>
      <c r="F655" s="17" t="s">
        <v>4415</v>
      </c>
      <c r="G655" s="3" t="s">
        <v>4416</v>
      </c>
      <c r="H655" s="6">
        <v>7437.6639999999998</v>
      </c>
      <c r="I655">
        <f t="shared" si="20"/>
        <v>11</v>
      </c>
      <c r="J655">
        <f t="shared" si="21"/>
        <v>97</v>
      </c>
    </row>
    <row r="656" spans="2:10" ht="15.5" x14ac:dyDescent="0.35">
      <c r="B656" s="3" t="s">
        <v>4417</v>
      </c>
      <c r="C656" s="16" t="s">
        <v>4418</v>
      </c>
      <c r="D656" s="17" t="s">
        <v>860</v>
      </c>
      <c r="E656" s="16" t="s">
        <v>4419</v>
      </c>
      <c r="F656" s="17" t="s">
        <v>4420</v>
      </c>
      <c r="G656" s="3" t="s">
        <v>3880</v>
      </c>
      <c r="H656" s="6">
        <v>11139.168</v>
      </c>
      <c r="I656">
        <f t="shared" si="20"/>
        <v>10</v>
      </c>
      <c r="J656">
        <f t="shared" si="21"/>
        <v>97</v>
      </c>
    </row>
    <row r="657" spans="2:10" ht="15.5" x14ac:dyDescent="0.35">
      <c r="B657" s="3" t="s">
        <v>4421</v>
      </c>
      <c r="C657" s="16" t="s">
        <v>4422</v>
      </c>
      <c r="D657" s="17" t="s">
        <v>861</v>
      </c>
      <c r="E657" s="16" t="s">
        <v>4423</v>
      </c>
      <c r="F657" s="17" t="s">
        <v>4424</v>
      </c>
      <c r="G657" s="3" t="s">
        <v>3880</v>
      </c>
      <c r="H657" s="6">
        <v>5602.72</v>
      </c>
      <c r="I657">
        <f t="shared" si="20"/>
        <v>10</v>
      </c>
      <c r="J657">
        <f t="shared" si="21"/>
        <v>97</v>
      </c>
    </row>
    <row r="658" spans="2:10" ht="15.5" x14ac:dyDescent="0.35">
      <c r="B658" s="3" t="s">
        <v>4425</v>
      </c>
      <c r="C658" s="16" t="s">
        <v>4426</v>
      </c>
      <c r="D658" s="17" t="s">
        <v>861</v>
      </c>
      <c r="E658" s="16" t="s">
        <v>4427</v>
      </c>
      <c r="F658" s="17" t="s">
        <v>4428</v>
      </c>
      <c r="G658" s="3" t="s">
        <v>3880</v>
      </c>
      <c r="H658" s="6">
        <v>10101.92</v>
      </c>
      <c r="I658">
        <f t="shared" si="20"/>
        <v>17</v>
      </c>
      <c r="J658">
        <f t="shared" si="21"/>
        <v>97</v>
      </c>
    </row>
    <row r="659" spans="2:10" ht="15.5" x14ac:dyDescent="0.35">
      <c r="B659" s="3" t="s">
        <v>4429</v>
      </c>
      <c r="C659" s="16" t="s">
        <v>4430</v>
      </c>
      <c r="D659" s="17" t="s">
        <v>861</v>
      </c>
      <c r="E659" s="16" t="s">
        <v>4431</v>
      </c>
      <c r="F659" s="17" t="s">
        <v>4432</v>
      </c>
      <c r="G659" s="3" t="s">
        <v>4433</v>
      </c>
      <c r="H659" s="6">
        <v>13217.92</v>
      </c>
      <c r="I659">
        <f t="shared" si="20"/>
        <v>8</v>
      </c>
      <c r="J659">
        <f t="shared" si="21"/>
        <v>97</v>
      </c>
    </row>
    <row r="660" spans="2:10" ht="15.5" x14ac:dyDescent="0.35">
      <c r="B660" s="3" t="s">
        <v>4434</v>
      </c>
      <c r="C660" s="16" t="s">
        <v>4435</v>
      </c>
      <c r="D660" s="17" t="s">
        <v>860</v>
      </c>
      <c r="E660" s="16" t="s">
        <v>4436</v>
      </c>
      <c r="F660" s="17" t="s">
        <v>4437</v>
      </c>
      <c r="G660" s="3" t="s">
        <v>3739</v>
      </c>
      <c r="H660" s="6">
        <v>11438.607999999998</v>
      </c>
      <c r="I660">
        <f t="shared" si="20"/>
        <v>9</v>
      </c>
      <c r="J660">
        <f t="shared" si="21"/>
        <v>97</v>
      </c>
    </row>
    <row r="661" spans="2:10" ht="15.5" x14ac:dyDescent="0.35">
      <c r="B661" s="3" t="s">
        <v>4438</v>
      </c>
      <c r="C661" s="16" t="s">
        <v>4439</v>
      </c>
      <c r="D661" s="17" t="s">
        <v>861</v>
      </c>
      <c r="E661" s="16" t="s">
        <v>4440</v>
      </c>
      <c r="F661" s="17" t="s">
        <v>962</v>
      </c>
      <c r="G661" s="3" t="s">
        <v>4441</v>
      </c>
      <c r="H661" s="6">
        <v>9623.1200000000008</v>
      </c>
      <c r="I661">
        <f t="shared" si="20"/>
        <v>98</v>
      </c>
      <c r="J661">
        <f t="shared" si="21"/>
        <v>97</v>
      </c>
    </row>
    <row r="662" spans="2:10" ht="15.5" x14ac:dyDescent="0.35">
      <c r="B662" s="3" t="s">
        <v>4442</v>
      </c>
      <c r="C662" s="16" t="s">
        <v>4443</v>
      </c>
      <c r="D662" s="17" t="s">
        <v>860</v>
      </c>
      <c r="E662" s="16" t="s">
        <v>4444</v>
      </c>
      <c r="F662" s="17" t="s">
        <v>1499</v>
      </c>
      <c r="G662" s="3" t="s">
        <v>4445</v>
      </c>
      <c r="H662" s="6">
        <v>11650.495999999999</v>
      </c>
      <c r="I662">
        <f t="shared" si="20"/>
        <v>10</v>
      </c>
      <c r="J662">
        <f t="shared" si="21"/>
        <v>97</v>
      </c>
    </row>
    <row r="663" spans="2:10" ht="15.5" x14ac:dyDescent="0.35">
      <c r="B663" s="3" t="s">
        <v>4446</v>
      </c>
      <c r="C663" s="16" t="s">
        <v>4447</v>
      </c>
      <c r="D663" s="17" t="s">
        <v>860</v>
      </c>
      <c r="E663" s="16" t="s">
        <v>4448</v>
      </c>
      <c r="F663" s="17" t="s">
        <v>4449</v>
      </c>
      <c r="G663" s="3" t="s">
        <v>4001</v>
      </c>
      <c r="H663" s="6">
        <v>12059.376</v>
      </c>
      <c r="I663">
        <f t="shared" si="20"/>
        <v>14</v>
      </c>
      <c r="J663">
        <f t="shared" si="21"/>
        <v>97</v>
      </c>
    </row>
    <row r="664" spans="2:10" ht="15.5" x14ac:dyDescent="0.35">
      <c r="B664" s="3" t="s">
        <v>4450</v>
      </c>
      <c r="C664" s="16" t="s">
        <v>4451</v>
      </c>
      <c r="D664" s="17" t="s">
        <v>860</v>
      </c>
      <c r="E664" s="16" t="s">
        <v>4452</v>
      </c>
      <c r="F664" s="17" t="s">
        <v>4453</v>
      </c>
      <c r="G664" s="3" t="s">
        <v>4001</v>
      </c>
      <c r="H664" s="6">
        <v>18330.592000000001</v>
      </c>
      <c r="I664">
        <f t="shared" si="20"/>
        <v>3</v>
      </c>
      <c r="J664">
        <f t="shared" si="21"/>
        <v>97</v>
      </c>
    </row>
    <row r="665" spans="2:10" ht="15.5" x14ac:dyDescent="0.35">
      <c r="B665" s="3" t="s">
        <v>4454</v>
      </c>
      <c r="C665" s="16" t="s">
        <v>4455</v>
      </c>
      <c r="D665" s="17" t="s">
        <v>861</v>
      </c>
      <c r="E665" s="16" t="s">
        <v>4456</v>
      </c>
      <c r="F665" s="17" t="s">
        <v>4457</v>
      </c>
      <c r="G665" s="3" t="s">
        <v>4001</v>
      </c>
      <c r="H665" s="6">
        <v>6848.2079999999996</v>
      </c>
      <c r="I665">
        <f t="shared" si="20"/>
        <v>16</v>
      </c>
      <c r="J665">
        <f t="shared" si="21"/>
        <v>97</v>
      </c>
    </row>
    <row r="666" spans="2:10" ht="15.5" x14ac:dyDescent="0.35">
      <c r="B666" s="3" t="s">
        <v>4458</v>
      </c>
      <c r="C666" s="16" t="s">
        <v>4459</v>
      </c>
      <c r="D666" s="17" t="s">
        <v>860</v>
      </c>
      <c r="E666" s="16" t="s">
        <v>4460</v>
      </c>
      <c r="F666" s="17" t="s">
        <v>4461</v>
      </c>
      <c r="G666" s="3" t="s">
        <v>4462</v>
      </c>
      <c r="H666" s="6">
        <v>11804.928</v>
      </c>
      <c r="I666">
        <f t="shared" si="20"/>
        <v>11</v>
      </c>
      <c r="J666">
        <f t="shared" si="21"/>
        <v>97</v>
      </c>
    </row>
    <row r="667" spans="2:10" ht="15.5" x14ac:dyDescent="0.35">
      <c r="B667" s="3" t="s">
        <v>4463</v>
      </c>
      <c r="C667" s="16" t="s">
        <v>4464</v>
      </c>
      <c r="D667" s="17" t="s">
        <v>860</v>
      </c>
      <c r="E667" s="16" t="s">
        <v>4465</v>
      </c>
      <c r="F667" s="17" t="s">
        <v>4466</v>
      </c>
      <c r="G667" s="3" t="s">
        <v>4467</v>
      </c>
      <c r="H667" s="6">
        <v>7862.0479999999998</v>
      </c>
      <c r="I667">
        <f t="shared" si="20"/>
        <v>16</v>
      </c>
      <c r="J667">
        <f t="shared" si="21"/>
        <v>97</v>
      </c>
    </row>
    <row r="668" spans="2:10" ht="15.5" x14ac:dyDescent="0.35">
      <c r="B668" s="3" t="s">
        <v>4468</v>
      </c>
      <c r="C668" s="16" t="s">
        <v>4469</v>
      </c>
      <c r="D668" s="17" t="s">
        <v>861</v>
      </c>
      <c r="E668" s="16" t="s">
        <v>4470</v>
      </c>
      <c r="F668" s="17" t="s">
        <v>4471</v>
      </c>
      <c r="G668" s="3" t="s">
        <v>3439</v>
      </c>
      <c r="H668" s="6">
        <v>18433.648000000001</v>
      </c>
      <c r="I668">
        <f t="shared" si="20"/>
        <v>8</v>
      </c>
      <c r="J668">
        <f t="shared" si="21"/>
        <v>97</v>
      </c>
    </row>
    <row r="669" spans="2:10" ht="15.5" x14ac:dyDescent="0.35">
      <c r="B669" s="3" t="s">
        <v>4472</v>
      </c>
      <c r="C669" s="16" t="s">
        <v>4473</v>
      </c>
      <c r="D669" s="17" t="s">
        <v>861</v>
      </c>
      <c r="E669" s="16" t="s">
        <v>4474</v>
      </c>
      <c r="F669" s="17" t="s">
        <v>4475</v>
      </c>
      <c r="G669" s="3" t="s">
        <v>3803</v>
      </c>
      <c r="H669" s="6">
        <v>21182.719999999998</v>
      </c>
      <c r="I669">
        <f t="shared" si="20"/>
        <v>10</v>
      </c>
      <c r="J669">
        <f t="shared" si="21"/>
        <v>97</v>
      </c>
    </row>
    <row r="670" spans="2:10" ht="15.5" x14ac:dyDescent="0.35">
      <c r="B670" s="3" t="s">
        <v>4476</v>
      </c>
      <c r="C670" s="16" t="s">
        <v>4477</v>
      </c>
      <c r="D670" s="17" t="s">
        <v>861</v>
      </c>
      <c r="E670" s="16" t="s">
        <v>4478</v>
      </c>
      <c r="F670" s="17" t="s">
        <v>4479</v>
      </c>
      <c r="G670" s="3" t="s">
        <v>3803</v>
      </c>
      <c r="H670" s="6">
        <v>5602.72</v>
      </c>
      <c r="I670">
        <f t="shared" si="20"/>
        <v>2</v>
      </c>
      <c r="J670">
        <f t="shared" si="21"/>
        <v>97</v>
      </c>
    </row>
    <row r="671" spans="2:10" ht="15.5" x14ac:dyDescent="0.35">
      <c r="B671" s="3" t="s">
        <v>4480</v>
      </c>
      <c r="C671" s="16" t="s">
        <v>4481</v>
      </c>
      <c r="D671" s="17" t="s">
        <v>861</v>
      </c>
      <c r="E671" s="16" t="s">
        <v>4482</v>
      </c>
      <c r="F671" s="17" t="s">
        <v>4483</v>
      </c>
      <c r="G671" s="3" t="s">
        <v>4484</v>
      </c>
      <c r="H671" s="6">
        <v>14727.888000000001</v>
      </c>
      <c r="I671">
        <f t="shared" si="20"/>
        <v>16</v>
      </c>
      <c r="J671">
        <f t="shared" si="21"/>
        <v>97</v>
      </c>
    </row>
    <row r="672" spans="2:10" ht="15.5" x14ac:dyDescent="0.35">
      <c r="B672" s="3" t="s">
        <v>4485</v>
      </c>
      <c r="C672" s="16" t="s">
        <v>4486</v>
      </c>
      <c r="D672" s="17" t="s">
        <v>861</v>
      </c>
      <c r="E672" s="16" t="s">
        <v>4487</v>
      </c>
      <c r="F672" s="17" t="s">
        <v>4488</v>
      </c>
      <c r="G672" s="3" t="s">
        <v>4489</v>
      </c>
      <c r="H672" s="6">
        <v>90323.118079999986</v>
      </c>
      <c r="I672">
        <f t="shared" si="20"/>
        <v>5</v>
      </c>
      <c r="J672">
        <f t="shared" si="21"/>
        <v>97</v>
      </c>
    </row>
    <row r="673" spans="2:10" ht="15.5" x14ac:dyDescent="0.35">
      <c r="B673" s="3" t="s">
        <v>4490</v>
      </c>
      <c r="C673" s="16" t="s">
        <v>4491</v>
      </c>
      <c r="D673" s="17" t="s">
        <v>861</v>
      </c>
      <c r="E673" s="16" t="s">
        <v>4492</v>
      </c>
      <c r="F673" s="17" t="s">
        <v>4493</v>
      </c>
      <c r="G673" s="3" t="s">
        <v>4494</v>
      </c>
      <c r="H673" s="6">
        <v>7743.4879999999994</v>
      </c>
      <c r="I673">
        <f t="shared" si="20"/>
        <v>12</v>
      </c>
      <c r="J673">
        <f t="shared" si="21"/>
        <v>97</v>
      </c>
    </row>
    <row r="674" spans="2:10" ht="15.5" x14ac:dyDescent="0.35">
      <c r="B674" s="3" t="s">
        <v>4495</v>
      </c>
      <c r="C674" s="16" t="s">
        <v>4496</v>
      </c>
      <c r="D674" s="17" t="s">
        <v>860</v>
      </c>
      <c r="E674" s="16" t="s">
        <v>4497</v>
      </c>
      <c r="F674" s="17" t="s">
        <v>4498</v>
      </c>
      <c r="G674" s="3" t="s">
        <v>4499</v>
      </c>
      <c r="H674" s="6">
        <v>7880.2880000000005</v>
      </c>
      <c r="I674">
        <f t="shared" si="20"/>
        <v>12</v>
      </c>
      <c r="J674">
        <f t="shared" si="21"/>
        <v>97</v>
      </c>
    </row>
    <row r="675" spans="2:10" ht="15.5" x14ac:dyDescent="0.35">
      <c r="B675" s="3" t="s">
        <v>4500</v>
      </c>
      <c r="C675" s="16" t="s">
        <v>4501</v>
      </c>
      <c r="D675" s="17" t="s">
        <v>861</v>
      </c>
      <c r="E675" s="16" t="s">
        <v>4502</v>
      </c>
      <c r="F675" s="17" t="s">
        <v>4503</v>
      </c>
      <c r="G675" s="3" t="s">
        <v>3952</v>
      </c>
      <c r="H675" s="6">
        <v>7077.12</v>
      </c>
      <c r="I675">
        <f t="shared" si="20"/>
        <v>13</v>
      </c>
      <c r="J675">
        <f t="shared" si="21"/>
        <v>97</v>
      </c>
    </row>
    <row r="676" spans="2:10" ht="15.5" x14ac:dyDescent="0.35">
      <c r="B676" s="3" t="s">
        <v>4504</v>
      </c>
      <c r="C676" s="16" t="s">
        <v>4505</v>
      </c>
      <c r="D676" s="17" t="s">
        <v>861</v>
      </c>
      <c r="E676" s="16" t="s">
        <v>4506</v>
      </c>
      <c r="F676" s="17" t="s">
        <v>4507</v>
      </c>
      <c r="G676" s="3" t="s">
        <v>4494</v>
      </c>
      <c r="H676" s="6">
        <v>10506.24</v>
      </c>
      <c r="I676">
        <f t="shared" si="20"/>
        <v>16</v>
      </c>
      <c r="J676">
        <f t="shared" si="21"/>
        <v>97</v>
      </c>
    </row>
    <row r="677" spans="2:10" ht="15.5" x14ac:dyDescent="0.35">
      <c r="B677" s="3" t="s">
        <v>4508</v>
      </c>
      <c r="C677" s="16" t="s">
        <v>4509</v>
      </c>
      <c r="D677" s="17" t="s">
        <v>860</v>
      </c>
      <c r="E677" s="16" t="s">
        <v>4510</v>
      </c>
      <c r="F677" s="17" t="s">
        <v>4511</v>
      </c>
      <c r="G677" s="3" t="s">
        <v>4494</v>
      </c>
      <c r="H677" s="6">
        <v>70347.728000000003</v>
      </c>
      <c r="I677">
        <f t="shared" si="20"/>
        <v>10</v>
      </c>
      <c r="J677">
        <f t="shared" si="21"/>
        <v>97</v>
      </c>
    </row>
    <row r="678" spans="2:10" ht="15.5" hidden="1" x14ac:dyDescent="0.35">
      <c r="B678" s="3" t="s">
        <v>4512</v>
      </c>
      <c r="C678" s="16" t="s">
        <v>4513</v>
      </c>
      <c r="D678" s="17" t="s">
        <v>860</v>
      </c>
      <c r="E678" s="16" t="s">
        <v>4514</v>
      </c>
      <c r="F678" s="17" t="s">
        <v>4515</v>
      </c>
      <c r="G678" s="3" t="s">
        <v>4494</v>
      </c>
      <c r="H678" s="6">
        <v>12176.415999999999</v>
      </c>
      <c r="I678">
        <f t="shared" si="20"/>
        <v>94</v>
      </c>
      <c r="J678">
        <f t="shared" si="21"/>
        <v>73</v>
      </c>
    </row>
    <row r="679" spans="2:10" ht="15.5" x14ac:dyDescent="0.35">
      <c r="B679" s="3" t="s">
        <v>4516</v>
      </c>
      <c r="C679" s="16" t="s">
        <v>4517</v>
      </c>
      <c r="D679" s="17" t="s">
        <v>861</v>
      </c>
      <c r="E679" s="16" t="s">
        <v>4518</v>
      </c>
      <c r="F679" s="17" t="s">
        <v>4519</v>
      </c>
      <c r="G679" s="3" t="s">
        <v>4520</v>
      </c>
      <c r="H679" s="6">
        <v>11913.759999999998</v>
      </c>
      <c r="I679">
        <f t="shared" si="20"/>
        <v>13</v>
      </c>
      <c r="J679">
        <f t="shared" si="21"/>
        <v>97</v>
      </c>
    </row>
    <row r="680" spans="2:10" ht="15.5" x14ac:dyDescent="0.35">
      <c r="B680" s="3" t="s">
        <v>4521</v>
      </c>
      <c r="C680" s="16" t="s">
        <v>4522</v>
      </c>
      <c r="D680" s="17" t="s">
        <v>861</v>
      </c>
      <c r="E680" s="16" t="s">
        <v>4523</v>
      </c>
      <c r="F680" s="17" t="s">
        <v>4524</v>
      </c>
      <c r="G680" s="3" t="s">
        <v>4520</v>
      </c>
      <c r="H680" s="6">
        <v>8328.08</v>
      </c>
      <c r="I680">
        <f t="shared" si="20"/>
        <v>12</v>
      </c>
      <c r="J680">
        <f t="shared" si="21"/>
        <v>97</v>
      </c>
    </row>
    <row r="681" spans="2:10" ht="15.5" x14ac:dyDescent="0.35">
      <c r="B681" s="3" t="s">
        <v>4525</v>
      </c>
      <c r="C681" s="16" t="s">
        <v>4526</v>
      </c>
      <c r="D681" s="17" t="s">
        <v>861</v>
      </c>
      <c r="E681" s="16" t="s">
        <v>4527</v>
      </c>
      <c r="F681" s="17" t="s">
        <v>4528</v>
      </c>
      <c r="G681" s="3" t="s">
        <v>4499</v>
      </c>
      <c r="H681" s="6">
        <v>7880.2880000000005</v>
      </c>
      <c r="I681">
        <f t="shared" si="20"/>
        <v>11</v>
      </c>
      <c r="J681">
        <f t="shared" si="21"/>
        <v>97</v>
      </c>
    </row>
    <row r="682" spans="2:10" ht="15.5" x14ac:dyDescent="0.35">
      <c r="B682" s="3" t="s">
        <v>4529</v>
      </c>
      <c r="C682" s="16" t="s">
        <v>4530</v>
      </c>
      <c r="D682" s="17" t="s">
        <v>860</v>
      </c>
      <c r="E682" s="16" t="s">
        <v>4531</v>
      </c>
      <c r="F682" s="17" t="s">
        <v>4532</v>
      </c>
      <c r="G682" s="3" t="s">
        <v>4533</v>
      </c>
      <c r="H682" s="6">
        <v>21182.719999999998</v>
      </c>
      <c r="I682">
        <f t="shared" si="20"/>
        <v>9</v>
      </c>
      <c r="J682">
        <f t="shared" si="21"/>
        <v>97</v>
      </c>
    </row>
    <row r="683" spans="2:10" ht="15.5" x14ac:dyDescent="0.35">
      <c r="B683" s="3" t="s">
        <v>4534</v>
      </c>
      <c r="C683" s="16" t="s">
        <v>4535</v>
      </c>
      <c r="D683" s="17" t="s">
        <v>861</v>
      </c>
      <c r="E683" s="16" t="s">
        <v>4536</v>
      </c>
      <c r="F683" s="17" t="s">
        <v>4537</v>
      </c>
      <c r="G683" s="3" t="s">
        <v>4499</v>
      </c>
      <c r="H683" s="6">
        <v>11486.64</v>
      </c>
      <c r="I683">
        <f t="shared" si="20"/>
        <v>99</v>
      </c>
      <c r="J683">
        <f t="shared" si="21"/>
        <v>97</v>
      </c>
    </row>
    <row r="684" spans="2:10" ht="15.5" x14ac:dyDescent="0.35">
      <c r="B684" s="3" t="s">
        <v>4538</v>
      </c>
      <c r="C684" s="16" t="s">
        <v>4539</v>
      </c>
      <c r="D684" s="17" t="s">
        <v>861</v>
      </c>
      <c r="E684" s="16" t="s">
        <v>4540</v>
      </c>
      <c r="F684" s="17" t="s">
        <v>4541</v>
      </c>
      <c r="G684" s="3" t="s">
        <v>4542</v>
      </c>
      <c r="H684" s="6">
        <v>13217.92</v>
      </c>
      <c r="I684">
        <f t="shared" si="20"/>
        <v>11</v>
      </c>
      <c r="J684">
        <f t="shared" si="21"/>
        <v>97</v>
      </c>
    </row>
    <row r="685" spans="2:10" ht="15.5" x14ac:dyDescent="0.35">
      <c r="B685" s="3" t="s">
        <v>4543</v>
      </c>
      <c r="C685" s="16" t="s">
        <v>4544</v>
      </c>
      <c r="D685" s="17" t="s">
        <v>860</v>
      </c>
      <c r="E685" s="16" t="s">
        <v>4545</v>
      </c>
      <c r="F685" s="17" t="s">
        <v>4546</v>
      </c>
      <c r="G685" s="3" t="s">
        <v>4547</v>
      </c>
      <c r="H685" s="6">
        <v>9063.4559999999983</v>
      </c>
      <c r="I685">
        <f t="shared" si="20"/>
        <v>16</v>
      </c>
      <c r="J685">
        <f t="shared" si="21"/>
        <v>97</v>
      </c>
    </row>
    <row r="686" spans="2:10" ht="15.5" x14ac:dyDescent="0.35">
      <c r="B686" s="3" t="s">
        <v>4548</v>
      </c>
      <c r="C686" s="16" t="s">
        <v>4549</v>
      </c>
      <c r="D686" s="17" t="s">
        <v>860</v>
      </c>
      <c r="E686" s="16" t="s">
        <v>4550</v>
      </c>
      <c r="F686" s="17" t="s">
        <v>4551</v>
      </c>
      <c r="G686" s="3" t="s">
        <v>4552</v>
      </c>
      <c r="H686" s="6">
        <v>6490.0959999999995</v>
      </c>
      <c r="I686">
        <f t="shared" si="20"/>
        <v>14</v>
      </c>
      <c r="J686">
        <f t="shared" si="21"/>
        <v>97</v>
      </c>
    </row>
    <row r="687" spans="2:10" ht="15.5" x14ac:dyDescent="0.35">
      <c r="B687" s="3" t="s">
        <v>4553</v>
      </c>
      <c r="C687" s="16" t="s">
        <v>4554</v>
      </c>
      <c r="D687" s="17" t="s">
        <v>861</v>
      </c>
      <c r="E687" s="16" t="s">
        <v>4555</v>
      </c>
      <c r="F687" s="17" t="s">
        <v>4556</v>
      </c>
      <c r="G687" s="3" t="s">
        <v>4552</v>
      </c>
      <c r="H687" s="6">
        <v>13217.92</v>
      </c>
      <c r="I687">
        <f t="shared" si="20"/>
        <v>20</v>
      </c>
      <c r="J687">
        <f t="shared" si="21"/>
        <v>97</v>
      </c>
    </row>
    <row r="688" spans="2:10" ht="15.5" x14ac:dyDescent="0.35">
      <c r="B688" s="3" t="s">
        <v>4557</v>
      </c>
      <c r="C688" s="16" t="s">
        <v>4558</v>
      </c>
      <c r="D688" s="17" t="s">
        <v>861</v>
      </c>
      <c r="E688" s="16" t="s">
        <v>4559</v>
      </c>
      <c r="F688" s="17" t="s">
        <v>4384</v>
      </c>
      <c r="G688" s="3" t="s">
        <v>4552</v>
      </c>
      <c r="H688" s="6">
        <v>10424.159999999998</v>
      </c>
      <c r="I688">
        <f t="shared" si="20"/>
        <v>13</v>
      </c>
      <c r="J688">
        <f t="shared" si="21"/>
        <v>97</v>
      </c>
    </row>
    <row r="689" spans="2:10" ht="15.5" x14ac:dyDescent="0.35">
      <c r="B689" s="3" t="s">
        <v>4560</v>
      </c>
      <c r="C689" s="16" t="s">
        <v>4561</v>
      </c>
      <c r="D689" s="17" t="s">
        <v>861</v>
      </c>
      <c r="E689" s="16" t="s">
        <v>4562</v>
      </c>
      <c r="F689" s="17" t="s">
        <v>4563</v>
      </c>
      <c r="G689" s="3" t="s">
        <v>4552</v>
      </c>
      <c r="H689" s="6">
        <v>5826.7679999999991</v>
      </c>
      <c r="I689">
        <f t="shared" si="20"/>
        <v>8</v>
      </c>
      <c r="J689">
        <f t="shared" si="21"/>
        <v>97</v>
      </c>
    </row>
    <row r="690" spans="2:10" ht="15.5" hidden="1" x14ac:dyDescent="0.35">
      <c r="B690" s="3" t="s">
        <v>4564</v>
      </c>
      <c r="C690" s="16" t="s">
        <v>4565</v>
      </c>
      <c r="D690" s="17" t="s">
        <v>861</v>
      </c>
      <c r="E690" s="16" t="s">
        <v>4566</v>
      </c>
      <c r="F690" s="17" t="s">
        <v>4567</v>
      </c>
      <c r="G690" s="3" t="s">
        <v>4568</v>
      </c>
      <c r="H690" s="6">
        <v>8805.3599999999988</v>
      </c>
      <c r="I690">
        <f t="shared" si="20"/>
        <v>95</v>
      </c>
      <c r="J690">
        <f t="shared" si="21"/>
        <v>73</v>
      </c>
    </row>
    <row r="691" spans="2:10" ht="15.5" x14ac:dyDescent="0.35">
      <c r="B691" s="3" t="s">
        <v>4569</v>
      </c>
      <c r="C691" s="16" t="s">
        <v>4570</v>
      </c>
      <c r="D691" s="17" t="s">
        <v>861</v>
      </c>
      <c r="E691" s="16" t="s">
        <v>4571</v>
      </c>
      <c r="F691" s="17" t="s">
        <v>4572</v>
      </c>
      <c r="G691" s="3" t="s">
        <v>4573</v>
      </c>
      <c r="H691" s="6">
        <v>16522.399999999998</v>
      </c>
      <c r="I691">
        <f t="shared" si="20"/>
        <v>16</v>
      </c>
      <c r="J691">
        <f t="shared" si="21"/>
        <v>97</v>
      </c>
    </row>
    <row r="692" spans="2:10" ht="15.5" x14ac:dyDescent="0.35">
      <c r="B692" s="3" t="s">
        <v>4574</v>
      </c>
      <c r="C692" s="16" t="s">
        <v>4575</v>
      </c>
      <c r="D692" s="17" t="s">
        <v>860</v>
      </c>
      <c r="E692" s="16" t="s">
        <v>4576</v>
      </c>
      <c r="F692" s="17" t="s">
        <v>4577</v>
      </c>
      <c r="G692" s="3" t="s">
        <v>4578</v>
      </c>
      <c r="H692" s="6">
        <v>16522.399999999998</v>
      </c>
      <c r="I692">
        <f t="shared" si="20"/>
        <v>12</v>
      </c>
      <c r="J692">
        <f t="shared" si="21"/>
        <v>97</v>
      </c>
    </row>
    <row r="693" spans="2:10" ht="15.5" x14ac:dyDescent="0.35">
      <c r="B693" s="3" t="s">
        <v>4579</v>
      </c>
      <c r="C693" s="16" t="s">
        <v>4580</v>
      </c>
      <c r="D693" s="17" t="s">
        <v>861</v>
      </c>
      <c r="E693" s="16" t="s">
        <v>4581</v>
      </c>
      <c r="F693" s="17" t="s">
        <v>4582</v>
      </c>
      <c r="G693" s="3" t="s">
        <v>4578</v>
      </c>
      <c r="H693" s="6">
        <v>8176.3839999999991</v>
      </c>
      <c r="I693">
        <f t="shared" si="20"/>
        <v>16</v>
      </c>
      <c r="J693">
        <f t="shared" si="21"/>
        <v>97</v>
      </c>
    </row>
    <row r="694" spans="2:10" ht="15.5" x14ac:dyDescent="0.35">
      <c r="B694" s="3" t="s">
        <v>4583</v>
      </c>
      <c r="C694" s="16" t="s">
        <v>4584</v>
      </c>
      <c r="D694" s="17" t="s">
        <v>861</v>
      </c>
      <c r="E694" s="16" t="s">
        <v>4585</v>
      </c>
      <c r="F694" s="17" t="s">
        <v>1222</v>
      </c>
      <c r="G694" s="3" t="s">
        <v>4578</v>
      </c>
      <c r="H694" s="6">
        <v>33045.103999999999</v>
      </c>
      <c r="I694">
        <f t="shared" si="20"/>
        <v>2</v>
      </c>
      <c r="J694">
        <f t="shared" si="21"/>
        <v>97</v>
      </c>
    </row>
    <row r="695" spans="2:10" ht="15.5" x14ac:dyDescent="0.35">
      <c r="B695" s="3" t="s">
        <v>4586</v>
      </c>
      <c r="C695" s="16" t="s">
        <v>4587</v>
      </c>
      <c r="D695" s="17" t="s">
        <v>861</v>
      </c>
      <c r="E695" s="16" t="s">
        <v>4588</v>
      </c>
      <c r="F695" s="17" t="s">
        <v>1600</v>
      </c>
      <c r="G695" s="3" t="s">
        <v>4578</v>
      </c>
      <c r="H695" s="6">
        <v>7518.5279999999993</v>
      </c>
      <c r="I695">
        <f t="shared" si="20"/>
        <v>13</v>
      </c>
      <c r="J695">
        <f t="shared" si="21"/>
        <v>97</v>
      </c>
    </row>
    <row r="696" spans="2:10" ht="15.5" hidden="1" x14ac:dyDescent="0.35">
      <c r="B696" s="3" t="s">
        <v>4589</v>
      </c>
      <c r="C696" s="16" t="s">
        <v>4590</v>
      </c>
      <c r="D696" s="17" t="s">
        <v>860</v>
      </c>
      <c r="E696" s="16" t="s">
        <v>4591</v>
      </c>
      <c r="F696" s="17" t="s">
        <v>4592</v>
      </c>
      <c r="G696" s="3" t="s">
        <v>4593</v>
      </c>
      <c r="H696" s="6">
        <v>12894.464</v>
      </c>
      <c r="I696">
        <f t="shared" si="20"/>
        <v>97</v>
      </c>
      <c r="J696">
        <f t="shared" si="21"/>
        <v>73</v>
      </c>
    </row>
    <row r="697" spans="2:10" ht="15.5" x14ac:dyDescent="0.35">
      <c r="B697" s="3" t="s">
        <v>4594</v>
      </c>
      <c r="C697" s="16" t="s">
        <v>4595</v>
      </c>
      <c r="D697" s="17" t="s">
        <v>860</v>
      </c>
      <c r="E697" s="16" t="s">
        <v>4596</v>
      </c>
      <c r="F697" s="17" t="s">
        <v>4597</v>
      </c>
      <c r="G697" s="3" t="s">
        <v>4593</v>
      </c>
      <c r="H697" s="6">
        <v>45161.631999999998</v>
      </c>
      <c r="I697">
        <f t="shared" si="20"/>
        <v>11</v>
      </c>
      <c r="J697">
        <f t="shared" si="21"/>
        <v>97</v>
      </c>
    </row>
    <row r="698" spans="2:10" ht="15.5" x14ac:dyDescent="0.35">
      <c r="B698" s="3" t="s">
        <v>4598</v>
      </c>
      <c r="C698" s="16" t="s">
        <v>4599</v>
      </c>
      <c r="D698" s="17" t="s">
        <v>861</v>
      </c>
      <c r="E698" s="16" t="s">
        <v>4600</v>
      </c>
      <c r="F698" s="17" t="s">
        <v>4601</v>
      </c>
      <c r="G698" s="3" t="s">
        <v>4602</v>
      </c>
      <c r="H698" s="6">
        <v>9913.44</v>
      </c>
      <c r="I698">
        <f t="shared" si="20"/>
        <v>14</v>
      </c>
      <c r="J698">
        <f t="shared" si="21"/>
        <v>97</v>
      </c>
    </row>
    <row r="699" spans="2:10" ht="15.5" x14ac:dyDescent="0.35">
      <c r="B699" s="3" t="s">
        <v>4603</v>
      </c>
      <c r="C699" s="16" t="s">
        <v>4604</v>
      </c>
      <c r="D699" s="17" t="s">
        <v>861</v>
      </c>
      <c r="E699" s="16" t="s">
        <v>4605</v>
      </c>
      <c r="F699" s="17" t="s">
        <v>4606</v>
      </c>
      <c r="G699" s="3" t="s">
        <v>4607</v>
      </c>
      <c r="H699" s="6">
        <v>9062.848</v>
      </c>
      <c r="I699">
        <f t="shared" si="20"/>
        <v>99</v>
      </c>
      <c r="J699">
        <f t="shared" si="21"/>
        <v>97</v>
      </c>
    </row>
    <row r="700" spans="2:10" ht="15.5" x14ac:dyDescent="0.35">
      <c r="B700" s="3" t="s">
        <v>4608</v>
      </c>
      <c r="C700" s="16" t="s">
        <v>4609</v>
      </c>
      <c r="D700" s="17" t="s">
        <v>861</v>
      </c>
      <c r="E700" s="16" t="s">
        <v>4610</v>
      </c>
      <c r="F700" s="17" t="s">
        <v>4611</v>
      </c>
      <c r="G700" s="3" t="s">
        <v>4607</v>
      </c>
      <c r="H700" s="6">
        <v>9553.1999999999989</v>
      </c>
      <c r="I700">
        <f t="shared" si="20"/>
        <v>17</v>
      </c>
      <c r="J700">
        <f t="shared" si="21"/>
        <v>97</v>
      </c>
    </row>
    <row r="701" spans="2:10" ht="15.5" x14ac:dyDescent="0.35">
      <c r="B701" s="3" t="s">
        <v>4612</v>
      </c>
      <c r="C701" s="16" t="s">
        <v>4613</v>
      </c>
      <c r="D701" s="17" t="s">
        <v>861</v>
      </c>
      <c r="E701" s="16" t="s">
        <v>4614</v>
      </c>
      <c r="F701" s="17" t="s">
        <v>4615</v>
      </c>
      <c r="G701" s="3" t="s">
        <v>4616</v>
      </c>
      <c r="H701" s="6">
        <v>27537.536</v>
      </c>
      <c r="I701">
        <f t="shared" si="20"/>
        <v>3</v>
      </c>
      <c r="J701">
        <f t="shared" si="21"/>
        <v>97</v>
      </c>
    </row>
    <row r="702" spans="2:10" ht="15.5" x14ac:dyDescent="0.35">
      <c r="B702" s="3" t="s">
        <v>4617</v>
      </c>
      <c r="C702" s="16" t="s">
        <v>4618</v>
      </c>
      <c r="D702" s="17" t="s">
        <v>860</v>
      </c>
      <c r="E702" s="16" t="s">
        <v>4619</v>
      </c>
      <c r="F702" s="17" t="s">
        <v>4620</v>
      </c>
      <c r="G702" s="3" t="s">
        <v>4607</v>
      </c>
      <c r="H702" s="6">
        <v>5255.2479999999996</v>
      </c>
      <c r="I702">
        <f t="shared" si="20"/>
        <v>15</v>
      </c>
      <c r="J702">
        <f t="shared" si="21"/>
        <v>97</v>
      </c>
    </row>
    <row r="703" spans="2:10" ht="15.5" x14ac:dyDescent="0.35">
      <c r="B703" s="3" t="s">
        <v>4621</v>
      </c>
      <c r="C703" s="16" t="s">
        <v>4622</v>
      </c>
      <c r="D703" s="17" t="s">
        <v>860</v>
      </c>
      <c r="E703" s="16" t="s">
        <v>4623</v>
      </c>
      <c r="F703" s="17" t="s">
        <v>4624</v>
      </c>
      <c r="G703" s="3" t="s">
        <v>4625</v>
      </c>
      <c r="H703" s="6">
        <v>5826.7679999999991</v>
      </c>
      <c r="I703">
        <f t="shared" si="20"/>
        <v>17</v>
      </c>
      <c r="J703">
        <f t="shared" si="21"/>
        <v>97</v>
      </c>
    </row>
    <row r="704" spans="2:10" ht="15.5" x14ac:dyDescent="0.35">
      <c r="B704" s="3" t="s">
        <v>4626</v>
      </c>
      <c r="C704" s="16" t="s">
        <v>4627</v>
      </c>
      <c r="D704" s="17" t="s">
        <v>860</v>
      </c>
      <c r="E704" s="16" t="s">
        <v>4628</v>
      </c>
      <c r="F704" s="17" t="s">
        <v>4629</v>
      </c>
      <c r="G704" s="3" t="s">
        <v>4625</v>
      </c>
      <c r="H704" s="6">
        <v>8408.3359999999993</v>
      </c>
      <c r="I704">
        <f t="shared" si="20"/>
        <v>17</v>
      </c>
      <c r="J704">
        <f t="shared" si="21"/>
        <v>97</v>
      </c>
    </row>
    <row r="705" spans="2:10" ht="15.5" hidden="1" x14ac:dyDescent="0.35">
      <c r="B705" s="3" t="s">
        <v>4630</v>
      </c>
      <c r="C705" s="16" t="s">
        <v>4631</v>
      </c>
      <c r="D705" s="17" t="s">
        <v>861</v>
      </c>
      <c r="E705" s="16" t="s">
        <v>4632</v>
      </c>
      <c r="F705" s="17" t="s">
        <v>4633</v>
      </c>
      <c r="G705" s="3" t="s">
        <v>4625</v>
      </c>
      <c r="H705" s="6">
        <v>11913.759999999998</v>
      </c>
      <c r="I705">
        <f t="shared" si="20"/>
        <v>89</v>
      </c>
      <c r="J705">
        <f t="shared" si="21"/>
        <v>73</v>
      </c>
    </row>
    <row r="706" spans="2:10" ht="15.5" x14ac:dyDescent="0.35">
      <c r="B706" s="3" t="s">
        <v>4634</v>
      </c>
      <c r="C706" s="16" t="s">
        <v>4635</v>
      </c>
      <c r="D706" s="17" t="s">
        <v>861</v>
      </c>
      <c r="E706" s="16" t="s">
        <v>4636</v>
      </c>
      <c r="F706" s="17" t="s">
        <v>4637</v>
      </c>
      <c r="G706" s="3" t="s">
        <v>4625</v>
      </c>
      <c r="H706" s="6">
        <v>9532.2240000000002</v>
      </c>
      <c r="I706">
        <f t="shared" si="20"/>
        <v>16</v>
      </c>
      <c r="J706">
        <f t="shared" si="21"/>
        <v>97</v>
      </c>
    </row>
    <row r="707" spans="2:10" ht="15.5" x14ac:dyDescent="0.35">
      <c r="B707" s="3" t="s">
        <v>4638</v>
      </c>
      <c r="C707" s="16" t="s">
        <v>4639</v>
      </c>
      <c r="D707" s="17" t="s">
        <v>860</v>
      </c>
      <c r="E707" s="16" t="s">
        <v>4640</v>
      </c>
      <c r="F707" s="17" t="s">
        <v>4641</v>
      </c>
      <c r="G707" s="3" t="s">
        <v>4642</v>
      </c>
      <c r="H707" s="6">
        <v>16734.896000000001</v>
      </c>
      <c r="I707">
        <f t="shared" si="20"/>
        <v>12</v>
      </c>
      <c r="J707">
        <f t="shared" si="21"/>
        <v>97</v>
      </c>
    </row>
    <row r="708" spans="2:10" ht="15.5" x14ac:dyDescent="0.35">
      <c r="B708" s="3" t="s">
        <v>4643</v>
      </c>
      <c r="C708" s="16" t="s">
        <v>4644</v>
      </c>
      <c r="D708" s="17" t="s">
        <v>861</v>
      </c>
      <c r="E708" s="16" t="s">
        <v>4645</v>
      </c>
      <c r="F708" s="17" t="s">
        <v>4646</v>
      </c>
      <c r="G708" s="3" t="s">
        <v>4642</v>
      </c>
      <c r="H708" s="6">
        <v>10494.992</v>
      </c>
      <c r="I708">
        <f t="shared" ref="I708:I771" si="22">_xlfn.NUMBERVALUE(MID(C708,3,2))</f>
        <v>10</v>
      </c>
      <c r="J708">
        <f t="shared" ref="J708:J771" si="23">IF(I708&gt;25,IF(I708&lt;=97,73,97),97)</f>
        <v>97</v>
      </c>
    </row>
    <row r="709" spans="2:10" ht="15.5" x14ac:dyDescent="0.35">
      <c r="B709" s="3" t="s">
        <v>4647</v>
      </c>
      <c r="C709" s="16" t="s">
        <v>4648</v>
      </c>
      <c r="D709" s="17" t="s">
        <v>860</v>
      </c>
      <c r="E709" s="16" t="s">
        <v>4649</v>
      </c>
      <c r="F709" s="17" t="s">
        <v>4650</v>
      </c>
      <c r="G709" s="3" t="s">
        <v>4385</v>
      </c>
      <c r="H709" s="6">
        <v>11913.759999999998</v>
      </c>
      <c r="I709">
        <f t="shared" si="22"/>
        <v>8</v>
      </c>
      <c r="J709">
        <f t="shared" si="23"/>
        <v>97</v>
      </c>
    </row>
    <row r="710" spans="2:10" ht="15.5" x14ac:dyDescent="0.35">
      <c r="B710" s="3" t="s">
        <v>4651</v>
      </c>
      <c r="C710" s="16" t="s">
        <v>4652</v>
      </c>
      <c r="D710" s="17" t="s">
        <v>861</v>
      </c>
      <c r="E710" s="16" t="s">
        <v>4653</v>
      </c>
      <c r="F710" s="17" t="s">
        <v>4654</v>
      </c>
      <c r="G710" s="3" t="s">
        <v>4655</v>
      </c>
      <c r="H710" s="6">
        <v>0</v>
      </c>
      <c r="I710">
        <f t="shared" si="22"/>
        <v>99</v>
      </c>
      <c r="J710">
        <f t="shared" si="23"/>
        <v>97</v>
      </c>
    </row>
    <row r="711" spans="2:10" ht="15.5" x14ac:dyDescent="0.35">
      <c r="B711" s="3" t="s">
        <v>4656</v>
      </c>
      <c r="C711" s="16" t="s">
        <v>4657</v>
      </c>
      <c r="D711" s="17" t="s">
        <v>861</v>
      </c>
      <c r="E711" s="16" t="s">
        <v>4658</v>
      </c>
      <c r="F711" s="17" t="s">
        <v>4659</v>
      </c>
      <c r="G711" s="3" t="s">
        <v>4655</v>
      </c>
      <c r="H711" s="6">
        <v>10678.304</v>
      </c>
      <c r="I711">
        <f t="shared" si="22"/>
        <v>9</v>
      </c>
      <c r="J711">
        <f t="shared" si="23"/>
        <v>97</v>
      </c>
    </row>
    <row r="712" spans="2:10" ht="15.5" hidden="1" x14ac:dyDescent="0.35">
      <c r="B712" s="3" t="s">
        <v>4660</v>
      </c>
      <c r="C712" s="16" t="s">
        <v>4661</v>
      </c>
      <c r="D712" s="17" t="s">
        <v>861</v>
      </c>
      <c r="E712" s="16" t="s">
        <v>4662</v>
      </c>
      <c r="F712" s="17" t="s">
        <v>1294</v>
      </c>
      <c r="G712" s="3" t="s">
        <v>4655</v>
      </c>
      <c r="H712" s="6">
        <v>0</v>
      </c>
      <c r="I712">
        <f t="shared" si="22"/>
        <v>89</v>
      </c>
      <c r="J712">
        <f t="shared" si="23"/>
        <v>73</v>
      </c>
    </row>
    <row r="713" spans="2:10" ht="15.5" x14ac:dyDescent="0.35">
      <c r="B713" s="3" t="s">
        <v>4663</v>
      </c>
      <c r="C713" s="16" t="s">
        <v>4664</v>
      </c>
      <c r="D713" s="17" t="s">
        <v>861</v>
      </c>
      <c r="E713" s="16" t="s">
        <v>4665</v>
      </c>
      <c r="F713" s="17" t="s">
        <v>4666</v>
      </c>
      <c r="G713" s="3" t="s">
        <v>4655</v>
      </c>
      <c r="H713" s="6">
        <v>7880.2880000000005</v>
      </c>
      <c r="I713">
        <f t="shared" si="22"/>
        <v>16</v>
      </c>
      <c r="J713">
        <f t="shared" si="23"/>
        <v>97</v>
      </c>
    </row>
    <row r="714" spans="2:10" ht="15.5" x14ac:dyDescent="0.35">
      <c r="B714" s="3" t="s">
        <v>4667</v>
      </c>
      <c r="C714" s="16" t="s">
        <v>4668</v>
      </c>
      <c r="D714" s="17" t="s">
        <v>860</v>
      </c>
      <c r="E714" s="16" t="s">
        <v>4669</v>
      </c>
      <c r="F714" s="17" t="s">
        <v>4670</v>
      </c>
      <c r="G714" s="3" t="s">
        <v>4671</v>
      </c>
      <c r="H714" s="6">
        <v>8524.159999999998</v>
      </c>
      <c r="I714">
        <f t="shared" si="22"/>
        <v>17</v>
      </c>
      <c r="J714">
        <f t="shared" si="23"/>
        <v>97</v>
      </c>
    </row>
    <row r="715" spans="2:10" ht="15.5" x14ac:dyDescent="0.35">
      <c r="B715" s="3" t="s">
        <v>4672</v>
      </c>
      <c r="C715" s="16" t="s">
        <v>4673</v>
      </c>
      <c r="D715" s="17" t="s">
        <v>861</v>
      </c>
      <c r="E715" s="16" t="s">
        <v>4674</v>
      </c>
      <c r="F715" s="17" t="s">
        <v>4675</v>
      </c>
      <c r="G715" s="3" t="s">
        <v>4676</v>
      </c>
      <c r="H715" s="6">
        <v>13217.92</v>
      </c>
      <c r="I715">
        <f t="shared" si="22"/>
        <v>12</v>
      </c>
      <c r="J715">
        <f t="shared" si="23"/>
        <v>97</v>
      </c>
    </row>
    <row r="716" spans="2:10" ht="15.5" x14ac:dyDescent="0.35">
      <c r="B716" s="3" t="s">
        <v>4677</v>
      </c>
      <c r="C716" s="16" t="s">
        <v>4678</v>
      </c>
      <c r="D716" s="17" t="s">
        <v>861</v>
      </c>
      <c r="E716" s="16" t="s">
        <v>4679</v>
      </c>
      <c r="F716" s="17" t="s">
        <v>4680</v>
      </c>
      <c r="G716" s="3" t="s">
        <v>4681</v>
      </c>
      <c r="H716" s="6">
        <v>13217.92</v>
      </c>
      <c r="I716">
        <f t="shared" si="22"/>
        <v>6</v>
      </c>
      <c r="J716">
        <f t="shared" si="23"/>
        <v>97</v>
      </c>
    </row>
    <row r="717" spans="2:10" ht="15.5" x14ac:dyDescent="0.35">
      <c r="B717" s="3" t="s">
        <v>4682</v>
      </c>
      <c r="C717" s="16" t="s">
        <v>4683</v>
      </c>
      <c r="D717" s="17" t="s">
        <v>861</v>
      </c>
      <c r="E717" s="16" t="s">
        <v>4684</v>
      </c>
      <c r="F717" s="17" t="s">
        <v>4685</v>
      </c>
      <c r="G717" s="3" t="s">
        <v>4681</v>
      </c>
      <c r="H717" s="6">
        <v>18237.567999999999</v>
      </c>
      <c r="I717">
        <f t="shared" si="22"/>
        <v>98</v>
      </c>
      <c r="J717">
        <f t="shared" si="23"/>
        <v>97</v>
      </c>
    </row>
    <row r="718" spans="2:10" ht="15.5" x14ac:dyDescent="0.35">
      <c r="B718" s="3" t="s">
        <v>4686</v>
      </c>
      <c r="C718" s="16" t="s">
        <v>4687</v>
      </c>
      <c r="D718" s="17" t="s">
        <v>860</v>
      </c>
      <c r="E718" s="16" t="s">
        <v>4688</v>
      </c>
      <c r="F718" s="17" t="s">
        <v>4689</v>
      </c>
      <c r="G718" s="3" t="s">
        <v>4681</v>
      </c>
      <c r="H718" s="6">
        <v>14218.688</v>
      </c>
      <c r="I718">
        <f t="shared" si="22"/>
        <v>11</v>
      </c>
      <c r="J718">
        <f t="shared" si="23"/>
        <v>97</v>
      </c>
    </row>
    <row r="719" spans="2:10" ht="15.5" x14ac:dyDescent="0.35">
      <c r="B719" s="3" t="s">
        <v>4690</v>
      </c>
      <c r="C719" s="16" t="s">
        <v>4691</v>
      </c>
      <c r="D719" s="17" t="s">
        <v>860</v>
      </c>
      <c r="E719" s="16" t="s">
        <v>4692</v>
      </c>
      <c r="F719" s="17" t="s">
        <v>4693</v>
      </c>
      <c r="G719" s="3" t="s">
        <v>4694</v>
      </c>
      <c r="H719" s="6">
        <v>7714.6080000000002</v>
      </c>
      <c r="I719">
        <f t="shared" si="22"/>
        <v>7</v>
      </c>
      <c r="J719">
        <f t="shared" si="23"/>
        <v>97</v>
      </c>
    </row>
    <row r="720" spans="2:10" ht="15.5" x14ac:dyDescent="0.35">
      <c r="B720" s="3" t="s">
        <v>4695</v>
      </c>
      <c r="C720" s="16" t="s">
        <v>4696</v>
      </c>
      <c r="D720" s="17" t="s">
        <v>861</v>
      </c>
      <c r="E720" s="16" t="s">
        <v>4697</v>
      </c>
      <c r="F720" s="17" t="s">
        <v>4698</v>
      </c>
      <c r="G720" s="3" t="s">
        <v>4694</v>
      </c>
      <c r="H720" s="6">
        <v>8356.351999999999</v>
      </c>
      <c r="I720">
        <f t="shared" si="22"/>
        <v>15</v>
      </c>
      <c r="J720">
        <f t="shared" si="23"/>
        <v>97</v>
      </c>
    </row>
    <row r="721" spans="2:10" ht="15.5" x14ac:dyDescent="0.35">
      <c r="B721" s="3" t="s">
        <v>4699</v>
      </c>
      <c r="C721" s="16" t="s">
        <v>4700</v>
      </c>
      <c r="D721" s="17" t="s">
        <v>861</v>
      </c>
      <c r="E721" s="16" t="s">
        <v>4701</v>
      </c>
      <c r="F721" s="17" t="s">
        <v>4702</v>
      </c>
      <c r="G721" s="3" t="s">
        <v>4703</v>
      </c>
      <c r="H721" s="6">
        <v>11913.759999999998</v>
      </c>
      <c r="I721">
        <f t="shared" si="22"/>
        <v>11</v>
      </c>
      <c r="J721">
        <f t="shared" si="23"/>
        <v>97</v>
      </c>
    </row>
    <row r="722" spans="2:10" ht="15.5" x14ac:dyDescent="0.35">
      <c r="B722" s="3" t="s">
        <v>4704</v>
      </c>
      <c r="C722" s="16" t="s">
        <v>4705</v>
      </c>
      <c r="D722" s="17" t="s">
        <v>861</v>
      </c>
      <c r="E722" s="16" t="s">
        <v>4706</v>
      </c>
      <c r="F722" s="17" t="s">
        <v>4707</v>
      </c>
      <c r="G722" s="3" t="s">
        <v>4694</v>
      </c>
      <c r="H722" s="6">
        <v>14408.079999999998</v>
      </c>
      <c r="I722">
        <f t="shared" si="22"/>
        <v>13</v>
      </c>
      <c r="J722">
        <f t="shared" si="23"/>
        <v>97</v>
      </c>
    </row>
    <row r="723" spans="2:10" ht="15.5" x14ac:dyDescent="0.35">
      <c r="B723" s="3" t="s">
        <v>4708</v>
      </c>
      <c r="C723" s="16" t="s">
        <v>4709</v>
      </c>
      <c r="D723" s="17" t="s">
        <v>861</v>
      </c>
      <c r="E723" s="16" t="s">
        <v>4710</v>
      </c>
      <c r="F723" s="17" t="s">
        <v>4711</v>
      </c>
      <c r="G723" s="3" t="s">
        <v>4694</v>
      </c>
      <c r="H723" s="6">
        <v>8537.232</v>
      </c>
      <c r="I723">
        <f t="shared" si="22"/>
        <v>7</v>
      </c>
      <c r="J723">
        <f t="shared" si="23"/>
        <v>97</v>
      </c>
    </row>
    <row r="724" spans="2:10" ht="15.5" x14ac:dyDescent="0.35">
      <c r="B724" s="3" t="s">
        <v>4712</v>
      </c>
      <c r="C724" s="16" t="s">
        <v>4713</v>
      </c>
      <c r="D724" s="17" t="s">
        <v>861</v>
      </c>
      <c r="E724" s="16" t="s">
        <v>4714</v>
      </c>
      <c r="F724" s="17" t="s">
        <v>4715</v>
      </c>
      <c r="G724" s="3" t="s">
        <v>4694</v>
      </c>
      <c r="H724" s="6">
        <v>12172.464</v>
      </c>
      <c r="I724">
        <f t="shared" si="22"/>
        <v>21</v>
      </c>
      <c r="J724">
        <f t="shared" si="23"/>
        <v>97</v>
      </c>
    </row>
    <row r="725" spans="2:10" ht="15.5" x14ac:dyDescent="0.35">
      <c r="B725" s="3" t="s">
        <v>4716</v>
      </c>
      <c r="C725" s="16" t="s">
        <v>4717</v>
      </c>
      <c r="D725" s="17" t="s">
        <v>860</v>
      </c>
      <c r="E725" s="16" t="s">
        <v>4718</v>
      </c>
      <c r="F725" s="17" t="s">
        <v>4503</v>
      </c>
      <c r="G725" s="3" t="s">
        <v>3624</v>
      </c>
      <c r="H725" s="6">
        <v>7450.1279999999997</v>
      </c>
      <c r="I725">
        <f t="shared" si="22"/>
        <v>16</v>
      </c>
      <c r="J725">
        <f t="shared" si="23"/>
        <v>97</v>
      </c>
    </row>
    <row r="726" spans="2:10" ht="15.5" x14ac:dyDescent="0.35">
      <c r="B726" s="3" t="s">
        <v>4719</v>
      </c>
      <c r="C726" s="16" t="s">
        <v>4720</v>
      </c>
      <c r="D726" s="17" t="s">
        <v>860</v>
      </c>
      <c r="E726" s="16" t="s">
        <v>4721</v>
      </c>
      <c r="F726" s="17" t="s">
        <v>4722</v>
      </c>
      <c r="G726" s="3" t="s">
        <v>3624</v>
      </c>
      <c r="H726" s="6">
        <v>6313.4719999999998</v>
      </c>
      <c r="I726">
        <f t="shared" si="22"/>
        <v>12</v>
      </c>
      <c r="J726">
        <f t="shared" si="23"/>
        <v>97</v>
      </c>
    </row>
    <row r="727" spans="2:10" ht="15.5" x14ac:dyDescent="0.35">
      <c r="B727" s="3" t="s">
        <v>4723</v>
      </c>
      <c r="C727" s="16" t="s">
        <v>4724</v>
      </c>
      <c r="D727" s="17" t="s">
        <v>860</v>
      </c>
      <c r="E727" s="16" t="s">
        <v>4725</v>
      </c>
      <c r="F727" s="17" t="s">
        <v>4726</v>
      </c>
      <c r="G727" s="3" t="s">
        <v>3624</v>
      </c>
      <c r="H727" s="6">
        <v>10418.688</v>
      </c>
      <c r="I727">
        <f t="shared" si="22"/>
        <v>10</v>
      </c>
      <c r="J727">
        <f t="shared" si="23"/>
        <v>97</v>
      </c>
    </row>
    <row r="728" spans="2:10" ht="15.5" x14ac:dyDescent="0.35">
      <c r="B728" s="3" t="s">
        <v>4727</v>
      </c>
      <c r="C728" s="16" t="s">
        <v>4728</v>
      </c>
      <c r="D728" s="17" t="s">
        <v>860</v>
      </c>
      <c r="E728" s="16" t="s">
        <v>4729</v>
      </c>
      <c r="F728" s="17" t="s">
        <v>4730</v>
      </c>
      <c r="G728" s="3" t="s">
        <v>3624</v>
      </c>
      <c r="H728" s="6">
        <v>13133.407999999999</v>
      </c>
      <c r="I728">
        <f t="shared" si="22"/>
        <v>7</v>
      </c>
      <c r="J728">
        <f t="shared" si="23"/>
        <v>97</v>
      </c>
    </row>
    <row r="729" spans="2:10" ht="15.5" x14ac:dyDescent="0.35">
      <c r="B729" s="3" t="s">
        <v>4731</v>
      </c>
      <c r="C729" s="16" t="s">
        <v>4732</v>
      </c>
      <c r="D729" s="17" t="s">
        <v>860</v>
      </c>
      <c r="E729" s="16" t="s">
        <v>4733</v>
      </c>
      <c r="F729" s="17" t="s">
        <v>4734</v>
      </c>
      <c r="G729" s="3" t="s">
        <v>4735</v>
      </c>
      <c r="H729" s="6">
        <v>10757.951999999999</v>
      </c>
      <c r="I729">
        <f t="shared" si="22"/>
        <v>14</v>
      </c>
      <c r="J729">
        <f t="shared" si="23"/>
        <v>97</v>
      </c>
    </row>
    <row r="730" spans="2:10" ht="15.5" x14ac:dyDescent="0.35">
      <c r="B730" s="3" t="s">
        <v>4736</v>
      </c>
      <c r="C730" s="16" t="s">
        <v>4737</v>
      </c>
      <c r="D730" s="17" t="s">
        <v>861</v>
      </c>
      <c r="E730" s="16" t="s">
        <v>4738</v>
      </c>
      <c r="F730" s="17" t="s">
        <v>4739</v>
      </c>
      <c r="G730" s="3" t="s">
        <v>3968</v>
      </c>
      <c r="H730" s="6">
        <v>5602.72</v>
      </c>
      <c r="I730">
        <f t="shared" si="22"/>
        <v>17</v>
      </c>
      <c r="J730">
        <f t="shared" si="23"/>
        <v>97</v>
      </c>
    </row>
    <row r="731" spans="2:10" ht="15.5" x14ac:dyDescent="0.35">
      <c r="B731" s="3" t="s">
        <v>4740</v>
      </c>
      <c r="C731" s="16" t="s">
        <v>4741</v>
      </c>
      <c r="D731" s="17" t="s">
        <v>861</v>
      </c>
      <c r="E731" s="16" t="s">
        <v>4742</v>
      </c>
      <c r="F731" s="17" t="s">
        <v>4743</v>
      </c>
      <c r="G731" s="3" t="s">
        <v>4735</v>
      </c>
      <c r="H731" s="6">
        <v>11196.016</v>
      </c>
      <c r="I731">
        <f t="shared" si="22"/>
        <v>6</v>
      </c>
      <c r="J731">
        <f t="shared" si="23"/>
        <v>97</v>
      </c>
    </row>
    <row r="732" spans="2:10" ht="15.5" x14ac:dyDescent="0.35">
      <c r="B732" s="3" t="s">
        <v>4744</v>
      </c>
      <c r="C732" s="16" t="s">
        <v>4745</v>
      </c>
      <c r="D732" s="17" t="s">
        <v>861</v>
      </c>
      <c r="E732" s="16" t="s">
        <v>4746</v>
      </c>
      <c r="F732" s="17" t="s">
        <v>4747</v>
      </c>
      <c r="G732" s="3" t="s">
        <v>4735</v>
      </c>
      <c r="H732" s="6">
        <v>16545.2</v>
      </c>
      <c r="I732">
        <f t="shared" si="22"/>
        <v>11</v>
      </c>
      <c r="J732">
        <f t="shared" si="23"/>
        <v>97</v>
      </c>
    </row>
    <row r="733" spans="2:10" ht="15.5" hidden="1" x14ac:dyDescent="0.35">
      <c r="B733" s="3" t="s">
        <v>4748</v>
      </c>
      <c r="C733" s="16" t="s">
        <v>4749</v>
      </c>
      <c r="D733" s="17" t="s">
        <v>861</v>
      </c>
      <c r="E733" s="16" t="s">
        <v>4750</v>
      </c>
      <c r="F733" s="17" t="s">
        <v>4751</v>
      </c>
      <c r="G733" s="3" t="s">
        <v>3968</v>
      </c>
      <c r="H733" s="6">
        <v>6828.7519999999995</v>
      </c>
      <c r="I733">
        <f t="shared" si="22"/>
        <v>89</v>
      </c>
      <c r="J733">
        <f t="shared" si="23"/>
        <v>73</v>
      </c>
    </row>
    <row r="734" spans="2:10" ht="15.5" x14ac:dyDescent="0.35">
      <c r="B734" s="3" t="s">
        <v>4752</v>
      </c>
      <c r="C734" s="16" t="s">
        <v>4753</v>
      </c>
      <c r="D734" s="17" t="s">
        <v>860</v>
      </c>
      <c r="E734" s="16" t="s">
        <v>4754</v>
      </c>
      <c r="F734" s="17" t="s">
        <v>4755</v>
      </c>
      <c r="G734" s="3" t="s">
        <v>4735</v>
      </c>
      <c r="H734" s="6">
        <v>0</v>
      </c>
      <c r="I734">
        <f t="shared" si="22"/>
        <v>15</v>
      </c>
      <c r="J734">
        <f t="shared" si="23"/>
        <v>97</v>
      </c>
    </row>
    <row r="735" spans="2:10" ht="15.5" x14ac:dyDescent="0.35">
      <c r="B735" s="3" t="s">
        <v>4756</v>
      </c>
      <c r="C735" s="16" t="s">
        <v>4757</v>
      </c>
      <c r="D735" s="17" t="s">
        <v>860</v>
      </c>
      <c r="E735" s="16" t="s">
        <v>4758</v>
      </c>
      <c r="F735" s="17" t="s">
        <v>4759</v>
      </c>
      <c r="G735" s="3" t="s">
        <v>3739</v>
      </c>
      <c r="H735" s="6">
        <v>11455.632</v>
      </c>
      <c r="I735">
        <f t="shared" si="22"/>
        <v>8</v>
      </c>
      <c r="J735">
        <f t="shared" si="23"/>
        <v>97</v>
      </c>
    </row>
    <row r="736" spans="2:10" ht="15.5" x14ac:dyDescent="0.35">
      <c r="B736" s="3" t="s">
        <v>4760</v>
      </c>
      <c r="C736" s="16" t="s">
        <v>4761</v>
      </c>
      <c r="D736" s="17" t="s">
        <v>861</v>
      </c>
      <c r="E736" s="16" t="s">
        <v>4762</v>
      </c>
      <c r="F736" s="17" t="s">
        <v>4763</v>
      </c>
      <c r="G736" s="3" t="s">
        <v>3739</v>
      </c>
      <c r="H736" s="6">
        <v>26478.399999999998</v>
      </c>
      <c r="I736">
        <f t="shared" si="22"/>
        <v>8</v>
      </c>
      <c r="J736">
        <f t="shared" si="23"/>
        <v>97</v>
      </c>
    </row>
    <row r="737" spans="2:10" ht="15.5" x14ac:dyDescent="0.35">
      <c r="B737" s="3" t="s">
        <v>4764</v>
      </c>
      <c r="C737" s="16" t="s">
        <v>4765</v>
      </c>
      <c r="D737" s="17" t="s">
        <v>861</v>
      </c>
      <c r="E737" s="16" t="s">
        <v>4766</v>
      </c>
      <c r="F737" s="17" t="s">
        <v>4767</v>
      </c>
      <c r="G737" s="3" t="s">
        <v>3739</v>
      </c>
      <c r="H737" s="6">
        <v>79435.199999999983</v>
      </c>
      <c r="I737">
        <f t="shared" si="22"/>
        <v>98</v>
      </c>
      <c r="J737">
        <f t="shared" si="23"/>
        <v>97</v>
      </c>
    </row>
    <row r="738" spans="2:10" ht="15.5" x14ac:dyDescent="0.35">
      <c r="B738" s="3" t="s">
        <v>4768</v>
      </c>
      <c r="C738" s="16" t="s">
        <v>4769</v>
      </c>
      <c r="D738" s="17" t="s">
        <v>860</v>
      </c>
      <c r="E738" s="16" t="s">
        <v>4770</v>
      </c>
      <c r="F738" s="17" t="s">
        <v>4771</v>
      </c>
      <c r="G738" s="3" t="s">
        <v>4772</v>
      </c>
      <c r="H738" s="6">
        <v>0</v>
      </c>
      <c r="I738">
        <f t="shared" si="22"/>
        <v>14</v>
      </c>
      <c r="J738">
        <f t="shared" si="23"/>
        <v>97</v>
      </c>
    </row>
    <row r="739" spans="2:10" ht="15.5" x14ac:dyDescent="0.35">
      <c r="B739" s="3" t="s">
        <v>4773</v>
      </c>
      <c r="C739" s="16" t="s">
        <v>4774</v>
      </c>
      <c r="D739" s="17" t="s">
        <v>860</v>
      </c>
      <c r="E739" s="16" t="s">
        <v>4775</v>
      </c>
      <c r="F739" s="17" t="s">
        <v>4776</v>
      </c>
      <c r="G739" s="3" t="s">
        <v>4047</v>
      </c>
      <c r="H739" s="6">
        <v>6103.1039999999994</v>
      </c>
      <c r="I739">
        <f t="shared" si="22"/>
        <v>21</v>
      </c>
      <c r="J739">
        <f t="shared" si="23"/>
        <v>97</v>
      </c>
    </row>
    <row r="740" spans="2:10" ht="15.5" x14ac:dyDescent="0.35">
      <c r="B740" s="3" t="s">
        <v>4777</v>
      </c>
      <c r="C740" s="16" t="s">
        <v>4778</v>
      </c>
      <c r="D740" s="17" t="s">
        <v>860</v>
      </c>
      <c r="E740" s="16" t="s">
        <v>4779</v>
      </c>
      <c r="F740" s="17" t="s">
        <v>4780</v>
      </c>
      <c r="G740" s="3" t="s">
        <v>4047</v>
      </c>
      <c r="H740" s="6">
        <v>11838.064</v>
      </c>
      <c r="I740">
        <f t="shared" si="22"/>
        <v>16</v>
      </c>
      <c r="J740">
        <f t="shared" si="23"/>
        <v>97</v>
      </c>
    </row>
    <row r="741" spans="2:10" ht="15.5" x14ac:dyDescent="0.35">
      <c r="B741" s="3" t="s">
        <v>4781</v>
      </c>
      <c r="C741" s="16" t="s">
        <v>4782</v>
      </c>
      <c r="D741" s="17" t="s">
        <v>861</v>
      </c>
      <c r="E741" s="16" t="s">
        <v>4783</v>
      </c>
      <c r="F741" s="17" t="s">
        <v>4784</v>
      </c>
      <c r="G741" s="3" t="s">
        <v>4047</v>
      </c>
      <c r="H741" s="6">
        <v>9015.7279999999992</v>
      </c>
      <c r="I741">
        <f t="shared" si="22"/>
        <v>22</v>
      </c>
      <c r="J741">
        <f t="shared" si="23"/>
        <v>97</v>
      </c>
    </row>
    <row r="742" spans="2:10" ht="15.5" hidden="1" x14ac:dyDescent="0.35">
      <c r="B742" s="3" t="s">
        <v>4785</v>
      </c>
      <c r="C742" s="16" t="s">
        <v>4786</v>
      </c>
      <c r="D742" s="17" t="s">
        <v>861</v>
      </c>
      <c r="E742" s="16" t="s">
        <v>4787</v>
      </c>
      <c r="F742" s="17" t="s">
        <v>1157</v>
      </c>
      <c r="G742" s="3" t="s">
        <v>4047</v>
      </c>
      <c r="H742" s="6">
        <v>12565.84</v>
      </c>
      <c r="I742">
        <f t="shared" si="22"/>
        <v>85</v>
      </c>
      <c r="J742">
        <f t="shared" si="23"/>
        <v>73</v>
      </c>
    </row>
    <row r="743" spans="2:10" ht="15.5" x14ac:dyDescent="0.35">
      <c r="B743" s="3" t="s">
        <v>4788</v>
      </c>
      <c r="C743" s="16" t="s">
        <v>4789</v>
      </c>
      <c r="D743" s="17" t="s">
        <v>861</v>
      </c>
      <c r="E743" s="16" t="s">
        <v>4790</v>
      </c>
      <c r="F743" s="17" t="s">
        <v>1673</v>
      </c>
      <c r="G743" s="3" t="s">
        <v>4047</v>
      </c>
      <c r="H743" s="6">
        <v>7862.0479999999998</v>
      </c>
      <c r="I743">
        <f t="shared" si="22"/>
        <v>3</v>
      </c>
      <c r="J743">
        <f t="shared" si="23"/>
        <v>97</v>
      </c>
    </row>
    <row r="744" spans="2:10" ht="15.5" x14ac:dyDescent="0.35">
      <c r="B744" s="3" t="s">
        <v>4791</v>
      </c>
      <c r="C744" s="16" t="s">
        <v>4792</v>
      </c>
      <c r="D744" s="17" t="s">
        <v>861</v>
      </c>
      <c r="E744" s="16" t="s">
        <v>4793</v>
      </c>
      <c r="F744" s="17" t="s">
        <v>4794</v>
      </c>
      <c r="G744" s="3" t="s">
        <v>4795</v>
      </c>
      <c r="H744" s="6">
        <v>8591.6479999999992</v>
      </c>
      <c r="I744">
        <f t="shared" si="22"/>
        <v>16</v>
      </c>
      <c r="J744">
        <f t="shared" si="23"/>
        <v>97</v>
      </c>
    </row>
    <row r="745" spans="2:10" ht="15.5" x14ac:dyDescent="0.35">
      <c r="B745" s="3" t="s">
        <v>4796</v>
      </c>
      <c r="C745" s="16" t="s">
        <v>4797</v>
      </c>
      <c r="D745" s="17" t="s">
        <v>860</v>
      </c>
      <c r="E745" s="16" t="s">
        <v>4798</v>
      </c>
      <c r="F745" s="17" t="s">
        <v>1627</v>
      </c>
      <c r="G745" s="3" t="s">
        <v>4799</v>
      </c>
      <c r="H745" s="6">
        <v>8250.56</v>
      </c>
      <c r="I745">
        <f t="shared" si="22"/>
        <v>15</v>
      </c>
      <c r="J745">
        <f t="shared" si="23"/>
        <v>97</v>
      </c>
    </row>
    <row r="746" spans="2:10" ht="15.5" x14ac:dyDescent="0.35">
      <c r="B746" s="3" t="s">
        <v>4800</v>
      </c>
      <c r="C746" s="16" t="s">
        <v>4801</v>
      </c>
      <c r="D746" s="17" t="s">
        <v>861</v>
      </c>
      <c r="E746" s="16" t="s">
        <v>4802</v>
      </c>
      <c r="F746" s="17" t="s">
        <v>4803</v>
      </c>
      <c r="G746" s="3" t="s">
        <v>4047</v>
      </c>
      <c r="H746" s="6">
        <v>5602.72</v>
      </c>
      <c r="I746">
        <f t="shared" si="22"/>
        <v>15</v>
      </c>
      <c r="J746">
        <f t="shared" si="23"/>
        <v>97</v>
      </c>
    </row>
    <row r="747" spans="2:10" ht="15.5" x14ac:dyDescent="0.35">
      <c r="B747" s="3" t="s">
        <v>4804</v>
      </c>
      <c r="C747" s="16" t="s">
        <v>4805</v>
      </c>
      <c r="D747" s="17" t="s">
        <v>861</v>
      </c>
      <c r="E747" s="16" t="s">
        <v>4806</v>
      </c>
      <c r="F747" s="17" t="s">
        <v>1147</v>
      </c>
      <c r="G747" s="3" t="s">
        <v>4799</v>
      </c>
      <c r="H747" s="6">
        <v>5982.72</v>
      </c>
      <c r="I747">
        <f t="shared" si="22"/>
        <v>8</v>
      </c>
      <c r="J747">
        <f t="shared" si="23"/>
        <v>97</v>
      </c>
    </row>
    <row r="748" spans="2:10" ht="15.5" x14ac:dyDescent="0.35">
      <c r="B748" s="3" t="s">
        <v>4807</v>
      </c>
      <c r="C748" s="16" t="s">
        <v>4808</v>
      </c>
      <c r="D748" s="17" t="s">
        <v>860</v>
      </c>
      <c r="E748" s="16" t="s">
        <v>4809</v>
      </c>
      <c r="F748" s="17" t="s">
        <v>4810</v>
      </c>
      <c r="G748" s="3" t="s">
        <v>4799</v>
      </c>
      <c r="H748" s="6">
        <v>7862.0479999999998</v>
      </c>
      <c r="I748">
        <f t="shared" si="22"/>
        <v>13</v>
      </c>
      <c r="J748">
        <f t="shared" si="23"/>
        <v>97</v>
      </c>
    </row>
    <row r="749" spans="2:10" ht="15.5" x14ac:dyDescent="0.35">
      <c r="B749" s="3" t="s">
        <v>4811</v>
      </c>
      <c r="C749" s="16" t="s">
        <v>4812</v>
      </c>
      <c r="D749" s="17" t="s">
        <v>861</v>
      </c>
      <c r="E749" s="16" t="s">
        <v>4813</v>
      </c>
      <c r="F749" s="17" t="s">
        <v>4814</v>
      </c>
      <c r="G749" s="3" t="s">
        <v>4815</v>
      </c>
      <c r="H749" s="6">
        <v>0</v>
      </c>
      <c r="I749">
        <f t="shared" si="22"/>
        <v>11</v>
      </c>
      <c r="J749">
        <f t="shared" si="23"/>
        <v>97</v>
      </c>
    </row>
    <row r="750" spans="2:10" ht="15.5" x14ac:dyDescent="0.35">
      <c r="B750" s="3" t="s">
        <v>4816</v>
      </c>
      <c r="C750" s="16" t="s">
        <v>4817</v>
      </c>
      <c r="D750" s="17" t="s">
        <v>860</v>
      </c>
      <c r="E750" s="16" t="s">
        <v>4818</v>
      </c>
      <c r="F750" s="17" t="s">
        <v>4819</v>
      </c>
      <c r="G750" s="3" t="s">
        <v>4815</v>
      </c>
      <c r="H750" s="6">
        <v>6639.6639999999998</v>
      </c>
      <c r="I750">
        <f t="shared" si="22"/>
        <v>11</v>
      </c>
      <c r="J750">
        <f t="shared" si="23"/>
        <v>97</v>
      </c>
    </row>
    <row r="751" spans="2:10" ht="15.5" x14ac:dyDescent="0.35">
      <c r="B751" s="3" t="s">
        <v>4820</v>
      </c>
      <c r="C751" s="16" t="s">
        <v>4821</v>
      </c>
      <c r="D751" s="17" t="s">
        <v>861</v>
      </c>
      <c r="E751" s="16" t="s">
        <v>4822</v>
      </c>
      <c r="F751" s="17" t="s">
        <v>4823</v>
      </c>
      <c r="G751" s="3" t="s">
        <v>4824</v>
      </c>
      <c r="H751" s="6">
        <v>10882.592000000001</v>
      </c>
      <c r="I751">
        <f t="shared" si="22"/>
        <v>14</v>
      </c>
      <c r="J751">
        <f t="shared" si="23"/>
        <v>97</v>
      </c>
    </row>
    <row r="752" spans="2:10" ht="15.5" x14ac:dyDescent="0.35">
      <c r="B752" s="3" t="s">
        <v>4825</v>
      </c>
      <c r="C752" s="16" t="s">
        <v>4826</v>
      </c>
      <c r="D752" s="17" t="s">
        <v>861</v>
      </c>
      <c r="E752" s="16" t="s">
        <v>4827</v>
      </c>
      <c r="F752" s="17" t="s">
        <v>4828</v>
      </c>
      <c r="G752" s="3" t="s">
        <v>4824</v>
      </c>
      <c r="H752" s="6">
        <v>13995.552</v>
      </c>
      <c r="I752">
        <f t="shared" si="22"/>
        <v>12</v>
      </c>
      <c r="J752">
        <f t="shared" si="23"/>
        <v>97</v>
      </c>
    </row>
    <row r="753" spans="2:10" ht="15.5" x14ac:dyDescent="0.35">
      <c r="B753" s="3" t="s">
        <v>4829</v>
      </c>
      <c r="C753" s="16" t="s">
        <v>4830</v>
      </c>
      <c r="D753" s="17" t="s">
        <v>861</v>
      </c>
      <c r="E753" s="16" t="s">
        <v>4831</v>
      </c>
      <c r="F753" s="17" t="s">
        <v>4832</v>
      </c>
      <c r="G753" s="3" t="s">
        <v>4047</v>
      </c>
      <c r="H753" s="6">
        <v>12247.552</v>
      </c>
      <c r="I753">
        <f t="shared" si="22"/>
        <v>13</v>
      </c>
      <c r="J753">
        <f t="shared" si="23"/>
        <v>97</v>
      </c>
    </row>
    <row r="754" spans="2:10" ht="15.5" x14ac:dyDescent="0.35">
      <c r="B754" s="3" t="s">
        <v>4833</v>
      </c>
      <c r="C754" s="16" t="s">
        <v>4834</v>
      </c>
      <c r="D754" s="17" t="s">
        <v>861</v>
      </c>
      <c r="E754" s="16" t="s">
        <v>4835</v>
      </c>
      <c r="F754" s="17" t="s">
        <v>4836</v>
      </c>
      <c r="G754" s="3" t="s">
        <v>4815</v>
      </c>
      <c r="H754" s="6">
        <v>21182.719999999998</v>
      </c>
      <c r="I754">
        <f t="shared" si="22"/>
        <v>0</v>
      </c>
      <c r="J754">
        <f t="shared" si="23"/>
        <v>97</v>
      </c>
    </row>
    <row r="755" spans="2:10" ht="15.5" x14ac:dyDescent="0.35">
      <c r="B755" s="3" t="s">
        <v>4837</v>
      </c>
      <c r="C755" s="16" t="s">
        <v>4838</v>
      </c>
      <c r="D755" s="17" t="s">
        <v>860</v>
      </c>
      <c r="E755" s="16" t="s">
        <v>4839</v>
      </c>
      <c r="F755" s="17" t="s">
        <v>4840</v>
      </c>
      <c r="G755" s="3" t="s">
        <v>4824</v>
      </c>
      <c r="H755" s="6">
        <v>7862.0479999999998</v>
      </c>
      <c r="I755">
        <f t="shared" si="22"/>
        <v>15</v>
      </c>
      <c r="J755">
        <f t="shared" si="23"/>
        <v>97</v>
      </c>
    </row>
    <row r="756" spans="2:10" ht="15.5" x14ac:dyDescent="0.35">
      <c r="B756" s="3" t="s">
        <v>4841</v>
      </c>
      <c r="C756" s="16" t="s">
        <v>4842</v>
      </c>
      <c r="D756" s="17" t="s">
        <v>861</v>
      </c>
      <c r="E756" s="16" t="s">
        <v>4843</v>
      </c>
      <c r="F756" s="17" t="s">
        <v>4844</v>
      </c>
      <c r="G756" s="3" t="s">
        <v>4845</v>
      </c>
      <c r="H756" s="6">
        <v>15887.039999999999</v>
      </c>
      <c r="I756">
        <f t="shared" si="22"/>
        <v>15</v>
      </c>
      <c r="J756">
        <f t="shared" si="23"/>
        <v>97</v>
      </c>
    </row>
    <row r="757" spans="2:10" ht="15.5" x14ac:dyDescent="0.35">
      <c r="B757" s="3" t="s">
        <v>4846</v>
      </c>
      <c r="C757" s="16" t="s">
        <v>4847</v>
      </c>
      <c r="D757" s="17" t="s">
        <v>861</v>
      </c>
      <c r="E757" s="16" t="s">
        <v>4848</v>
      </c>
      <c r="F757" s="17" t="s">
        <v>4849</v>
      </c>
      <c r="G757" s="3" t="s">
        <v>4850</v>
      </c>
      <c r="H757" s="6">
        <v>8891.6959999999999</v>
      </c>
      <c r="I757">
        <f t="shared" si="22"/>
        <v>6</v>
      </c>
      <c r="J757">
        <f t="shared" si="23"/>
        <v>97</v>
      </c>
    </row>
    <row r="758" spans="2:10" ht="15.5" x14ac:dyDescent="0.35">
      <c r="B758" s="3" t="s">
        <v>4851</v>
      </c>
      <c r="C758" s="16" t="s">
        <v>4852</v>
      </c>
      <c r="D758" s="17" t="s">
        <v>861</v>
      </c>
      <c r="E758" s="16" t="s">
        <v>4853</v>
      </c>
      <c r="F758" s="17" t="s">
        <v>4854</v>
      </c>
      <c r="G758" s="3" t="s">
        <v>4772</v>
      </c>
      <c r="H758" s="6">
        <v>7024.8320000000003</v>
      </c>
      <c r="I758">
        <f t="shared" si="22"/>
        <v>16</v>
      </c>
      <c r="J758">
        <f t="shared" si="23"/>
        <v>97</v>
      </c>
    </row>
    <row r="759" spans="2:10" ht="15.5" x14ac:dyDescent="0.35">
      <c r="B759" s="3" t="s">
        <v>4855</v>
      </c>
      <c r="C759" s="16" t="s">
        <v>4856</v>
      </c>
      <c r="D759" s="17" t="s">
        <v>860</v>
      </c>
      <c r="E759" s="16" t="s">
        <v>4857</v>
      </c>
      <c r="F759" s="17" t="s">
        <v>4858</v>
      </c>
      <c r="G759" s="3" t="s">
        <v>4850</v>
      </c>
      <c r="H759" s="6">
        <v>7862.0479999999998</v>
      </c>
      <c r="I759">
        <f t="shared" si="22"/>
        <v>20</v>
      </c>
      <c r="J759">
        <f t="shared" si="23"/>
        <v>97</v>
      </c>
    </row>
    <row r="760" spans="2:10" ht="15.5" x14ac:dyDescent="0.35">
      <c r="B760" s="3" t="s">
        <v>4859</v>
      </c>
      <c r="C760" s="16" t="s">
        <v>4860</v>
      </c>
      <c r="D760" s="17" t="s">
        <v>861</v>
      </c>
      <c r="E760" s="16" t="s">
        <v>4861</v>
      </c>
      <c r="F760" s="17" t="s">
        <v>4862</v>
      </c>
      <c r="G760" s="3" t="s">
        <v>4863</v>
      </c>
      <c r="H760" s="6">
        <v>7299.3440000000001</v>
      </c>
      <c r="I760">
        <f t="shared" si="22"/>
        <v>16</v>
      </c>
      <c r="J760">
        <f t="shared" si="23"/>
        <v>97</v>
      </c>
    </row>
    <row r="761" spans="2:10" ht="15.5" x14ac:dyDescent="0.35">
      <c r="B761" s="3" t="s">
        <v>4864</v>
      </c>
      <c r="C761" s="16" t="s">
        <v>4865</v>
      </c>
      <c r="D761" s="17" t="s">
        <v>860</v>
      </c>
      <c r="E761" s="16" t="s">
        <v>4866</v>
      </c>
      <c r="F761" s="17" t="s">
        <v>4867</v>
      </c>
      <c r="G761" s="3" t="s">
        <v>4863</v>
      </c>
      <c r="H761" s="6">
        <v>8254.2079999999987</v>
      </c>
      <c r="I761">
        <f t="shared" si="22"/>
        <v>16</v>
      </c>
      <c r="J761">
        <f t="shared" si="23"/>
        <v>97</v>
      </c>
    </row>
    <row r="762" spans="2:10" ht="15.5" x14ac:dyDescent="0.35">
      <c r="B762" s="3" t="s">
        <v>4868</v>
      </c>
      <c r="C762" s="16" t="s">
        <v>4869</v>
      </c>
      <c r="D762" s="17" t="s">
        <v>861</v>
      </c>
      <c r="E762" s="16" t="s">
        <v>4870</v>
      </c>
      <c r="F762" s="17" t="s">
        <v>4871</v>
      </c>
      <c r="G762" s="3" t="s">
        <v>4863</v>
      </c>
      <c r="H762" s="6">
        <v>8591.6479999999992</v>
      </c>
      <c r="I762">
        <f t="shared" si="22"/>
        <v>7</v>
      </c>
      <c r="J762">
        <f t="shared" si="23"/>
        <v>97</v>
      </c>
    </row>
    <row r="763" spans="2:10" ht="15.5" x14ac:dyDescent="0.35">
      <c r="B763" s="3" t="s">
        <v>4872</v>
      </c>
      <c r="C763" s="16" t="s">
        <v>4873</v>
      </c>
      <c r="D763" s="17" t="s">
        <v>860</v>
      </c>
      <c r="E763" s="16" t="s">
        <v>4874</v>
      </c>
      <c r="F763" s="17" t="s">
        <v>4875</v>
      </c>
      <c r="G763" s="3" t="s">
        <v>4863</v>
      </c>
      <c r="H763" s="6">
        <v>7848.3680000000004</v>
      </c>
      <c r="I763">
        <f t="shared" si="22"/>
        <v>15</v>
      </c>
      <c r="J763">
        <f t="shared" si="23"/>
        <v>97</v>
      </c>
    </row>
    <row r="764" spans="2:10" ht="15.5" x14ac:dyDescent="0.35">
      <c r="B764" s="3" t="s">
        <v>4876</v>
      </c>
      <c r="C764" s="16" t="s">
        <v>4877</v>
      </c>
      <c r="D764" s="17" t="s">
        <v>860</v>
      </c>
      <c r="E764" s="16" t="s">
        <v>4878</v>
      </c>
      <c r="F764" s="17" t="s">
        <v>4879</v>
      </c>
      <c r="G764" s="3" t="s">
        <v>3873</v>
      </c>
      <c r="H764" s="6">
        <v>17623.792000000001</v>
      </c>
      <c r="I764">
        <f t="shared" si="22"/>
        <v>2</v>
      </c>
      <c r="J764">
        <f t="shared" si="23"/>
        <v>97</v>
      </c>
    </row>
    <row r="765" spans="2:10" ht="15.5" x14ac:dyDescent="0.35">
      <c r="B765" s="3" t="s">
        <v>4880</v>
      </c>
      <c r="C765" s="16" t="s">
        <v>4881</v>
      </c>
      <c r="D765" s="17" t="s">
        <v>861</v>
      </c>
      <c r="E765" s="16" t="s">
        <v>4882</v>
      </c>
      <c r="F765" s="17" t="s">
        <v>4883</v>
      </c>
      <c r="G765" s="3" t="s">
        <v>3873</v>
      </c>
      <c r="H765" s="6">
        <v>8339.9359999999997</v>
      </c>
      <c r="I765">
        <f t="shared" si="22"/>
        <v>16</v>
      </c>
      <c r="J765">
        <f t="shared" si="23"/>
        <v>97</v>
      </c>
    </row>
    <row r="766" spans="2:10" ht="15.5" x14ac:dyDescent="0.35">
      <c r="B766" s="3" t="s">
        <v>4884</v>
      </c>
      <c r="C766" s="16" t="s">
        <v>4885</v>
      </c>
      <c r="D766" s="17" t="s">
        <v>861</v>
      </c>
      <c r="E766" s="16" t="s">
        <v>4886</v>
      </c>
      <c r="F766" s="17" t="s">
        <v>4887</v>
      </c>
      <c r="G766" s="3" t="s">
        <v>3873</v>
      </c>
      <c r="H766" s="6">
        <v>8254.2079999999987</v>
      </c>
      <c r="I766">
        <f t="shared" si="22"/>
        <v>11</v>
      </c>
      <c r="J766">
        <f t="shared" si="23"/>
        <v>97</v>
      </c>
    </row>
    <row r="767" spans="2:10" ht="15.5" hidden="1" x14ac:dyDescent="0.35">
      <c r="B767" s="3" t="s">
        <v>4888</v>
      </c>
      <c r="C767" s="16" t="s">
        <v>4889</v>
      </c>
      <c r="D767" s="17" t="s">
        <v>861</v>
      </c>
      <c r="E767" s="16" t="s">
        <v>4890</v>
      </c>
      <c r="F767" s="17" t="s">
        <v>4222</v>
      </c>
      <c r="G767" s="3" t="s">
        <v>4891</v>
      </c>
      <c r="H767" s="6">
        <v>5602.72</v>
      </c>
      <c r="I767">
        <f t="shared" si="22"/>
        <v>89</v>
      </c>
      <c r="J767">
        <f t="shared" si="23"/>
        <v>73</v>
      </c>
    </row>
    <row r="768" spans="2:10" ht="15.5" x14ac:dyDescent="0.35">
      <c r="B768" s="3" t="s">
        <v>4892</v>
      </c>
      <c r="C768" s="16" t="s">
        <v>4893</v>
      </c>
      <c r="D768" s="17" t="s">
        <v>860</v>
      </c>
      <c r="E768" s="16" t="s">
        <v>4894</v>
      </c>
      <c r="F768" s="17" t="s">
        <v>4895</v>
      </c>
      <c r="G768" s="3" t="s">
        <v>4896</v>
      </c>
      <c r="H768" s="6">
        <v>12709.632</v>
      </c>
      <c r="I768">
        <f t="shared" si="22"/>
        <v>8</v>
      </c>
      <c r="J768">
        <f t="shared" si="23"/>
        <v>97</v>
      </c>
    </row>
    <row r="769" spans="2:10" ht="15.5" x14ac:dyDescent="0.35">
      <c r="B769" s="3" t="s">
        <v>4897</v>
      </c>
      <c r="C769" s="16" t="s">
        <v>4898</v>
      </c>
      <c r="D769" s="17" t="s">
        <v>860</v>
      </c>
      <c r="E769" s="16" t="s">
        <v>4899</v>
      </c>
      <c r="F769" s="17" t="s">
        <v>1631</v>
      </c>
      <c r="G769" s="3" t="s">
        <v>4896</v>
      </c>
      <c r="H769" s="6">
        <v>12250.288</v>
      </c>
      <c r="I769">
        <f t="shared" si="22"/>
        <v>12</v>
      </c>
      <c r="J769">
        <f t="shared" si="23"/>
        <v>97</v>
      </c>
    </row>
    <row r="770" spans="2:10" ht="15.5" x14ac:dyDescent="0.35">
      <c r="B770" s="3" t="s">
        <v>4900</v>
      </c>
      <c r="C770" s="16" t="s">
        <v>4901</v>
      </c>
      <c r="D770" s="17" t="s">
        <v>860</v>
      </c>
      <c r="E770" s="16" t="s">
        <v>4902</v>
      </c>
      <c r="F770" s="17" t="s">
        <v>4903</v>
      </c>
      <c r="G770" s="3" t="s">
        <v>4896</v>
      </c>
      <c r="H770" s="6">
        <v>0</v>
      </c>
      <c r="I770">
        <f t="shared" si="22"/>
        <v>18</v>
      </c>
      <c r="J770">
        <f t="shared" si="23"/>
        <v>97</v>
      </c>
    </row>
    <row r="771" spans="2:10" ht="15.5" x14ac:dyDescent="0.35">
      <c r="B771" s="3" t="s">
        <v>4904</v>
      </c>
      <c r="C771" s="16" t="s">
        <v>4905</v>
      </c>
      <c r="D771" s="17" t="s">
        <v>860</v>
      </c>
      <c r="E771" s="16" t="s">
        <v>4906</v>
      </c>
      <c r="F771" s="17" t="s">
        <v>4907</v>
      </c>
      <c r="G771" s="3" t="s">
        <v>4908</v>
      </c>
      <c r="H771" s="6">
        <v>0</v>
      </c>
      <c r="I771">
        <f t="shared" si="22"/>
        <v>3</v>
      </c>
      <c r="J771">
        <f t="shared" si="23"/>
        <v>97</v>
      </c>
    </row>
    <row r="772" spans="2:10" ht="15.5" hidden="1" x14ac:dyDescent="0.35">
      <c r="B772" s="3" t="s">
        <v>4909</v>
      </c>
      <c r="C772" s="16" t="s">
        <v>4910</v>
      </c>
      <c r="D772" s="17" t="s">
        <v>860</v>
      </c>
      <c r="E772" s="16" t="s">
        <v>4911</v>
      </c>
      <c r="F772" s="17" t="s">
        <v>4912</v>
      </c>
      <c r="G772" s="3" t="s">
        <v>4913</v>
      </c>
      <c r="H772" s="6">
        <v>17339.248</v>
      </c>
      <c r="I772">
        <f t="shared" ref="I772:I835" si="24">_xlfn.NUMBERVALUE(MID(C772,3,2))</f>
        <v>97</v>
      </c>
      <c r="J772">
        <f t="shared" ref="J772:J835" si="25">IF(I772&gt;25,IF(I772&lt;=97,73,97),97)</f>
        <v>73</v>
      </c>
    </row>
    <row r="773" spans="2:10" ht="15.5" x14ac:dyDescent="0.35">
      <c r="B773" s="3" t="s">
        <v>4914</v>
      </c>
      <c r="C773" s="16" t="s">
        <v>4915</v>
      </c>
      <c r="D773" s="17" t="s">
        <v>860</v>
      </c>
      <c r="E773" s="16" t="s">
        <v>4916</v>
      </c>
      <c r="F773" s="17" t="s">
        <v>4917</v>
      </c>
      <c r="G773" s="3" t="s">
        <v>4918</v>
      </c>
      <c r="H773" s="6">
        <v>18926.736000000001</v>
      </c>
      <c r="I773">
        <f t="shared" si="24"/>
        <v>9</v>
      </c>
      <c r="J773">
        <f t="shared" si="25"/>
        <v>97</v>
      </c>
    </row>
    <row r="774" spans="2:10" ht="15.5" x14ac:dyDescent="0.35">
      <c r="B774" s="3" t="s">
        <v>4919</v>
      </c>
      <c r="C774" s="16" t="s">
        <v>4920</v>
      </c>
      <c r="D774" s="17" t="s">
        <v>860</v>
      </c>
      <c r="E774" s="16" t="s">
        <v>4921</v>
      </c>
      <c r="F774" s="17" t="s">
        <v>4922</v>
      </c>
      <c r="G774" s="3" t="s">
        <v>4923</v>
      </c>
      <c r="H774" s="6">
        <v>12709.632</v>
      </c>
      <c r="I774">
        <f t="shared" si="24"/>
        <v>9</v>
      </c>
      <c r="J774">
        <f t="shared" si="25"/>
        <v>97</v>
      </c>
    </row>
    <row r="775" spans="2:10" ht="15.5" x14ac:dyDescent="0.35">
      <c r="B775" s="3" t="s">
        <v>4924</v>
      </c>
      <c r="C775" s="16" t="s">
        <v>4925</v>
      </c>
      <c r="D775" s="17" t="s">
        <v>861</v>
      </c>
      <c r="E775" s="16" t="s">
        <v>4926</v>
      </c>
      <c r="F775" s="17" t="s">
        <v>4927</v>
      </c>
      <c r="G775" s="3" t="s">
        <v>4923</v>
      </c>
      <c r="H775" s="6">
        <v>8322.9119999999984</v>
      </c>
      <c r="I775">
        <f t="shared" si="24"/>
        <v>15</v>
      </c>
      <c r="J775">
        <f t="shared" si="25"/>
        <v>97</v>
      </c>
    </row>
    <row r="776" spans="2:10" ht="15.5" x14ac:dyDescent="0.35">
      <c r="B776" s="3" t="s">
        <v>4928</v>
      </c>
      <c r="C776" s="16" t="s">
        <v>4929</v>
      </c>
      <c r="D776" s="17" t="s">
        <v>860</v>
      </c>
      <c r="E776" s="16" t="s">
        <v>4930</v>
      </c>
      <c r="F776" s="17" t="s">
        <v>4931</v>
      </c>
      <c r="G776" s="3" t="s">
        <v>4932</v>
      </c>
      <c r="H776" s="6">
        <v>30153.455999999998</v>
      </c>
      <c r="I776">
        <f t="shared" si="24"/>
        <v>10</v>
      </c>
      <c r="J776">
        <f t="shared" si="25"/>
        <v>97</v>
      </c>
    </row>
    <row r="777" spans="2:10" ht="15.5" x14ac:dyDescent="0.35">
      <c r="B777" s="3" t="s">
        <v>4933</v>
      </c>
      <c r="C777" s="16" t="s">
        <v>4934</v>
      </c>
      <c r="D777" s="17" t="s">
        <v>860</v>
      </c>
      <c r="E777" s="16" t="s">
        <v>4935</v>
      </c>
      <c r="F777" s="17" t="s">
        <v>3927</v>
      </c>
      <c r="G777" s="3" t="s">
        <v>4923</v>
      </c>
      <c r="H777" s="6">
        <v>7862.0479999999998</v>
      </c>
      <c r="I777">
        <f t="shared" si="24"/>
        <v>11</v>
      </c>
      <c r="J777">
        <f t="shared" si="25"/>
        <v>97</v>
      </c>
    </row>
    <row r="778" spans="2:10" ht="15.5" x14ac:dyDescent="0.35">
      <c r="B778" s="3" t="s">
        <v>4936</v>
      </c>
      <c r="C778" s="16" t="s">
        <v>4937</v>
      </c>
      <c r="D778" s="17" t="s">
        <v>860</v>
      </c>
      <c r="E778" s="16" t="s">
        <v>4938</v>
      </c>
      <c r="F778" s="17" t="s">
        <v>4939</v>
      </c>
      <c r="G778" s="3" t="s">
        <v>4940</v>
      </c>
      <c r="H778" s="6">
        <v>10591.359999999999</v>
      </c>
      <c r="I778">
        <f t="shared" si="24"/>
        <v>0</v>
      </c>
      <c r="J778">
        <f t="shared" si="25"/>
        <v>97</v>
      </c>
    </row>
    <row r="779" spans="2:10" ht="15.5" x14ac:dyDescent="0.35">
      <c r="B779" s="3" t="s">
        <v>4941</v>
      </c>
      <c r="C779" s="16" t="s">
        <v>4942</v>
      </c>
      <c r="D779" s="17" t="s">
        <v>861</v>
      </c>
      <c r="E779" s="16" t="s">
        <v>4943</v>
      </c>
      <c r="F779" s="17" t="s">
        <v>4944</v>
      </c>
      <c r="G779" s="3" t="s">
        <v>4940</v>
      </c>
      <c r="H779" s="6">
        <v>6643.92</v>
      </c>
      <c r="I779">
        <f t="shared" si="24"/>
        <v>6</v>
      </c>
      <c r="J779">
        <f t="shared" si="25"/>
        <v>97</v>
      </c>
    </row>
    <row r="780" spans="2:10" ht="15.5" x14ac:dyDescent="0.35">
      <c r="B780" s="3" t="s">
        <v>4945</v>
      </c>
      <c r="C780" s="16" t="s">
        <v>4946</v>
      </c>
      <c r="D780" s="17" t="s">
        <v>860</v>
      </c>
      <c r="E780" s="16" t="s">
        <v>4947</v>
      </c>
      <c r="F780" s="17" t="s">
        <v>4948</v>
      </c>
      <c r="G780" s="3" t="s">
        <v>4923</v>
      </c>
      <c r="H780" s="6">
        <v>13897.359999999999</v>
      </c>
      <c r="I780">
        <f t="shared" si="24"/>
        <v>10</v>
      </c>
      <c r="J780">
        <f t="shared" si="25"/>
        <v>97</v>
      </c>
    </row>
    <row r="781" spans="2:10" ht="15.5" x14ac:dyDescent="0.35">
      <c r="B781" s="3" t="s">
        <v>4949</v>
      </c>
      <c r="C781" s="16" t="s">
        <v>4950</v>
      </c>
      <c r="D781" s="17" t="s">
        <v>861</v>
      </c>
      <c r="E781" s="16" t="s">
        <v>4951</v>
      </c>
      <c r="F781" s="17" t="s">
        <v>1382</v>
      </c>
      <c r="G781" s="3" t="s">
        <v>4952</v>
      </c>
      <c r="H781" s="6">
        <v>8473.0879999999997</v>
      </c>
      <c r="I781">
        <f t="shared" si="24"/>
        <v>12</v>
      </c>
      <c r="J781">
        <f t="shared" si="25"/>
        <v>97</v>
      </c>
    </row>
    <row r="782" spans="2:10" ht="15.5" x14ac:dyDescent="0.35">
      <c r="B782" s="3" t="s">
        <v>4953</v>
      </c>
      <c r="C782" s="16" t="s">
        <v>4954</v>
      </c>
      <c r="D782" s="17" t="s">
        <v>861</v>
      </c>
      <c r="E782" s="16" t="s">
        <v>4955</v>
      </c>
      <c r="F782" s="17" t="s">
        <v>4956</v>
      </c>
      <c r="G782" s="3" t="s">
        <v>4957</v>
      </c>
      <c r="H782" s="6">
        <v>7445.8720000000003</v>
      </c>
      <c r="I782">
        <f t="shared" si="24"/>
        <v>7</v>
      </c>
      <c r="J782">
        <f t="shared" si="25"/>
        <v>97</v>
      </c>
    </row>
    <row r="783" spans="2:10" ht="15.5" x14ac:dyDescent="0.35">
      <c r="B783" s="3" t="s">
        <v>4958</v>
      </c>
      <c r="C783" s="16" t="s">
        <v>4959</v>
      </c>
      <c r="D783" s="17" t="s">
        <v>861</v>
      </c>
      <c r="E783" s="16" t="s">
        <v>4960</v>
      </c>
      <c r="F783" s="17" t="s">
        <v>4961</v>
      </c>
      <c r="G783" s="3" t="s">
        <v>4962</v>
      </c>
      <c r="H783" s="6">
        <v>22241.856</v>
      </c>
      <c r="I783">
        <f t="shared" si="24"/>
        <v>98</v>
      </c>
      <c r="J783">
        <f t="shared" si="25"/>
        <v>97</v>
      </c>
    </row>
    <row r="784" spans="2:10" ht="15.5" x14ac:dyDescent="0.35">
      <c r="B784" s="3" t="s">
        <v>4963</v>
      </c>
      <c r="C784" s="16" t="s">
        <v>4964</v>
      </c>
      <c r="D784" s="17" t="s">
        <v>861</v>
      </c>
      <c r="E784" s="16" t="s">
        <v>4965</v>
      </c>
      <c r="F784" s="17" t="s">
        <v>4966</v>
      </c>
      <c r="G784" s="3" t="s">
        <v>4967</v>
      </c>
      <c r="H784" s="6">
        <v>0</v>
      </c>
      <c r="I784">
        <f t="shared" si="24"/>
        <v>18</v>
      </c>
      <c r="J784">
        <f t="shared" si="25"/>
        <v>97</v>
      </c>
    </row>
    <row r="785" spans="2:10" ht="15.5" x14ac:dyDescent="0.35">
      <c r="B785" s="3" t="s">
        <v>4968</v>
      </c>
      <c r="C785" s="16" t="s">
        <v>4969</v>
      </c>
      <c r="D785" s="17" t="s">
        <v>861</v>
      </c>
      <c r="E785" s="16" t="s">
        <v>4970</v>
      </c>
      <c r="F785" s="17" t="s">
        <v>4722</v>
      </c>
      <c r="G785" s="3" t="s">
        <v>4971</v>
      </c>
      <c r="H785" s="6">
        <v>12709.632</v>
      </c>
      <c r="I785">
        <f t="shared" si="24"/>
        <v>13</v>
      </c>
      <c r="J785">
        <f t="shared" si="25"/>
        <v>97</v>
      </c>
    </row>
    <row r="786" spans="2:10" ht="15.5" x14ac:dyDescent="0.35">
      <c r="B786" s="3" t="s">
        <v>4972</v>
      </c>
      <c r="C786" s="16" t="s">
        <v>4973</v>
      </c>
      <c r="D786" s="17" t="s">
        <v>861</v>
      </c>
      <c r="E786" s="16" t="s">
        <v>4974</v>
      </c>
      <c r="F786" s="17" t="s">
        <v>4975</v>
      </c>
      <c r="G786" s="3" t="s">
        <v>4976</v>
      </c>
      <c r="H786" s="6">
        <v>6887.7279999999992</v>
      </c>
      <c r="I786">
        <f t="shared" si="24"/>
        <v>11</v>
      </c>
      <c r="J786">
        <f t="shared" si="25"/>
        <v>97</v>
      </c>
    </row>
    <row r="787" spans="2:10" ht="15.5" x14ac:dyDescent="0.35">
      <c r="B787" s="3" t="s">
        <v>4977</v>
      </c>
      <c r="C787" s="16" t="s">
        <v>4978</v>
      </c>
      <c r="D787" s="17" t="s">
        <v>861</v>
      </c>
      <c r="E787" s="16" t="s">
        <v>4979</v>
      </c>
      <c r="F787" s="17" t="s">
        <v>4980</v>
      </c>
      <c r="G787" s="3" t="s">
        <v>4962</v>
      </c>
      <c r="H787" s="6">
        <v>17158.063999999998</v>
      </c>
      <c r="I787">
        <f t="shared" si="24"/>
        <v>98</v>
      </c>
      <c r="J787">
        <f t="shared" si="25"/>
        <v>97</v>
      </c>
    </row>
    <row r="788" spans="2:10" ht="15.5" x14ac:dyDescent="0.35">
      <c r="B788" s="3" t="s">
        <v>4981</v>
      </c>
      <c r="C788" s="16" t="s">
        <v>4982</v>
      </c>
      <c r="D788" s="17" t="s">
        <v>861</v>
      </c>
      <c r="E788" s="16" t="s">
        <v>4983</v>
      </c>
      <c r="F788" s="17" t="s">
        <v>1081</v>
      </c>
      <c r="G788" s="3" t="s">
        <v>4962</v>
      </c>
      <c r="H788" s="6">
        <v>21182.719999999998</v>
      </c>
      <c r="I788">
        <f t="shared" si="24"/>
        <v>19</v>
      </c>
      <c r="J788">
        <f t="shared" si="25"/>
        <v>97</v>
      </c>
    </row>
    <row r="789" spans="2:10" ht="15.5" x14ac:dyDescent="0.35">
      <c r="B789" s="3" t="s">
        <v>4984</v>
      </c>
      <c r="C789" s="16" t="s">
        <v>4985</v>
      </c>
      <c r="D789" s="17" t="s">
        <v>861</v>
      </c>
      <c r="E789" s="16" t="s">
        <v>4986</v>
      </c>
      <c r="F789" s="17" t="s">
        <v>4252</v>
      </c>
      <c r="G789" s="3" t="s">
        <v>4962</v>
      </c>
      <c r="H789" s="6">
        <v>13505.199999999999</v>
      </c>
      <c r="I789">
        <f t="shared" si="24"/>
        <v>17</v>
      </c>
      <c r="J789">
        <f t="shared" si="25"/>
        <v>97</v>
      </c>
    </row>
    <row r="790" spans="2:10" ht="15.5" x14ac:dyDescent="0.35">
      <c r="B790" s="3" t="s">
        <v>4987</v>
      </c>
      <c r="C790" s="16" t="s">
        <v>4988</v>
      </c>
      <c r="D790" s="17" t="s">
        <v>861</v>
      </c>
      <c r="E790" s="16" t="s">
        <v>4989</v>
      </c>
      <c r="F790" s="17" t="s">
        <v>4990</v>
      </c>
      <c r="G790" s="3" t="s">
        <v>4991</v>
      </c>
      <c r="H790" s="6">
        <v>7577.2</v>
      </c>
      <c r="I790">
        <f t="shared" si="24"/>
        <v>10</v>
      </c>
      <c r="J790">
        <f t="shared" si="25"/>
        <v>97</v>
      </c>
    </row>
    <row r="791" spans="2:10" ht="15.5" x14ac:dyDescent="0.35">
      <c r="B791" s="3" t="s">
        <v>4992</v>
      </c>
      <c r="C791" s="16" t="s">
        <v>4993</v>
      </c>
      <c r="D791" s="17" t="s">
        <v>860</v>
      </c>
      <c r="E791" s="16" t="s">
        <v>4994</v>
      </c>
      <c r="F791" s="17" t="s">
        <v>4995</v>
      </c>
      <c r="G791" s="3" t="s">
        <v>4962</v>
      </c>
      <c r="H791" s="6">
        <v>9259.5359999999982</v>
      </c>
      <c r="I791">
        <f t="shared" si="24"/>
        <v>13</v>
      </c>
      <c r="J791">
        <f t="shared" si="25"/>
        <v>97</v>
      </c>
    </row>
    <row r="792" spans="2:10" ht="15.5" x14ac:dyDescent="0.35">
      <c r="B792" s="3" t="s">
        <v>4996</v>
      </c>
      <c r="C792" s="16" t="s">
        <v>4997</v>
      </c>
      <c r="D792" s="17" t="s">
        <v>861</v>
      </c>
      <c r="E792" s="16" t="s">
        <v>4998</v>
      </c>
      <c r="F792" s="17" t="s">
        <v>4999</v>
      </c>
      <c r="G792" s="3" t="s">
        <v>4991</v>
      </c>
      <c r="H792" s="6">
        <v>10126.544</v>
      </c>
      <c r="I792">
        <f t="shared" si="24"/>
        <v>7</v>
      </c>
      <c r="J792">
        <f t="shared" si="25"/>
        <v>97</v>
      </c>
    </row>
    <row r="793" spans="2:10" ht="15.5" x14ac:dyDescent="0.35">
      <c r="B793" s="3" t="s">
        <v>5000</v>
      </c>
      <c r="C793" s="16" t="s">
        <v>5001</v>
      </c>
      <c r="D793" s="17" t="s">
        <v>860</v>
      </c>
      <c r="E793" s="16" t="s">
        <v>5002</v>
      </c>
      <c r="F793" s="17" t="s">
        <v>5003</v>
      </c>
      <c r="G793" s="3" t="s">
        <v>4991</v>
      </c>
      <c r="H793" s="6">
        <v>9627.0720000000001</v>
      </c>
      <c r="I793">
        <f t="shared" si="24"/>
        <v>17</v>
      </c>
      <c r="J793">
        <f t="shared" si="25"/>
        <v>97</v>
      </c>
    </row>
    <row r="794" spans="2:10" ht="15.5" x14ac:dyDescent="0.35">
      <c r="B794" s="3" t="s">
        <v>5004</v>
      </c>
      <c r="C794" s="16" t="s">
        <v>5005</v>
      </c>
      <c r="D794" s="17" t="s">
        <v>860</v>
      </c>
      <c r="E794" s="16" t="s">
        <v>5006</v>
      </c>
      <c r="F794" s="17" t="s">
        <v>5007</v>
      </c>
      <c r="G794" s="3" t="s">
        <v>5008</v>
      </c>
      <c r="H794" s="6">
        <v>8013.7439999999997</v>
      </c>
      <c r="I794">
        <f t="shared" si="24"/>
        <v>10</v>
      </c>
      <c r="J794">
        <f t="shared" si="25"/>
        <v>97</v>
      </c>
    </row>
    <row r="795" spans="2:10" ht="15.5" x14ac:dyDescent="0.35">
      <c r="B795" s="3" t="s">
        <v>5009</v>
      </c>
      <c r="C795" s="16" t="s">
        <v>5010</v>
      </c>
      <c r="D795" s="17" t="s">
        <v>861</v>
      </c>
      <c r="E795" s="16" t="s">
        <v>5011</v>
      </c>
      <c r="F795" s="17" t="s">
        <v>5012</v>
      </c>
      <c r="G795" s="3" t="s">
        <v>5008</v>
      </c>
      <c r="H795" s="6">
        <v>7862.0479999999998</v>
      </c>
      <c r="I795">
        <f t="shared" si="24"/>
        <v>22</v>
      </c>
      <c r="J795">
        <f t="shared" si="25"/>
        <v>97</v>
      </c>
    </row>
    <row r="796" spans="2:10" ht="15.5" x14ac:dyDescent="0.35">
      <c r="B796" s="3" t="s">
        <v>5013</v>
      </c>
      <c r="C796" s="16" t="s">
        <v>5014</v>
      </c>
      <c r="D796" s="17" t="s">
        <v>861</v>
      </c>
      <c r="E796" s="16" t="s">
        <v>5015</v>
      </c>
      <c r="F796" s="17" t="s">
        <v>5016</v>
      </c>
      <c r="G796" s="3" t="s">
        <v>5017</v>
      </c>
      <c r="H796" s="6">
        <v>11455.632</v>
      </c>
      <c r="I796">
        <f t="shared" si="24"/>
        <v>18</v>
      </c>
      <c r="J796">
        <f t="shared" si="25"/>
        <v>97</v>
      </c>
    </row>
    <row r="797" spans="2:10" ht="15.5" hidden="1" x14ac:dyDescent="0.35">
      <c r="B797" s="3" t="s">
        <v>5018</v>
      </c>
      <c r="C797" s="16" t="s">
        <v>5019</v>
      </c>
      <c r="D797" s="17" t="s">
        <v>861</v>
      </c>
      <c r="E797" s="16" t="s">
        <v>5020</v>
      </c>
      <c r="F797" s="17" t="s">
        <v>5021</v>
      </c>
      <c r="G797" s="3" t="s">
        <v>3952</v>
      </c>
      <c r="H797" s="6">
        <v>14721.503999999999</v>
      </c>
      <c r="I797">
        <f t="shared" si="24"/>
        <v>95</v>
      </c>
      <c r="J797">
        <f t="shared" si="25"/>
        <v>73</v>
      </c>
    </row>
    <row r="798" spans="2:10" ht="15.5" x14ac:dyDescent="0.35">
      <c r="B798" s="3" t="s">
        <v>5022</v>
      </c>
      <c r="C798" s="16" t="s">
        <v>5023</v>
      </c>
      <c r="D798" s="17" t="s">
        <v>860</v>
      </c>
      <c r="E798" s="16" t="s">
        <v>5024</v>
      </c>
      <c r="F798" s="17" t="s">
        <v>5025</v>
      </c>
      <c r="G798" s="3" t="s">
        <v>5026</v>
      </c>
      <c r="H798" s="6">
        <v>9532.2240000000002</v>
      </c>
      <c r="I798">
        <f t="shared" si="24"/>
        <v>6</v>
      </c>
      <c r="J798">
        <f t="shared" si="25"/>
        <v>97</v>
      </c>
    </row>
    <row r="799" spans="2:10" ht="15.5" x14ac:dyDescent="0.35">
      <c r="B799" s="3" t="s">
        <v>5027</v>
      </c>
      <c r="C799" s="16" t="s">
        <v>5028</v>
      </c>
      <c r="D799" s="17" t="s">
        <v>860</v>
      </c>
      <c r="E799" s="16" t="s">
        <v>5029</v>
      </c>
      <c r="F799" s="17" t="s">
        <v>5030</v>
      </c>
      <c r="G799" s="3" t="s">
        <v>5026</v>
      </c>
      <c r="H799" s="6">
        <v>23300.991999999998</v>
      </c>
      <c r="I799">
        <f t="shared" si="24"/>
        <v>6</v>
      </c>
      <c r="J799">
        <f t="shared" si="25"/>
        <v>97</v>
      </c>
    </row>
    <row r="800" spans="2:10" ht="15.5" x14ac:dyDescent="0.35">
      <c r="B800" s="3" t="s">
        <v>5031</v>
      </c>
      <c r="C800" s="16" t="s">
        <v>5032</v>
      </c>
      <c r="D800" s="17" t="s">
        <v>860</v>
      </c>
      <c r="E800" s="16" t="s">
        <v>5033</v>
      </c>
      <c r="F800" s="17" t="s">
        <v>5034</v>
      </c>
      <c r="G800" s="3" t="s">
        <v>5026</v>
      </c>
      <c r="H800" s="6">
        <v>29126.239999999998</v>
      </c>
      <c r="I800">
        <f t="shared" si="24"/>
        <v>22</v>
      </c>
      <c r="J800">
        <f t="shared" si="25"/>
        <v>97</v>
      </c>
    </row>
    <row r="801" spans="2:10" ht="15.5" x14ac:dyDescent="0.35">
      <c r="B801" s="3" t="s">
        <v>5035</v>
      </c>
      <c r="C801" s="16" t="s">
        <v>5036</v>
      </c>
      <c r="D801" s="17" t="s">
        <v>861</v>
      </c>
      <c r="E801" s="16" t="s">
        <v>5037</v>
      </c>
      <c r="F801" s="17" t="s">
        <v>5038</v>
      </c>
      <c r="G801" s="3" t="s">
        <v>5039</v>
      </c>
      <c r="H801" s="6">
        <v>7445.8720000000003</v>
      </c>
      <c r="I801">
        <f t="shared" si="24"/>
        <v>17</v>
      </c>
      <c r="J801">
        <f t="shared" si="25"/>
        <v>97</v>
      </c>
    </row>
    <row r="802" spans="2:10" ht="15.5" x14ac:dyDescent="0.35">
      <c r="B802" s="3" t="s">
        <v>5040</v>
      </c>
      <c r="C802" s="16" t="s">
        <v>5041</v>
      </c>
      <c r="D802" s="17" t="s">
        <v>860</v>
      </c>
      <c r="E802" s="16" t="s">
        <v>5042</v>
      </c>
      <c r="F802" s="17" t="s">
        <v>5043</v>
      </c>
      <c r="G802" s="3" t="s">
        <v>5026</v>
      </c>
      <c r="H802" s="6">
        <v>0</v>
      </c>
      <c r="I802">
        <f t="shared" si="24"/>
        <v>8</v>
      </c>
      <c r="J802">
        <f t="shared" si="25"/>
        <v>97</v>
      </c>
    </row>
    <row r="803" spans="2:10" ht="15.5" x14ac:dyDescent="0.35">
      <c r="B803" s="3" t="s">
        <v>5044</v>
      </c>
      <c r="C803" s="16" t="s">
        <v>5045</v>
      </c>
      <c r="D803" s="17" t="s">
        <v>861</v>
      </c>
      <c r="E803" s="16" t="s">
        <v>5046</v>
      </c>
      <c r="F803" s="17" t="s">
        <v>5047</v>
      </c>
      <c r="G803" s="3" t="s">
        <v>5026</v>
      </c>
      <c r="H803" s="6">
        <v>5602.72</v>
      </c>
      <c r="I803">
        <f t="shared" si="24"/>
        <v>11</v>
      </c>
      <c r="J803">
        <f t="shared" si="25"/>
        <v>97</v>
      </c>
    </row>
    <row r="804" spans="2:10" ht="15.5" x14ac:dyDescent="0.35">
      <c r="B804" s="3" t="s">
        <v>5048</v>
      </c>
      <c r="C804" s="16" t="s">
        <v>5049</v>
      </c>
      <c r="D804" s="17" t="s">
        <v>861</v>
      </c>
      <c r="E804" s="16" t="s">
        <v>5050</v>
      </c>
      <c r="F804" s="17" t="s">
        <v>5051</v>
      </c>
      <c r="G804" s="3" t="s">
        <v>5026</v>
      </c>
      <c r="H804" s="6">
        <v>9612.1759999999995</v>
      </c>
      <c r="I804">
        <f t="shared" si="24"/>
        <v>12</v>
      </c>
      <c r="J804">
        <f t="shared" si="25"/>
        <v>97</v>
      </c>
    </row>
    <row r="805" spans="2:10" ht="15.5" x14ac:dyDescent="0.35">
      <c r="B805" s="3" t="s">
        <v>5052</v>
      </c>
      <c r="C805" s="16" t="s">
        <v>5053</v>
      </c>
      <c r="D805" s="17" t="s">
        <v>861</v>
      </c>
      <c r="E805" s="16" t="s">
        <v>5054</v>
      </c>
      <c r="F805" s="17" t="s">
        <v>1630</v>
      </c>
      <c r="G805" s="3" t="s">
        <v>5055</v>
      </c>
      <c r="H805" s="6">
        <v>7862.0479999999998</v>
      </c>
      <c r="I805">
        <f t="shared" si="24"/>
        <v>15</v>
      </c>
      <c r="J805">
        <f t="shared" si="25"/>
        <v>97</v>
      </c>
    </row>
    <row r="806" spans="2:10" ht="15.5" x14ac:dyDescent="0.35">
      <c r="B806" s="3" t="s">
        <v>5056</v>
      </c>
      <c r="C806" s="16" t="s">
        <v>5057</v>
      </c>
      <c r="D806" s="17" t="s">
        <v>861</v>
      </c>
      <c r="E806" s="16" t="s">
        <v>5058</v>
      </c>
      <c r="F806" s="17" t="s">
        <v>5059</v>
      </c>
      <c r="G806" s="3" t="s">
        <v>5039</v>
      </c>
      <c r="H806" s="6">
        <v>17558.432000000001</v>
      </c>
      <c r="I806">
        <f t="shared" si="24"/>
        <v>17</v>
      </c>
      <c r="J806">
        <f t="shared" si="25"/>
        <v>97</v>
      </c>
    </row>
    <row r="807" spans="2:10" ht="15.5" x14ac:dyDescent="0.35">
      <c r="B807" s="3" t="s">
        <v>5060</v>
      </c>
      <c r="C807" s="16" t="s">
        <v>5061</v>
      </c>
      <c r="D807" s="17" t="s">
        <v>861</v>
      </c>
      <c r="E807" s="16" t="s">
        <v>5062</v>
      </c>
      <c r="F807" s="17" t="s">
        <v>5063</v>
      </c>
      <c r="G807" s="3" t="s">
        <v>5026</v>
      </c>
      <c r="H807" s="6">
        <v>11781.52</v>
      </c>
      <c r="I807">
        <f t="shared" si="24"/>
        <v>17</v>
      </c>
      <c r="J807">
        <f t="shared" si="25"/>
        <v>97</v>
      </c>
    </row>
    <row r="808" spans="2:10" ht="15.5" hidden="1" x14ac:dyDescent="0.35">
      <c r="B808" s="3" t="s">
        <v>5064</v>
      </c>
      <c r="C808" s="16" t="s">
        <v>5065</v>
      </c>
      <c r="D808" s="17" t="s">
        <v>861</v>
      </c>
      <c r="E808" s="16" t="s">
        <v>5066</v>
      </c>
      <c r="F808" s="17" t="s">
        <v>5067</v>
      </c>
      <c r="G808" s="3" t="s">
        <v>5068</v>
      </c>
      <c r="H808" s="6">
        <v>25948.831999999999</v>
      </c>
      <c r="I808">
        <f t="shared" si="24"/>
        <v>91</v>
      </c>
      <c r="J808">
        <f t="shared" si="25"/>
        <v>73</v>
      </c>
    </row>
    <row r="809" spans="2:10" ht="15.5" x14ac:dyDescent="0.35">
      <c r="B809" s="3" t="s">
        <v>5069</v>
      </c>
      <c r="C809" s="16" t="s">
        <v>5070</v>
      </c>
      <c r="D809" s="17" t="s">
        <v>861</v>
      </c>
      <c r="E809" s="16" t="s">
        <v>5071</v>
      </c>
      <c r="F809" s="17" t="s">
        <v>5072</v>
      </c>
      <c r="G809" s="3" t="s">
        <v>3952</v>
      </c>
      <c r="H809" s="6">
        <v>7862.0479999999998</v>
      </c>
      <c r="I809">
        <f t="shared" si="24"/>
        <v>6</v>
      </c>
      <c r="J809">
        <f t="shared" si="25"/>
        <v>97</v>
      </c>
    </row>
    <row r="810" spans="2:10" ht="15.5" x14ac:dyDescent="0.35">
      <c r="B810" s="3" t="s">
        <v>5073</v>
      </c>
      <c r="C810" s="16" t="s">
        <v>5074</v>
      </c>
      <c r="D810" s="17" t="s">
        <v>861</v>
      </c>
      <c r="E810" s="16" t="s">
        <v>5075</v>
      </c>
      <c r="F810" s="17" t="s">
        <v>5076</v>
      </c>
      <c r="G810" s="3" t="s">
        <v>5077</v>
      </c>
      <c r="H810" s="6">
        <v>7510.6239999999998</v>
      </c>
      <c r="I810">
        <f t="shared" si="24"/>
        <v>11</v>
      </c>
      <c r="J810">
        <f t="shared" si="25"/>
        <v>97</v>
      </c>
    </row>
    <row r="811" spans="2:10" ht="15.5" x14ac:dyDescent="0.35">
      <c r="B811" s="3" t="s">
        <v>5078</v>
      </c>
      <c r="C811" s="16" t="s">
        <v>5079</v>
      </c>
      <c r="D811" s="17" t="s">
        <v>860</v>
      </c>
      <c r="E811" s="16" t="s">
        <v>5080</v>
      </c>
      <c r="F811" s="17" t="s">
        <v>5081</v>
      </c>
      <c r="G811" s="3" t="s">
        <v>5082</v>
      </c>
      <c r="H811" s="6">
        <v>8049.311999999999</v>
      </c>
      <c r="I811">
        <f t="shared" si="24"/>
        <v>12</v>
      </c>
      <c r="J811">
        <f t="shared" si="25"/>
        <v>97</v>
      </c>
    </row>
    <row r="812" spans="2:10" ht="15.5" x14ac:dyDescent="0.35">
      <c r="B812" s="3" t="s">
        <v>5083</v>
      </c>
      <c r="C812" s="16" t="s">
        <v>5084</v>
      </c>
      <c r="D812" s="17" t="s">
        <v>861</v>
      </c>
      <c r="E812" s="16" t="s">
        <v>5085</v>
      </c>
      <c r="F812" s="17" t="s">
        <v>5086</v>
      </c>
      <c r="G812" s="3" t="s">
        <v>5087</v>
      </c>
      <c r="H812" s="6">
        <v>9532.2240000000002</v>
      </c>
      <c r="I812">
        <f t="shared" si="24"/>
        <v>16</v>
      </c>
      <c r="J812">
        <f t="shared" si="25"/>
        <v>97</v>
      </c>
    </row>
    <row r="813" spans="2:10" ht="15.5" x14ac:dyDescent="0.35">
      <c r="B813" s="3" t="s">
        <v>5088</v>
      </c>
      <c r="C813" s="16" t="s">
        <v>5089</v>
      </c>
      <c r="D813" s="17" t="s">
        <v>861</v>
      </c>
      <c r="E813" s="16" t="s">
        <v>5090</v>
      </c>
      <c r="F813" s="17" t="s">
        <v>5091</v>
      </c>
      <c r="G813" s="3" t="s">
        <v>5087</v>
      </c>
      <c r="H813" s="6">
        <v>6526.8799999999992</v>
      </c>
      <c r="I813">
        <f t="shared" si="24"/>
        <v>12</v>
      </c>
      <c r="J813">
        <f t="shared" si="25"/>
        <v>97</v>
      </c>
    </row>
    <row r="814" spans="2:10" ht="15.5" x14ac:dyDescent="0.35">
      <c r="B814" s="3" t="s">
        <v>5092</v>
      </c>
      <c r="C814" s="16" t="s">
        <v>5093</v>
      </c>
      <c r="D814" s="17" t="s">
        <v>860</v>
      </c>
      <c r="E814" s="16" t="s">
        <v>5094</v>
      </c>
      <c r="F814" s="17" t="s">
        <v>5095</v>
      </c>
      <c r="G814" s="3" t="s">
        <v>5096</v>
      </c>
      <c r="H814" s="6">
        <v>10591.359999999999</v>
      </c>
      <c r="I814">
        <f t="shared" si="24"/>
        <v>9</v>
      </c>
      <c r="J814">
        <f t="shared" si="25"/>
        <v>97</v>
      </c>
    </row>
    <row r="815" spans="2:10" ht="15.5" x14ac:dyDescent="0.35">
      <c r="B815" s="3" t="s">
        <v>5097</v>
      </c>
      <c r="C815" s="16" t="s">
        <v>5098</v>
      </c>
      <c r="D815" s="17" t="s">
        <v>861</v>
      </c>
      <c r="E815" s="16" t="s">
        <v>5099</v>
      </c>
      <c r="F815" s="17" t="s">
        <v>5100</v>
      </c>
      <c r="G815" s="3" t="s">
        <v>5077</v>
      </c>
      <c r="H815" s="6">
        <v>7862.0479999999998</v>
      </c>
      <c r="I815">
        <f t="shared" si="24"/>
        <v>12</v>
      </c>
      <c r="J815">
        <f t="shared" si="25"/>
        <v>97</v>
      </c>
    </row>
    <row r="816" spans="2:10" ht="15.5" x14ac:dyDescent="0.35">
      <c r="B816" s="3" t="s">
        <v>5101</v>
      </c>
      <c r="C816" s="16" t="s">
        <v>5102</v>
      </c>
      <c r="D816" s="17" t="s">
        <v>861</v>
      </c>
      <c r="E816" s="16" t="s">
        <v>5103</v>
      </c>
      <c r="F816" s="17" t="s">
        <v>5104</v>
      </c>
      <c r="G816" s="3" t="s">
        <v>5105</v>
      </c>
      <c r="H816" s="6">
        <v>26478.399999999998</v>
      </c>
      <c r="I816">
        <f t="shared" si="24"/>
        <v>14</v>
      </c>
      <c r="J816">
        <f t="shared" si="25"/>
        <v>97</v>
      </c>
    </row>
    <row r="817" spans="2:10" ht="15.5" x14ac:dyDescent="0.35">
      <c r="B817" s="3" t="s">
        <v>5106</v>
      </c>
      <c r="C817" s="16" t="s">
        <v>5107</v>
      </c>
      <c r="D817" s="17" t="s">
        <v>860</v>
      </c>
      <c r="E817" s="16" t="s">
        <v>5108</v>
      </c>
      <c r="F817" s="17" t="s">
        <v>1535</v>
      </c>
      <c r="G817" s="3" t="s">
        <v>5105</v>
      </c>
      <c r="H817" s="6">
        <v>7445.8720000000003</v>
      </c>
      <c r="I817">
        <f t="shared" si="24"/>
        <v>8</v>
      </c>
      <c r="J817">
        <f t="shared" si="25"/>
        <v>97</v>
      </c>
    </row>
    <row r="818" spans="2:10" ht="15.5" x14ac:dyDescent="0.35">
      <c r="B818" s="3" t="s">
        <v>5109</v>
      </c>
      <c r="C818" s="16" t="s">
        <v>5110</v>
      </c>
      <c r="D818" s="17" t="s">
        <v>861</v>
      </c>
      <c r="E818" s="16" t="s">
        <v>5111</v>
      </c>
      <c r="F818" s="17" t="s">
        <v>5112</v>
      </c>
      <c r="G818" s="3" t="s">
        <v>5105</v>
      </c>
      <c r="H818" s="6">
        <v>8388.271999999999</v>
      </c>
      <c r="I818">
        <f t="shared" si="24"/>
        <v>10</v>
      </c>
      <c r="J818">
        <f t="shared" si="25"/>
        <v>97</v>
      </c>
    </row>
    <row r="819" spans="2:10" ht="15.5" x14ac:dyDescent="0.35">
      <c r="B819" s="3" t="s">
        <v>5113</v>
      </c>
      <c r="C819" s="16" t="s">
        <v>5114</v>
      </c>
      <c r="D819" s="17" t="s">
        <v>861</v>
      </c>
      <c r="E819" s="16" t="s">
        <v>5115</v>
      </c>
      <c r="F819" s="17" t="s">
        <v>5116</v>
      </c>
      <c r="G819" s="3" t="s">
        <v>5117</v>
      </c>
      <c r="H819" s="6">
        <v>5741.6480000000001</v>
      </c>
      <c r="I819">
        <f t="shared" si="24"/>
        <v>11</v>
      </c>
      <c r="J819">
        <f t="shared" si="25"/>
        <v>97</v>
      </c>
    </row>
    <row r="820" spans="2:10" ht="15.5" x14ac:dyDescent="0.35">
      <c r="B820" s="3" t="s">
        <v>5118</v>
      </c>
      <c r="C820" s="16" t="s">
        <v>5119</v>
      </c>
      <c r="D820" s="17" t="s">
        <v>861</v>
      </c>
      <c r="E820" s="16" t="s">
        <v>5120</v>
      </c>
      <c r="F820" s="17" t="s">
        <v>5121</v>
      </c>
      <c r="G820" s="3" t="s">
        <v>5122</v>
      </c>
      <c r="H820" s="6">
        <v>61429.887999999999</v>
      </c>
      <c r="I820">
        <f t="shared" si="24"/>
        <v>21</v>
      </c>
      <c r="J820">
        <f t="shared" si="25"/>
        <v>97</v>
      </c>
    </row>
    <row r="821" spans="2:10" ht="15.5" x14ac:dyDescent="0.35">
      <c r="B821" s="3" t="s">
        <v>5123</v>
      </c>
      <c r="C821" s="16" t="s">
        <v>5124</v>
      </c>
      <c r="D821" s="17" t="s">
        <v>860</v>
      </c>
      <c r="E821" s="16" t="s">
        <v>5125</v>
      </c>
      <c r="F821" s="17" t="s">
        <v>5126</v>
      </c>
      <c r="G821" s="3" t="s">
        <v>4316</v>
      </c>
      <c r="H821" s="6">
        <v>7862.0479999999998</v>
      </c>
      <c r="I821">
        <f t="shared" si="24"/>
        <v>14</v>
      </c>
      <c r="J821">
        <f t="shared" si="25"/>
        <v>97</v>
      </c>
    </row>
    <row r="822" spans="2:10" ht="15.5" x14ac:dyDescent="0.35">
      <c r="B822" s="3" t="s">
        <v>5127</v>
      </c>
      <c r="C822" s="16" t="s">
        <v>5128</v>
      </c>
      <c r="D822" s="17" t="s">
        <v>860</v>
      </c>
      <c r="E822" s="16" t="s">
        <v>5129</v>
      </c>
      <c r="F822" s="17" t="s">
        <v>1533</v>
      </c>
      <c r="G822" s="3" t="s">
        <v>3952</v>
      </c>
      <c r="H822" s="6">
        <v>48483.743999999992</v>
      </c>
      <c r="I822">
        <f t="shared" si="24"/>
        <v>17</v>
      </c>
      <c r="J822">
        <f t="shared" si="25"/>
        <v>97</v>
      </c>
    </row>
    <row r="823" spans="2:10" ht="15.5" x14ac:dyDescent="0.35">
      <c r="B823" s="3" t="s">
        <v>5130</v>
      </c>
      <c r="C823" s="16" t="s">
        <v>5131</v>
      </c>
      <c r="D823" s="17" t="s">
        <v>861</v>
      </c>
      <c r="E823" s="16" t="s">
        <v>5132</v>
      </c>
      <c r="F823" s="17" t="s">
        <v>5133</v>
      </c>
      <c r="G823" s="3" t="s">
        <v>4316</v>
      </c>
      <c r="H823" s="6">
        <v>5602.72</v>
      </c>
      <c r="I823">
        <f t="shared" si="24"/>
        <v>17</v>
      </c>
      <c r="J823">
        <f t="shared" si="25"/>
        <v>97</v>
      </c>
    </row>
    <row r="824" spans="2:10" ht="15.5" hidden="1" x14ac:dyDescent="0.35">
      <c r="B824" s="3" t="s">
        <v>5134</v>
      </c>
      <c r="C824" s="16" t="s">
        <v>5135</v>
      </c>
      <c r="D824" s="17" t="s">
        <v>861</v>
      </c>
      <c r="E824" s="16" t="s">
        <v>5136</v>
      </c>
      <c r="F824" s="17" t="s">
        <v>5137</v>
      </c>
      <c r="G824" s="3" t="s">
        <v>5138</v>
      </c>
      <c r="H824" s="6">
        <v>8049.311999999999</v>
      </c>
      <c r="I824">
        <f t="shared" si="24"/>
        <v>92</v>
      </c>
      <c r="J824">
        <f t="shared" si="25"/>
        <v>73</v>
      </c>
    </row>
    <row r="825" spans="2:10" ht="15.5" x14ac:dyDescent="0.35">
      <c r="B825" s="3" t="s">
        <v>5139</v>
      </c>
      <c r="C825" s="16" t="s">
        <v>5140</v>
      </c>
      <c r="D825" s="17" t="s">
        <v>860</v>
      </c>
      <c r="E825" s="16" t="s">
        <v>5141</v>
      </c>
      <c r="F825" s="17" t="s">
        <v>5142</v>
      </c>
      <c r="G825" s="3" t="s">
        <v>5138</v>
      </c>
      <c r="H825" s="6">
        <v>12709.632</v>
      </c>
      <c r="I825">
        <f t="shared" si="24"/>
        <v>13</v>
      </c>
      <c r="J825">
        <f t="shared" si="25"/>
        <v>97</v>
      </c>
    </row>
    <row r="826" spans="2:10" ht="15.5" x14ac:dyDescent="0.35">
      <c r="B826" s="3" t="s">
        <v>5143</v>
      </c>
      <c r="C826" s="16" t="s">
        <v>5144</v>
      </c>
      <c r="D826" s="17" t="s">
        <v>861</v>
      </c>
      <c r="E826" s="16" t="s">
        <v>5145</v>
      </c>
      <c r="F826" s="17" t="s">
        <v>5146</v>
      </c>
      <c r="G826" s="3" t="s">
        <v>5147</v>
      </c>
      <c r="H826" s="6">
        <v>5602.72</v>
      </c>
      <c r="I826">
        <f t="shared" si="24"/>
        <v>17</v>
      </c>
      <c r="J826">
        <f t="shared" si="25"/>
        <v>97</v>
      </c>
    </row>
    <row r="827" spans="2:10" ht="15.5" x14ac:dyDescent="0.35">
      <c r="B827" s="3" t="s">
        <v>5148</v>
      </c>
      <c r="C827" s="16" t="s">
        <v>5149</v>
      </c>
      <c r="D827" s="17" t="s">
        <v>861</v>
      </c>
      <c r="E827" s="16" t="s">
        <v>5150</v>
      </c>
      <c r="F827" s="17" t="s">
        <v>5151</v>
      </c>
      <c r="G827" s="3" t="s">
        <v>5105</v>
      </c>
      <c r="H827" s="6">
        <v>9105.7119999999995</v>
      </c>
      <c r="I827">
        <f t="shared" si="24"/>
        <v>13</v>
      </c>
      <c r="J827">
        <f t="shared" si="25"/>
        <v>97</v>
      </c>
    </row>
    <row r="828" spans="2:10" ht="15.5" x14ac:dyDescent="0.35">
      <c r="B828" s="3" t="s">
        <v>5152</v>
      </c>
      <c r="C828" s="16" t="s">
        <v>5153</v>
      </c>
      <c r="D828" s="17" t="s">
        <v>861</v>
      </c>
      <c r="E828" s="16" t="s">
        <v>5154</v>
      </c>
      <c r="F828" s="17" t="s">
        <v>5155</v>
      </c>
      <c r="G828" s="3" t="s">
        <v>5156</v>
      </c>
      <c r="H828" s="6">
        <v>7862.0479999999998</v>
      </c>
      <c r="I828">
        <f t="shared" si="24"/>
        <v>11</v>
      </c>
      <c r="J828">
        <f t="shared" si="25"/>
        <v>97</v>
      </c>
    </row>
    <row r="829" spans="2:10" ht="15.5" x14ac:dyDescent="0.35">
      <c r="B829" s="3" t="s">
        <v>5157</v>
      </c>
      <c r="C829" s="16" t="s">
        <v>5158</v>
      </c>
      <c r="D829" s="17" t="s">
        <v>861</v>
      </c>
      <c r="E829" s="16" t="s">
        <v>5159</v>
      </c>
      <c r="F829" s="17" t="s">
        <v>5160</v>
      </c>
      <c r="G829" s="3" t="s">
        <v>5156</v>
      </c>
      <c r="H829" s="6">
        <v>8473.0879999999997</v>
      </c>
      <c r="I829">
        <f t="shared" si="24"/>
        <v>7</v>
      </c>
      <c r="J829">
        <f t="shared" si="25"/>
        <v>97</v>
      </c>
    </row>
    <row r="830" spans="2:10" ht="15.5" x14ac:dyDescent="0.35">
      <c r="B830" s="3" t="s">
        <v>5161</v>
      </c>
      <c r="C830" s="16" t="s">
        <v>5162</v>
      </c>
      <c r="D830" s="17" t="s">
        <v>860</v>
      </c>
      <c r="E830" s="16" t="s">
        <v>5163</v>
      </c>
      <c r="F830" s="17" t="s">
        <v>5164</v>
      </c>
      <c r="G830" s="3" t="s">
        <v>5165</v>
      </c>
      <c r="H830" s="6">
        <v>6990.1759999999995</v>
      </c>
      <c r="I830">
        <f t="shared" si="24"/>
        <v>16</v>
      </c>
      <c r="J830">
        <f t="shared" si="25"/>
        <v>97</v>
      </c>
    </row>
    <row r="831" spans="2:10" ht="15.5" x14ac:dyDescent="0.35">
      <c r="B831" s="3" t="s">
        <v>5166</v>
      </c>
      <c r="C831" s="16" t="s">
        <v>5167</v>
      </c>
      <c r="D831" s="17" t="s">
        <v>861</v>
      </c>
      <c r="E831" s="16" t="s">
        <v>5168</v>
      </c>
      <c r="F831" s="17" t="s">
        <v>1649</v>
      </c>
      <c r="G831" s="3" t="s">
        <v>5156</v>
      </c>
      <c r="H831" s="6">
        <v>7862.0479999999998</v>
      </c>
      <c r="I831">
        <f t="shared" si="24"/>
        <v>15</v>
      </c>
      <c r="J831">
        <f t="shared" si="25"/>
        <v>97</v>
      </c>
    </row>
    <row r="832" spans="2:10" ht="15.5" x14ac:dyDescent="0.35">
      <c r="B832" s="3" t="s">
        <v>5169</v>
      </c>
      <c r="C832" s="16" t="s">
        <v>5170</v>
      </c>
      <c r="D832" s="17" t="s">
        <v>861</v>
      </c>
      <c r="E832" s="16" t="s">
        <v>5171</v>
      </c>
      <c r="F832" s="17" t="s">
        <v>5172</v>
      </c>
      <c r="G832" s="3" t="s">
        <v>5173</v>
      </c>
      <c r="H832" s="6">
        <v>5602.72</v>
      </c>
      <c r="I832">
        <f t="shared" si="24"/>
        <v>17</v>
      </c>
      <c r="J832">
        <f t="shared" si="25"/>
        <v>97</v>
      </c>
    </row>
    <row r="833" spans="2:10" ht="15.5" x14ac:dyDescent="0.35">
      <c r="B833" s="3" t="s">
        <v>5174</v>
      </c>
      <c r="C833" s="16" t="s">
        <v>5175</v>
      </c>
      <c r="D833" s="17" t="s">
        <v>861</v>
      </c>
      <c r="E833" s="16" t="s">
        <v>5176</v>
      </c>
      <c r="F833" s="17" t="s">
        <v>1607</v>
      </c>
      <c r="G833" s="3" t="s">
        <v>5173</v>
      </c>
      <c r="H833" s="6">
        <v>5602.72</v>
      </c>
      <c r="I833">
        <f t="shared" si="24"/>
        <v>13</v>
      </c>
      <c r="J833">
        <f t="shared" si="25"/>
        <v>97</v>
      </c>
    </row>
    <row r="834" spans="2:10" ht="15.5" x14ac:dyDescent="0.35">
      <c r="B834" s="3" t="s">
        <v>5177</v>
      </c>
      <c r="C834" s="16" t="s">
        <v>5178</v>
      </c>
      <c r="D834" s="17" t="s">
        <v>860</v>
      </c>
      <c r="E834" s="16" t="s">
        <v>5179</v>
      </c>
      <c r="F834" s="17" t="s">
        <v>5180</v>
      </c>
      <c r="G834" s="3" t="s">
        <v>5173</v>
      </c>
      <c r="H834" s="6">
        <v>8049.311999999999</v>
      </c>
      <c r="I834">
        <f t="shared" si="24"/>
        <v>1</v>
      </c>
      <c r="J834">
        <f t="shared" si="25"/>
        <v>97</v>
      </c>
    </row>
    <row r="835" spans="2:10" ht="15.5" x14ac:dyDescent="0.35">
      <c r="B835" s="3" t="s">
        <v>5181</v>
      </c>
      <c r="C835" s="16" t="s">
        <v>5182</v>
      </c>
      <c r="D835" s="17" t="s">
        <v>861</v>
      </c>
      <c r="E835" s="16" t="s">
        <v>5183</v>
      </c>
      <c r="F835" s="17" t="s">
        <v>1441</v>
      </c>
      <c r="G835" s="3" t="s">
        <v>5173</v>
      </c>
      <c r="H835" s="6">
        <v>7445.8720000000003</v>
      </c>
      <c r="I835">
        <f t="shared" si="24"/>
        <v>19</v>
      </c>
      <c r="J835">
        <f t="shared" si="25"/>
        <v>97</v>
      </c>
    </row>
    <row r="836" spans="2:10" ht="15.5" x14ac:dyDescent="0.35">
      <c r="B836" s="3" t="s">
        <v>5184</v>
      </c>
      <c r="C836" s="16" t="s">
        <v>5185</v>
      </c>
      <c r="D836" s="17" t="s">
        <v>860</v>
      </c>
      <c r="E836" s="16" t="s">
        <v>5186</v>
      </c>
      <c r="F836" s="17" t="s">
        <v>5187</v>
      </c>
      <c r="G836" s="3" t="s">
        <v>5165</v>
      </c>
      <c r="H836" s="6">
        <v>7862.0479999999998</v>
      </c>
      <c r="I836">
        <f t="shared" ref="I836:I899" si="26">_xlfn.NUMBERVALUE(MID(C836,3,2))</f>
        <v>16</v>
      </c>
      <c r="J836">
        <f t="shared" ref="J836:J899" si="27">IF(I836&gt;25,IF(I836&lt;=97,73,97),97)</f>
        <v>97</v>
      </c>
    </row>
    <row r="837" spans="2:10" ht="15.5" x14ac:dyDescent="0.35">
      <c r="B837" s="3" t="s">
        <v>5188</v>
      </c>
      <c r="C837" s="16" t="s">
        <v>5189</v>
      </c>
      <c r="D837" s="17" t="s">
        <v>861</v>
      </c>
      <c r="E837" s="16" t="s">
        <v>5190</v>
      </c>
      <c r="F837" s="17" t="s">
        <v>1435</v>
      </c>
      <c r="G837" s="3" t="s">
        <v>5165</v>
      </c>
      <c r="H837" s="6">
        <v>7862.0479999999998</v>
      </c>
      <c r="I837">
        <f t="shared" si="26"/>
        <v>11</v>
      </c>
      <c r="J837">
        <f t="shared" si="27"/>
        <v>97</v>
      </c>
    </row>
    <row r="838" spans="2:10" ht="15.5" x14ac:dyDescent="0.35">
      <c r="B838" s="3" t="s">
        <v>5191</v>
      </c>
      <c r="C838" s="16" t="s">
        <v>5192</v>
      </c>
      <c r="D838" s="17" t="s">
        <v>861</v>
      </c>
      <c r="E838" s="16" t="s">
        <v>5193</v>
      </c>
      <c r="F838" s="17" t="s">
        <v>5194</v>
      </c>
      <c r="G838" s="3" t="s">
        <v>5165</v>
      </c>
      <c r="H838" s="6">
        <v>7862.0479999999998</v>
      </c>
      <c r="I838">
        <f t="shared" si="26"/>
        <v>17</v>
      </c>
      <c r="J838">
        <f t="shared" si="27"/>
        <v>97</v>
      </c>
    </row>
    <row r="839" spans="2:10" ht="15.5" hidden="1" x14ac:dyDescent="0.35">
      <c r="B839" s="3" t="s">
        <v>5195</v>
      </c>
      <c r="C839" s="16" t="s">
        <v>5196</v>
      </c>
      <c r="D839" s="17" t="s">
        <v>861</v>
      </c>
      <c r="E839" s="16" t="s">
        <v>5197</v>
      </c>
      <c r="F839" s="17" t="s">
        <v>5198</v>
      </c>
      <c r="G839" s="3" t="s">
        <v>5199</v>
      </c>
      <c r="H839" s="6">
        <v>5602.72</v>
      </c>
      <c r="I839">
        <f t="shared" si="26"/>
        <v>90</v>
      </c>
      <c r="J839">
        <f t="shared" si="27"/>
        <v>73</v>
      </c>
    </row>
    <row r="840" spans="2:10" ht="15.5" x14ac:dyDescent="0.35">
      <c r="B840" s="3" t="s">
        <v>5200</v>
      </c>
      <c r="C840" s="16" t="s">
        <v>5201</v>
      </c>
      <c r="D840" s="17" t="s">
        <v>861</v>
      </c>
      <c r="E840" s="16" t="s">
        <v>5202</v>
      </c>
      <c r="F840" s="17" t="s">
        <v>5203</v>
      </c>
      <c r="G840" s="3" t="s">
        <v>3776</v>
      </c>
      <c r="H840" s="6">
        <v>5602.72</v>
      </c>
      <c r="I840">
        <f t="shared" si="26"/>
        <v>3</v>
      </c>
      <c r="J840">
        <f t="shared" si="27"/>
        <v>97</v>
      </c>
    </row>
    <row r="841" spans="2:10" ht="15.5" x14ac:dyDescent="0.35">
      <c r="B841" s="3" t="s">
        <v>5204</v>
      </c>
      <c r="C841" s="16" t="s">
        <v>5205</v>
      </c>
      <c r="D841" s="17" t="s">
        <v>860</v>
      </c>
      <c r="E841" s="16" t="s">
        <v>5206</v>
      </c>
      <c r="F841" s="17" t="s">
        <v>5207</v>
      </c>
      <c r="G841" s="3" t="s">
        <v>4316</v>
      </c>
      <c r="H841" s="6">
        <v>7862.0479999999998</v>
      </c>
      <c r="I841">
        <f t="shared" si="26"/>
        <v>13</v>
      </c>
      <c r="J841">
        <f t="shared" si="27"/>
        <v>97</v>
      </c>
    </row>
    <row r="842" spans="2:10" ht="15.5" x14ac:dyDescent="0.35">
      <c r="B842" s="3" t="s">
        <v>5208</v>
      </c>
      <c r="C842" s="16" t="s">
        <v>5209</v>
      </c>
      <c r="D842" s="17" t="s">
        <v>861</v>
      </c>
      <c r="E842" s="16" t="s">
        <v>5210</v>
      </c>
      <c r="F842" s="17" t="s">
        <v>5211</v>
      </c>
      <c r="G842" s="3" t="s">
        <v>5212</v>
      </c>
      <c r="H842" s="6">
        <v>9532.2240000000002</v>
      </c>
      <c r="I842">
        <f t="shared" si="26"/>
        <v>20</v>
      </c>
      <c r="J842">
        <f t="shared" si="27"/>
        <v>97</v>
      </c>
    </row>
    <row r="843" spans="2:10" ht="15.5" x14ac:dyDescent="0.35">
      <c r="B843" s="3" t="s">
        <v>5213</v>
      </c>
      <c r="C843" s="16" t="s">
        <v>5214</v>
      </c>
      <c r="D843" s="17" t="s">
        <v>860</v>
      </c>
      <c r="E843" s="16" t="s">
        <v>5215</v>
      </c>
      <c r="F843" s="17" t="s">
        <v>5216</v>
      </c>
      <c r="G843" s="3" t="s">
        <v>5212</v>
      </c>
      <c r="H843" s="6">
        <v>9532.2240000000002</v>
      </c>
      <c r="I843">
        <f t="shared" si="26"/>
        <v>15</v>
      </c>
      <c r="J843">
        <f t="shared" si="27"/>
        <v>97</v>
      </c>
    </row>
    <row r="844" spans="2:10" ht="15.5" x14ac:dyDescent="0.35">
      <c r="B844" s="3" t="s">
        <v>5217</v>
      </c>
      <c r="C844" s="16" t="s">
        <v>5218</v>
      </c>
      <c r="D844" s="17" t="s">
        <v>861</v>
      </c>
      <c r="E844" s="16" t="s">
        <v>5219</v>
      </c>
      <c r="F844" s="17" t="s">
        <v>5220</v>
      </c>
      <c r="G844" s="3" t="s">
        <v>5212</v>
      </c>
      <c r="H844" s="6">
        <v>5602.72</v>
      </c>
      <c r="I844">
        <f t="shared" si="26"/>
        <v>5</v>
      </c>
      <c r="J844">
        <f t="shared" si="27"/>
        <v>97</v>
      </c>
    </row>
    <row r="845" spans="2:10" ht="15.5" x14ac:dyDescent="0.35">
      <c r="B845" s="3" t="s">
        <v>5221</v>
      </c>
      <c r="C845" s="16" t="s">
        <v>5222</v>
      </c>
      <c r="D845" s="17" t="s">
        <v>861</v>
      </c>
      <c r="E845" s="16" t="s">
        <v>5223</v>
      </c>
      <c r="F845" s="17" t="s">
        <v>5224</v>
      </c>
      <c r="G845" s="3" t="s">
        <v>5225</v>
      </c>
      <c r="H845" s="6">
        <v>7445.8720000000003</v>
      </c>
      <c r="I845">
        <f t="shared" si="26"/>
        <v>21</v>
      </c>
      <c r="J845">
        <f t="shared" si="27"/>
        <v>97</v>
      </c>
    </row>
    <row r="846" spans="2:10" ht="15.5" x14ac:dyDescent="0.35">
      <c r="B846" s="3" t="s">
        <v>5226</v>
      </c>
      <c r="C846" s="16" t="s">
        <v>5227</v>
      </c>
      <c r="D846" s="17" t="s">
        <v>860</v>
      </c>
      <c r="E846" s="16" t="s">
        <v>5228</v>
      </c>
      <c r="F846" s="17" t="s">
        <v>5229</v>
      </c>
      <c r="G846" s="3" t="s">
        <v>5230</v>
      </c>
      <c r="H846" s="6">
        <v>0</v>
      </c>
      <c r="I846">
        <f t="shared" si="26"/>
        <v>2</v>
      </c>
      <c r="J846">
        <f t="shared" si="27"/>
        <v>97</v>
      </c>
    </row>
    <row r="847" spans="2:10" ht="15.5" hidden="1" x14ac:dyDescent="0.35">
      <c r="B847" s="3" t="s">
        <v>5231</v>
      </c>
      <c r="C847" s="16" t="s">
        <v>5232</v>
      </c>
      <c r="D847" s="17" t="s">
        <v>860</v>
      </c>
      <c r="E847" s="16" t="s">
        <v>5233</v>
      </c>
      <c r="F847" s="17" t="s">
        <v>5234</v>
      </c>
      <c r="G847" s="3" t="s">
        <v>5235</v>
      </c>
      <c r="H847" s="6">
        <v>5602.72</v>
      </c>
      <c r="I847">
        <f t="shared" si="26"/>
        <v>85</v>
      </c>
      <c r="J847">
        <f t="shared" si="27"/>
        <v>73</v>
      </c>
    </row>
    <row r="848" spans="2:10" ht="15.5" x14ac:dyDescent="0.35">
      <c r="B848" s="3" t="s">
        <v>5236</v>
      </c>
      <c r="C848" s="16" t="s">
        <v>5237</v>
      </c>
      <c r="D848" s="17" t="s">
        <v>860</v>
      </c>
      <c r="E848" s="16" t="s">
        <v>5238</v>
      </c>
      <c r="F848" s="17" t="s">
        <v>5239</v>
      </c>
      <c r="G848" s="3" t="s">
        <v>5235</v>
      </c>
      <c r="H848" s="6">
        <v>6354.8159999999998</v>
      </c>
      <c r="I848">
        <f t="shared" si="26"/>
        <v>12</v>
      </c>
      <c r="J848">
        <f t="shared" si="27"/>
        <v>97</v>
      </c>
    </row>
    <row r="849" spans="2:10" ht="15.5" x14ac:dyDescent="0.35">
      <c r="B849" s="3" t="s">
        <v>5240</v>
      </c>
      <c r="C849" s="16" t="s">
        <v>5241</v>
      </c>
      <c r="D849" s="17" t="s">
        <v>861</v>
      </c>
      <c r="E849" s="16" t="s">
        <v>5242</v>
      </c>
      <c r="F849" s="17" t="s">
        <v>5243</v>
      </c>
      <c r="G849" s="3" t="s">
        <v>5225</v>
      </c>
      <c r="H849" s="6">
        <v>7445.8720000000003</v>
      </c>
      <c r="I849">
        <f t="shared" si="26"/>
        <v>4</v>
      </c>
      <c r="J849">
        <f t="shared" si="27"/>
        <v>97</v>
      </c>
    </row>
    <row r="850" spans="2:10" ht="15.5" x14ac:dyDescent="0.35">
      <c r="B850" s="3" t="s">
        <v>5244</v>
      </c>
      <c r="C850" s="16" t="s">
        <v>5245</v>
      </c>
      <c r="D850" s="17" t="s">
        <v>861</v>
      </c>
      <c r="E850" s="16" t="s">
        <v>5246</v>
      </c>
      <c r="F850" s="17" t="s">
        <v>5247</v>
      </c>
      <c r="G850" s="3" t="s">
        <v>5248</v>
      </c>
      <c r="H850" s="6">
        <v>15887.039999999999</v>
      </c>
      <c r="I850">
        <f t="shared" si="26"/>
        <v>16</v>
      </c>
      <c r="J850">
        <f t="shared" si="27"/>
        <v>97</v>
      </c>
    </row>
    <row r="851" spans="2:10" ht="15.5" hidden="1" x14ac:dyDescent="0.35">
      <c r="B851" s="3" t="s">
        <v>5249</v>
      </c>
      <c r="C851" s="16" t="s">
        <v>5250</v>
      </c>
      <c r="D851" s="17" t="s">
        <v>861</v>
      </c>
      <c r="E851" s="16" t="s">
        <v>5251</v>
      </c>
      <c r="F851" s="17" t="s">
        <v>5252</v>
      </c>
      <c r="G851" s="3" t="s">
        <v>3813</v>
      </c>
      <c r="H851" s="6">
        <v>0</v>
      </c>
      <c r="I851">
        <f t="shared" si="26"/>
        <v>92</v>
      </c>
      <c r="J851">
        <f t="shared" si="27"/>
        <v>73</v>
      </c>
    </row>
    <row r="852" spans="2:10" ht="15.5" x14ac:dyDescent="0.35">
      <c r="B852" s="3" t="s">
        <v>5253</v>
      </c>
      <c r="C852" s="16" t="s">
        <v>5254</v>
      </c>
      <c r="D852" s="17" t="s">
        <v>860</v>
      </c>
      <c r="E852" s="16" t="s">
        <v>5255</v>
      </c>
      <c r="F852" s="17" t="s">
        <v>5256</v>
      </c>
      <c r="G852" s="3" t="s">
        <v>3813</v>
      </c>
      <c r="H852" s="6">
        <v>0</v>
      </c>
      <c r="I852">
        <f t="shared" si="26"/>
        <v>2</v>
      </c>
      <c r="J852">
        <f t="shared" si="27"/>
        <v>97</v>
      </c>
    </row>
    <row r="853" spans="2:10" ht="15.5" x14ac:dyDescent="0.35">
      <c r="B853" s="3" t="s">
        <v>5257</v>
      </c>
      <c r="C853" s="16" t="s">
        <v>5258</v>
      </c>
      <c r="D853" s="17" t="s">
        <v>860</v>
      </c>
      <c r="E853" s="16" t="s">
        <v>5259</v>
      </c>
      <c r="F853" s="17" t="s">
        <v>5260</v>
      </c>
      <c r="G853" s="3" t="s">
        <v>3813</v>
      </c>
      <c r="H853" s="6">
        <v>6643.92</v>
      </c>
      <c r="I853">
        <f t="shared" si="26"/>
        <v>13</v>
      </c>
      <c r="J853">
        <f t="shared" si="27"/>
        <v>97</v>
      </c>
    </row>
    <row r="854" spans="2:10" ht="15.5" x14ac:dyDescent="0.35">
      <c r="B854" s="3" t="s">
        <v>5261</v>
      </c>
      <c r="C854" s="16" t="s">
        <v>5262</v>
      </c>
      <c r="D854" s="17" t="s">
        <v>861</v>
      </c>
      <c r="E854" s="16" t="s">
        <v>5263</v>
      </c>
      <c r="F854" s="17" t="s">
        <v>5264</v>
      </c>
      <c r="G854" s="3" t="s">
        <v>3813</v>
      </c>
      <c r="H854" s="6">
        <v>6661.8559999999989</v>
      </c>
      <c r="I854">
        <f t="shared" si="26"/>
        <v>16</v>
      </c>
      <c r="J854">
        <f t="shared" si="27"/>
        <v>97</v>
      </c>
    </row>
    <row r="855" spans="2:10" ht="15.5" x14ac:dyDescent="0.35">
      <c r="B855" s="3" t="s">
        <v>5265</v>
      </c>
      <c r="C855" s="16" t="s">
        <v>5266</v>
      </c>
      <c r="D855" s="17" t="s">
        <v>861</v>
      </c>
      <c r="E855" s="16" t="s">
        <v>5267</v>
      </c>
      <c r="F855" s="17" t="s">
        <v>5268</v>
      </c>
      <c r="G855" s="3" t="s">
        <v>3813</v>
      </c>
      <c r="H855" s="6">
        <v>6661.8559999999989</v>
      </c>
      <c r="I855">
        <f t="shared" si="26"/>
        <v>15</v>
      </c>
      <c r="J855">
        <f t="shared" si="27"/>
        <v>97</v>
      </c>
    </row>
    <row r="856" spans="2:10" ht="15.5" x14ac:dyDescent="0.35">
      <c r="B856" s="3" t="s">
        <v>5269</v>
      </c>
      <c r="C856" s="16" t="s">
        <v>5270</v>
      </c>
      <c r="D856" s="17" t="s">
        <v>860</v>
      </c>
      <c r="E856" s="16" t="s">
        <v>5271</v>
      </c>
      <c r="F856" s="17" t="s">
        <v>5272</v>
      </c>
      <c r="G856" s="3" t="s">
        <v>5273</v>
      </c>
      <c r="H856" s="6">
        <v>12709.632</v>
      </c>
      <c r="I856">
        <f t="shared" si="26"/>
        <v>14</v>
      </c>
      <c r="J856">
        <f t="shared" si="27"/>
        <v>97</v>
      </c>
    </row>
    <row r="857" spans="2:10" ht="15.5" x14ac:dyDescent="0.35">
      <c r="B857" s="3" t="s">
        <v>5274</v>
      </c>
      <c r="C857" s="16" t="s">
        <v>5275</v>
      </c>
      <c r="D857" s="17" t="s">
        <v>860</v>
      </c>
      <c r="E857" s="16" t="s">
        <v>5276</v>
      </c>
      <c r="F857" s="17" t="s">
        <v>5277</v>
      </c>
      <c r="G857" s="3" t="s">
        <v>4952</v>
      </c>
      <c r="H857" s="6">
        <v>14827.903999999999</v>
      </c>
      <c r="I857">
        <f t="shared" si="26"/>
        <v>19</v>
      </c>
      <c r="J857">
        <f t="shared" si="27"/>
        <v>97</v>
      </c>
    </row>
    <row r="858" spans="2:10" ht="15.5" x14ac:dyDescent="0.35">
      <c r="B858" s="3" t="s">
        <v>5278</v>
      </c>
      <c r="C858" s="16" t="s">
        <v>5279</v>
      </c>
      <c r="D858" s="17" t="s">
        <v>861</v>
      </c>
      <c r="E858" s="16" t="s">
        <v>5280</v>
      </c>
      <c r="F858" s="17" t="s">
        <v>5281</v>
      </c>
      <c r="G858" s="3" t="s">
        <v>4952</v>
      </c>
      <c r="H858" s="6">
        <v>9532.2240000000002</v>
      </c>
      <c r="I858">
        <f t="shared" si="26"/>
        <v>13</v>
      </c>
      <c r="J858">
        <f t="shared" si="27"/>
        <v>97</v>
      </c>
    </row>
    <row r="859" spans="2:10" ht="15.5" x14ac:dyDescent="0.35">
      <c r="B859" s="3" t="s">
        <v>5282</v>
      </c>
      <c r="C859" s="16" t="s">
        <v>5283</v>
      </c>
      <c r="D859" s="17" t="s">
        <v>861</v>
      </c>
      <c r="E859" s="16" t="s">
        <v>5284</v>
      </c>
      <c r="F859" s="17" t="s">
        <v>5285</v>
      </c>
      <c r="G859" s="3" t="s">
        <v>4952</v>
      </c>
      <c r="H859" s="6">
        <v>6661.8559999999989</v>
      </c>
      <c r="I859">
        <f t="shared" si="26"/>
        <v>16</v>
      </c>
      <c r="J859">
        <f t="shared" si="27"/>
        <v>97</v>
      </c>
    </row>
    <row r="860" spans="2:10" ht="15.5" x14ac:dyDescent="0.35">
      <c r="B860" s="3" t="s">
        <v>5286</v>
      </c>
      <c r="C860" s="16" t="s">
        <v>5287</v>
      </c>
      <c r="D860" s="17" t="s">
        <v>861</v>
      </c>
      <c r="E860" s="16" t="s">
        <v>5288</v>
      </c>
      <c r="F860" s="17" t="s">
        <v>5289</v>
      </c>
      <c r="G860" s="3" t="s">
        <v>5290</v>
      </c>
      <c r="H860" s="6">
        <v>11455.632</v>
      </c>
      <c r="I860">
        <f t="shared" si="26"/>
        <v>13</v>
      </c>
      <c r="J860">
        <f t="shared" si="27"/>
        <v>97</v>
      </c>
    </row>
    <row r="861" spans="2:10" ht="15.5" hidden="1" x14ac:dyDescent="0.35">
      <c r="B861" s="3" t="s">
        <v>5291</v>
      </c>
      <c r="C861" s="16" t="s">
        <v>5292</v>
      </c>
      <c r="D861" s="17" t="s">
        <v>860</v>
      </c>
      <c r="E861" s="16" t="s">
        <v>5293</v>
      </c>
      <c r="F861" s="17" t="s">
        <v>5294</v>
      </c>
      <c r="G861" s="3" t="s">
        <v>5295</v>
      </c>
      <c r="H861" s="6">
        <v>21182.719999999998</v>
      </c>
      <c r="I861">
        <f t="shared" si="26"/>
        <v>93</v>
      </c>
      <c r="J861">
        <f t="shared" si="27"/>
        <v>73</v>
      </c>
    </row>
    <row r="862" spans="2:10" ht="15.5" x14ac:dyDescent="0.35">
      <c r="B862" s="3" t="s">
        <v>5296</v>
      </c>
      <c r="C862" s="16" t="s">
        <v>5297</v>
      </c>
      <c r="D862" s="17" t="s">
        <v>860</v>
      </c>
      <c r="E862" s="16" t="s">
        <v>5298</v>
      </c>
      <c r="F862" s="17" t="s">
        <v>5299</v>
      </c>
      <c r="G862" s="3" t="s">
        <v>5300</v>
      </c>
      <c r="H862" s="6">
        <v>12709.632</v>
      </c>
      <c r="I862">
        <f t="shared" si="26"/>
        <v>9</v>
      </c>
      <c r="J862">
        <f t="shared" si="27"/>
        <v>97</v>
      </c>
    </row>
    <row r="863" spans="2:10" ht="15.5" hidden="1" x14ac:dyDescent="0.35">
      <c r="B863" s="3" t="s">
        <v>5301</v>
      </c>
      <c r="C863" s="16" t="s">
        <v>5302</v>
      </c>
      <c r="D863" s="17" t="s">
        <v>861</v>
      </c>
      <c r="E863" s="16" t="s">
        <v>5303</v>
      </c>
      <c r="F863" s="17" t="s">
        <v>5304</v>
      </c>
      <c r="G863" s="3" t="s">
        <v>3770</v>
      </c>
      <c r="H863" s="6">
        <v>8049.311999999999</v>
      </c>
      <c r="I863">
        <f t="shared" si="26"/>
        <v>90</v>
      </c>
      <c r="J863">
        <f t="shared" si="27"/>
        <v>73</v>
      </c>
    </row>
    <row r="864" spans="2:10" ht="15.5" x14ac:dyDescent="0.35">
      <c r="B864" s="3" t="s">
        <v>5305</v>
      </c>
      <c r="C864" s="16" t="s">
        <v>5306</v>
      </c>
      <c r="D864" s="17" t="s">
        <v>860</v>
      </c>
      <c r="E864" s="16" t="s">
        <v>5307</v>
      </c>
      <c r="F864" s="17" t="s">
        <v>5308</v>
      </c>
      <c r="G864" s="3" t="s">
        <v>3770</v>
      </c>
      <c r="H864" s="6">
        <v>8049.311999999999</v>
      </c>
      <c r="I864">
        <f t="shared" si="26"/>
        <v>16</v>
      </c>
      <c r="J864">
        <f t="shared" si="27"/>
        <v>97</v>
      </c>
    </row>
    <row r="865" spans="2:10" ht="15.5" x14ac:dyDescent="0.35">
      <c r="B865" s="3" t="s">
        <v>5309</v>
      </c>
      <c r="C865" s="16" t="s">
        <v>5310</v>
      </c>
      <c r="D865" s="17" t="s">
        <v>861</v>
      </c>
      <c r="E865" s="16" t="s">
        <v>5311</v>
      </c>
      <c r="F865" s="17" t="s">
        <v>5312</v>
      </c>
      <c r="G865" s="3" t="s">
        <v>3770</v>
      </c>
      <c r="H865" s="6">
        <v>8049.311999999999</v>
      </c>
      <c r="I865">
        <f t="shared" si="26"/>
        <v>6</v>
      </c>
      <c r="J865">
        <f t="shared" si="27"/>
        <v>97</v>
      </c>
    </row>
    <row r="866" spans="2:10" ht="15.5" x14ac:dyDescent="0.35">
      <c r="B866" s="3" t="s">
        <v>5313</v>
      </c>
      <c r="C866" s="16" t="s">
        <v>5314</v>
      </c>
      <c r="D866" s="17" t="s">
        <v>860</v>
      </c>
      <c r="E866" s="16" t="s">
        <v>5315</v>
      </c>
      <c r="F866" s="17" t="s">
        <v>5316</v>
      </c>
      <c r="G866" s="3" t="s">
        <v>5317</v>
      </c>
      <c r="H866" s="6">
        <v>6778.5919999999996</v>
      </c>
      <c r="I866">
        <f t="shared" si="26"/>
        <v>14</v>
      </c>
      <c r="J866">
        <f t="shared" si="27"/>
        <v>97</v>
      </c>
    </row>
    <row r="867" spans="2:10" ht="15.5" x14ac:dyDescent="0.35">
      <c r="B867" s="3" t="s">
        <v>5318</v>
      </c>
      <c r="C867" s="16" t="s">
        <v>5319</v>
      </c>
      <c r="D867" s="17" t="s">
        <v>861</v>
      </c>
      <c r="E867" s="16" t="s">
        <v>5320</v>
      </c>
      <c r="F867" s="17" t="s">
        <v>5321</v>
      </c>
      <c r="G867" s="3" t="s">
        <v>5317</v>
      </c>
      <c r="H867" s="6">
        <v>7445.8720000000003</v>
      </c>
      <c r="I867">
        <f t="shared" si="26"/>
        <v>11</v>
      </c>
      <c r="J867">
        <f t="shared" si="27"/>
        <v>97</v>
      </c>
    </row>
    <row r="868" spans="2:10" ht="15.5" x14ac:dyDescent="0.35">
      <c r="B868" s="3" t="s">
        <v>5322</v>
      </c>
      <c r="C868" s="16" t="s">
        <v>5323</v>
      </c>
      <c r="D868" s="17" t="s">
        <v>860</v>
      </c>
      <c r="E868" s="16" t="s">
        <v>5324</v>
      </c>
      <c r="F868" s="17" t="s">
        <v>5325</v>
      </c>
      <c r="G868" s="3" t="s">
        <v>4533</v>
      </c>
      <c r="H868" s="6">
        <v>8049.311999999999</v>
      </c>
      <c r="I868">
        <f t="shared" si="26"/>
        <v>11</v>
      </c>
      <c r="J868">
        <f t="shared" si="27"/>
        <v>97</v>
      </c>
    </row>
    <row r="869" spans="2:10" ht="15.5" x14ac:dyDescent="0.35">
      <c r="B869" s="3" t="s">
        <v>5326</v>
      </c>
      <c r="C869" s="16" t="s">
        <v>5327</v>
      </c>
      <c r="D869" s="17" t="s">
        <v>861</v>
      </c>
      <c r="E869" s="16" t="s">
        <v>5328</v>
      </c>
      <c r="F869" s="17" t="s">
        <v>5329</v>
      </c>
      <c r="G869" s="3" t="s">
        <v>5330</v>
      </c>
      <c r="H869" s="6">
        <v>6661.8559999999989</v>
      </c>
      <c r="I869">
        <f t="shared" si="26"/>
        <v>5</v>
      </c>
      <c r="J869">
        <f t="shared" si="27"/>
        <v>97</v>
      </c>
    </row>
    <row r="870" spans="2:10" ht="15.5" x14ac:dyDescent="0.35">
      <c r="B870" s="3" t="s">
        <v>5331</v>
      </c>
      <c r="C870" s="16" t="s">
        <v>5332</v>
      </c>
      <c r="D870" s="17" t="s">
        <v>860</v>
      </c>
      <c r="E870" s="16" t="s">
        <v>5333</v>
      </c>
      <c r="F870" s="17" t="s">
        <v>5334</v>
      </c>
      <c r="G870" s="3" t="s">
        <v>5330</v>
      </c>
      <c r="H870" s="6">
        <v>5602.72</v>
      </c>
      <c r="I870">
        <f t="shared" si="26"/>
        <v>2</v>
      </c>
      <c r="J870">
        <f t="shared" si="27"/>
        <v>97</v>
      </c>
    </row>
    <row r="871" spans="2:10" ht="15.5" x14ac:dyDescent="0.35">
      <c r="B871" s="3" t="s">
        <v>5335</v>
      </c>
      <c r="C871" s="16" t="s">
        <v>5336</v>
      </c>
      <c r="D871" s="17" t="s">
        <v>861</v>
      </c>
      <c r="E871" s="16" t="s">
        <v>5337</v>
      </c>
      <c r="F871" s="17" t="s">
        <v>5338</v>
      </c>
      <c r="G871" s="3" t="s">
        <v>5339</v>
      </c>
      <c r="H871" s="6">
        <v>7862.0479999999998</v>
      </c>
      <c r="I871">
        <f t="shared" si="26"/>
        <v>16</v>
      </c>
      <c r="J871">
        <f t="shared" si="27"/>
        <v>97</v>
      </c>
    </row>
    <row r="872" spans="2:10" ht="15.5" hidden="1" x14ac:dyDescent="0.35">
      <c r="B872" s="3" t="s">
        <v>5340</v>
      </c>
      <c r="C872" s="16" t="s">
        <v>5341</v>
      </c>
      <c r="D872" s="17" t="s">
        <v>861</v>
      </c>
      <c r="E872" s="16" t="s">
        <v>5342</v>
      </c>
      <c r="F872" s="17" t="s">
        <v>5343</v>
      </c>
      <c r="G872" s="3" t="s">
        <v>5344</v>
      </c>
      <c r="H872" s="6">
        <v>11455.632</v>
      </c>
      <c r="I872">
        <f t="shared" si="26"/>
        <v>94</v>
      </c>
      <c r="J872">
        <f t="shared" si="27"/>
        <v>73</v>
      </c>
    </row>
    <row r="873" spans="2:10" ht="15.5" x14ac:dyDescent="0.35">
      <c r="B873" s="3" t="s">
        <v>5345</v>
      </c>
      <c r="C873" s="16" t="s">
        <v>5346</v>
      </c>
      <c r="D873" s="17" t="s">
        <v>861</v>
      </c>
      <c r="E873" s="16" t="s">
        <v>5347</v>
      </c>
      <c r="F873" s="17" t="s">
        <v>4832</v>
      </c>
      <c r="G873" s="3" t="s">
        <v>5344</v>
      </c>
      <c r="H873" s="6">
        <v>6661.8559999999989</v>
      </c>
      <c r="I873">
        <f t="shared" si="26"/>
        <v>9</v>
      </c>
      <c r="J873">
        <f t="shared" si="27"/>
        <v>97</v>
      </c>
    </row>
    <row r="874" spans="2:10" ht="15.5" x14ac:dyDescent="0.35">
      <c r="B874" s="3" t="s">
        <v>5348</v>
      </c>
      <c r="C874" s="16" t="s">
        <v>5349</v>
      </c>
      <c r="D874" s="17" t="s">
        <v>860</v>
      </c>
      <c r="E874" s="16" t="s">
        <v>5350</v>
      </c>
      <c r="F874" s="17" t="s">
        <v>5351</v>
      </c>
      <c r="G874" s="3" t="s">
        <v>5352</v>
      </c>
      <c r="H874" s="6">
        <v>5602.72</v>
      </c>
      <c r="I874">
        <f t="shared" si="26"/>
        <v>13</v>
      </c>
      <c r="J874">
        <f t="shared" si="27"/>
        <v>97</v>
      </c>
    </row>
    <row r="875" spans="2:10" ht="15.5" x14ac:dyDescent="0.35">
      <c r="B875" s="3" t="s">
        <v>5353</v>
      </c>
      <c r="C875" s="16" t="s">
        <v>5354</v>
      </c>
      <c r="D875" s="17" t="s">
        <v>860</v>
      </c>
      <c r="E875" s="16" t="s">
        <v>5355</v>
      </c>
      <c r="F875" s="17" t="s">
        <v>4755</v>
      </c>
      <c r="G875" s="3" t="s">
        <v>5356</v>
      </c>
      <c r="H875" s="6">
        <v>6661.8559999999989</v>
      </c>
      <c r="I875">
        <f t="shared" si="26"/>
        <v>17</v>
      </c>
      <c r="J875">
        <f t="shared" si="27"/>
        <v>97</v>
      </c>
    </row>
    <row r="876" spans="2:10" ht="15.5" x14ac:dyDescent="0.35">
      <c r="B876" s="3" t="s">
        <v>5357</v>
      </c>
      <c r="C876" s="16" t="s">
        <v>5358</v>
      </c>
      <c r="D876" s="17" t="s">
        <v>861</v>
      </c>
      <c r="E876" s="16" t="s">
        <v>5359</v>
      </c>
      <c r="F876" s="17" t="s">
        <v>5360</v>
      </c>
      <c r="G876" s="3" t="s">
        <v>5361</v>
      </c>
      <c r="H876" s="6">
        <v>5602.72</v>
      </c>
      <c r="I876">
        <f t="shared" si="26"/>
        <v>6</v>
      </c>
      <c r="J876">
        <f t="shared" si="27"/>
        <v>97</v>
      </c>
    </row>
    <row r="877" spans="2:10" ht="15.5" x14ac:dyDescent="0.35">
      <c r="B877" s="3" t="s">
        <v>5362</v>
      </c>
      <c r="C877" s="16" t="s">
        <v>5363</v>
      </c>
      <c r="D877" s="17" t="s">
        <v>860</v>
      </c>
      <c r="E877" s="16" t="s">
        <v>5364</v>
      </c>
      <c r="F877" s="17" t="s">
        <v>5365</v>
      </c>
      <c r="G877" s="3" t="s">
        <v>5356</v>
      </c>
      <c r="H877" s="6">
        <v>6661.8559999999989</v>
      </c>
      <c r="I877">
        <f t="shared" si="26"/>
        <v>3</v>
      </c>
      <c r="J877">
        <f t="shared" si="27"/>
        <v>97</v>
      </c>
    </row>
    <row r="878" spans="2:10" ht="15.5" x14ac:dyDescent="0.35">
      <c r="B878" s="3" t="s">
        <v>5366</v>
      </c>
      <c r="C878" s="16" t="s">
        <v>5367</v>
      </c>
      <c r="D878" s="17" t="s">
        <v>860</v>
      </c>
      <c r="E878" s="16" t="s">
        <v>5368</v>
      </c>
      <c r="F878" s="17" t="s">
        <v>5369</v>
      </c>
      <c r="G878" s="3" t="s">
        <v>5370</v>
      </c>
      <c r="H878" s="6">
        <v>10591.359999999999</v>
      </c>
      <c r="I878">
        <f t="shared" si="26"/>
        <v>16</v>
      </c>
      <c r="J878">
        <f t="shared" si="27"/>
        <v>97</v>
      </c>
    </row>
    <row r="879" spans="2:10" ht="15.5" x14ac:dyDescent="0.35">
      <c r="B879" s="3" t="s">
        <v>5371</v>
      </c>
      <c r="C879" s="16" t="s">
        <v>5372</v>
      </c>
      <c r="D879" s="17" t="s">
        <v>860</v>
      </c>
      <c r="E879" s="16" t="s">
        <v>5373</v>
      </c>
      <c r="F879" s="17" t="s">
        <v>1655</v>
      </c>
      <c r="G879" s="3" t="s">
        <v>5370</v>
      </c>
      <c r="H879" s="6">
        <v>8049.311999999999</v>
      </c>
      <c r="I879">
        <f t="shared" si="26"/>
        <v>13</v>
      </c>
      <c r="J879">
        <f t="shared" si="27"/>
        <v>97</v>
      </c>
    </row>
    <row r="880" spans="2:10" ht="15.5" x14ac:dyDescent="0.35">
      <c r="B880" s="3" t="s">
        <v>5374</v>
      </c>
      <c r="C880" s="16" t="s">
        <v>5375</v>
      </c>
      <c r="D880" s="17" t="s">
        <v>860</v>
      </c>
      <c r="E880" s="16" t="s">
        <v>5376</v>
      </c>
      <c r="F880" s="17" t="s">
        <v>5377</v>
      </c>
      <c r="G880" s="3" t="s">
        <v>5378</v>
      </c>
      <c r="H880" s="6">
        <v>7445.8720000000003</v>
      </c>
      <c r="I880">
        <f t="shared" si="26"/>
        <v>14</v>
      </c>
      <c r="J880">
        <f t="shared" si="27"/>
        <v>97</v>
      </c>
    </row>
    <row r="881" spans="2:10" ht="15.5" x14ac:dyDescent="0.35">
      <c r="B881" s="3" t="s">
        <v>5379</v>
      </c>
      <c r="C881" s="16" t="s">
        <v>5380</v>
      </c>
      <c r="D881" s="17" t="s">
        <v>861</v>
      </c>
      <c r="E881" s="16" t="s">
        <v>5381</v>
      </c>
      <c r="F881" s="17" t="s">
        <v>5382</v>
      </c>
      <c r="G881" s="3" t="s">
        <v>3590</v>
      </c>
      <c r="H881" s="6">
        <v>7445.8720000000003</v>
      </c>
      <c r="I881">
        <f t="shared" si="26"/>
        <v>22</v>
      </c>
      <c r="J881">
        <f t="shared" si="27"/>
        <v>97</v>
      </c>
    </row>
    <row r="882" spans="2:10" ht="15.5" x14ac:dyDescent="0.35">
      <c r="B882" s="3" t="s">
        <v>5383</v>
      </c>
      <c r="C882" s="16" t="s">
        <v>5384</v>
      </c>
      <c r="D882" s="17" t="s">
        <v>861</v>
      </c>
      <c r="E882" s="16" t="s">
        <v>5385</v>
      </c>
      <c r="F882" s="17" t="s">
        <v>5386</v>
      </c>
      <c r="G882" s="3" t="s">
        <v>3590</v>
      </c>
      <c r="H882" s="6">
        <v>12709.632</v>
      </c>
      <c r="I882">
        <f t="shared" si="26"/>
        <v>12</v>
      </c>
      <c r="J882">
        <f t="shared" si="27"/>
        <v>97</v>
      </c>
    </row>
    <row r="883" spans="2:10" ht="15.5" hidden="1" x14ac:dyDescent="0.35">
      <c r="B883" s="3" t="s">
        <v>5387</v>
      </c>
      <c r="C883" s="16" t="s">
        <v>5388</v>
      </c>
      <c r="D883" s="17" t="s">
        <v>861</v>
      </c>
      <c r="E883" s="16" t="s">
        <v>5389</v>
      </c>
      <c r="F883" s="17" t="s">
        <v>5390</v>
      </c>
      <c r="G883" s="3" t="s">
        <v>3590</v>
      </c>
      <c r="H883" s="6">
        <v>5602.72</v>
      </c>
      <c r="I883">
        <f t="shared" si="26"/>
        <v>88</v>
      </c>
      <c r="J883">
        <f t="shared" si="27"/>
        <v>73</v>
      </c>
    </row>
    <row r="884" spans="2:10" ht="15.5" x14ac:dyDescent="0.35">
      <c r="B884" s="3" t="s">
        <v>5391</v>
      </c>
      <c r="C884" s="16" t="s">
        <v>5392</v>
      </c>
      <c r="D884" s="17" t="s">
        <v>861</v>
      </c>
      <c r="E884" s="16" t="s">
        <v>5393</v>
      </c>
      <c r="F884" s="17" t="s">
        <v>5394</v>
      </c>
      <c r="G884" s="3" t="s">
        <v>5395</v>
      </c>
      <c r="H884" s="6">
        <v>7577.2</v>
      </c>
      <c r="I884">
        <f t="shared" si="26"/>
        <v>3</v>
      </c>
      <c r="J884">
        <f t="shared" si="27"/>
        <v>97</v>
      </c>
    </row>
    <row r="885" spans="2:10" ht="15.5" x14ac:dyDescent="0.35">
      <c r="B885" s="3" t="s">
        <v>5396</v>
      </c>
      <c r="C885" s="16" t="s">
        <v>5397</v>
      </c>
      <c r="D885" s="17" t="s">
        <v>860</v>
      </c>
      <c r="E885" s="16" t="s">
        <v>5398</v>
      </c>
      <c r="F885" s="17" t="s">
        <v>5399</v>
      </c>
      <c r="G885" s="3" t="s">
        <v>5395</v>
      </c>
      <c r="H885" s="6">
        <v>7862.0479999999998</v>
      </c>
      <c r="I885">
        <f t="shared" si="26"/>
        <v>16</v>
      </c>
      <c r="J885">
        <f t="shared" si="27"/>
        <v>97</v>
      </c>
    </row>
    <row r="886" spans="2:10" ht="15.5" x14ac:dyDescent="0.35">
      <c r="B886" s="3" t="s">
        <v>5400</v>
      </c>
      <c r="C886" s="16" t="s">
        <v>5401</v>
      </c>
      <c r="D886" s="17" t="s">
        <v>861</v>
      </c>
      <c r="E886" s="16" t="s">
        <v>5402</v>
      </c>
      <c r="F886" s="17" t="s">
        <v>5403</v>
      </c>
      <c r="G886" s="3" t="s">
        <v>5395</v>
      </c>
      <c r="H886" s="6">
        <v>6661.8559999999989</v>
      </c>
      <c r="I886">
        <f t="shared" si="26"/>
        <v>14</v>
      </c>
      <c r="J886">
        <f t="shared" si="27"/>
        <v>97</v>
      </c>
    </row>
    <row r="887" spans="2:10" ht="15.5" hidden="1" x14ac:dyDescent="0.35">
      <c r="B887" s="3" t="s">
        <v>834</v>
      </c>
      <c r="C887" s="16" t="s">
        <v>3382</v>
      </c>
      <c r="D887" s="3" t="s">
        <v>861</v>
      </c>
      <c r="E887" s="16" t="s">
        <v>2523</v>
      </c>
      <c r="F887" s="17" t="s">
        <v>1667</v>
      </c>
      <c r="G887" s="19">
        <v>35856</v>
      </c>
      <c r="H887" s="6">
        <v>178171.7213952</v>
      </c>
      <c r="I887">
        <f t="shared" si="26"/>
        <v>83</v>
      </c>
      <c r="J887">
        <f t="shared" si="27"/>
        <v>73</v>
      </c>
    </row>
    <row r="888" spans="2:10" ht="15.5" x14ac:dyDescent="0.35">
      <c r="B888" s="3" t="s">
        <v>835</v>
      </c>
      <c r="C888" s="16" t="s">
        <v>3383</v>
      </c>
      <c r="D888" s="3" t="s">
        <v>860</v>
      </c>
      <c r="E888" s="16" t="s">
        <v>2524</v>
      </c>
      <c r="F888" s="17" t="s">
        <v>1668</v>
      </c>
      <c r="G888" s="3" t="s">
        <v>5404</v>
      </c>
      <c r="H888" s="6">
        <v>178628.18687999999</v>
      </c>
      <c r="I888">
        <f t="shared" si="26"/>
        <v>4</v>
      </c>
      <c r="J888">
        <f t="shared" si="27"/>
        <v>97</v>
      </c>
    </row>
    <row r="889" spans="2:10" ht="15.5" hidden="1" x14ac:dyDescent="0.35">
      <c r="B889" s="3" t="s">
        <v>836</v>
      </c>
      <c r="C889" s="16" t="s">
        <v>3384</v>
      </c>
      <c r="D889" s="3" t="s">
        <v>860</v>
      </c>
      <c r="E889" s="16" t="s">
        <v>2525</v>
      </c>
      <c r="F889" s="17" t="s">
        <v>1669</v>
      </c>
      <c r="G889" s="3" t="s">
        <v>3775</v>
      </c>
      <c r="H889" s="6">
        <v>243943.55511999998</v>
      </c>
      <c r="I889">
        <f t="shared" si="26"/>
        <v>92</v>
      </c>
      <c r="J889">
        <f t="shared" si="27"/>
        <v>73</v>
      </c>
    </row>
    <row r="890" spans="2:10" ht="15.5" x14ac:dyDescent="0.35">
      <c r="B890" s="3" t="s">
        <v>838</v>
      </c>
      <c r="C890" s="16" t="s">
        <v>3386</v>
      </c>
      <c r="D890" s="3" t="s">
        <v>860</v>
      </c>
      <c r="E890" s="16" t="s">
        <v>2527</v>
      </c>
      <c r="F890" s="17" t="s">
        <v>1671</v>
      </c>
      <c r="G890" s="3" t="s">
        <v>5405</v>
      </c>
      <c r="H890" s="6">
        <v>359677.26559999998</v>
      </c>
      <c r="I890">
        <f t="shared" si="26"/>
        <v>99</v>
      </c>
      <c r="J890">
        <f t="shared" si="27"/>
        <v>97</v>
      </c>
    </row>
    <row r="891" spans="2:10" ht="15.5" hidden="1" x14ac:dyDescent="0.35">
      <c r="B891" s="3" t="s">
        <v>5406</v>
      </c>
      <c r="C891" s="16" t="s">
        <v>5407</v>
      </c>
      <c r="D891" s="3" t="s">
        <v>861</v>
      </c>
      <c r="E891" s="16" t="s">
        <v>5408</v>
      </c>
      <c r="F891" s="17" t="s">
        <v>5409</v>
      </c>
      <c r="G891" s="3" t="s">
        <v>3832</v>
      </c>
      <c r="H891" s="6">
        <v>143278.848</v>
      </c>
      <c r="I891">
        <f t="shared" si="26"/>
        <v>91</v>
      </c>
      <c r="J891">
        <f t="shared" si="27"/>
        <v>73</v>
      </c>
    </row>
    <row r="892" spans="2:10" ht="15.5" hidden="1" x14ac:dyDescent="0.35">
      <c r="B892" s="3" t="s">
        <v>5410</v>
      </c>
      <c r="C892" s="16" t="s">
        <v>5411</v>
      </c>
      <c r="D892" s="3" t="s">
        <v>860</v>
      </c>
      <c r="E892" s="16" t="s">
        <v>5412</v>
      </c>
      <c r="F892" s="17" t="s">
        <v>5413</v>
      </c>
      <c r="G892" s="3" t="s">
        <v>3704</v>
      </c>
      <c r="H892" s="6">
        <v>546673.14367999986</v>
      </c>
      <c r="I892">
        <f t="shared" si="26"/>
        <v>85</v>
      </c>
      <c r="J892">
        <f t="shared" si="27"/>
        <v>73</v>
      </c>
    </row>
    <row r="893" spans="2:10" ht="15.5" hidden="1" x14ac:dyDescent="0.35">
      <c r="B893" s="3" t="s">
        <v>839</v>
      </c>
      <c r="C893" s="16" t="s">
        <v>3387</v>
      </c>
      <c r="D893" s="3" t="s">
        <v>861</v>
      </c>
      <c r="E893" s="16" t="s">
        <v>2528</v>
      </c>
      <c r="F893" s="17" t="s">
        <v>1149</v>
      </c>
      <c r="G893" s="3" t="s">
        <v>5414</v>
      </c>
      <c r="H893" s="6">
        <v>13463.248</v>
      </c>
      <c r="I893">
        <f t="shared" si="26"/>
        <v>93</v>
      </c>
      <c r="J893">
        <f t="shared" si="27"/>
        <v>73</v>
      </c>
    </row>
    <row r="894" spans="2:10" ht="15.5" x14ac:dyDescent="0.35">
      <c r="B894" s="3" t="s">
        <v>840</v>
      </c>
      <c r="C894" s="16" t="s">
        <v>3388</v>
      </c>
      <c r="D894" s="3" t="s">
        <v>861</v>
      </c>
      <c r="E894" s="16" t="s">
        <v>2529</v>
      </c>
      <c r="F894" s="17" t="s">
        <v>1176</v>
      </c>
      <c r="G894" s="3" t="s">
        <v>5415</v>
      </c>
      <c r="H894" s="6">
        <v>6413.7919999999995</v>
      </c>
      <c r="I894">
        <f t="shared" si="26"/>
        <v>9</v>
      </c>
      <c r="J894">
        <f t="shared" si="27"/>
        <v>97</v>
      </c>
    </row>
    <row r="895" spans="2:10" ht="15.5" x14ac:dyDescent="0.35">
      <c r="B895" s="3" t="s">
        <v>841</v>
      </c>
      <c r="C895" s="16" t="s">
        <v>3389</v>
      </c>
      <c r="D895" s="3" t="s">
        <v>861</v>
      </c>
      <c r="E895" s="16" t="s">
        <v>2530</v>
      </c>
      <c r="F895" s="17" t="s">
        <v>1672</v>
      </c>
      <c r="G895" s="3" t="s">
        <v>5416</v>
      </c>
      <c r="H895" s="6">
        <v>6413.7919999999995</v>
      </c>
      <c r="I895">
        <f t="shared" si="26"/>
        <v>9</v>
      </c>
      <c r="J895">
        <f t="shared" si="27"/>
        <v>97</v>
      </c>
    </row>
    <row r="896" spans="2:10" ht="15.5" hidden="1" x14ac:dyDescent="0.35">
      <c r="B896" s="3" t="s">
        <v>843</v>
      </c>
      <c r="C896" s="16" t="s">
        <v>3391</v>
      </c>
      <c r="D896" s="3" t="s">
        <v>860</v>
      </c>
      <c r="E896" s="16" t="s">
        <v>2532</v>
      </c>
      <c r="F896" s="17" t="s">
        <v>864</v>
      </c>
      <c r="G896" s="3" t="s">
        <v>3671</v>
      </c>
      <c r="H896" s="6">
        <v>18014.736000000001</v>
      </c>
      <c r="I896">
        <f t="shared" si="26"/>
        <v>91</v>
      </c>
      <c r="J896">
        <f t="shared" si="27"/>
        <v>73</v>
      </c>
    </row>
    <row r="897" spans="2:10" ht="15.5" x14ac:dyDescent="0.35">
      <c r="B897" s="3" t="s">
        <v>845</v>
      </c>
      <c r="C897" s="16" t="s">
        <v>3393</v>
      </c>
      <c r="D897" s="3" t="s">
        <v>861</v>
      </c>
      <c r="E897" s="16" t="s">
        <v>2534</v>
      </c>
      <c r="F897" s="17" t="s">
        <v>1675</v>
      </c>
      <c r="G897" s="3" t="s">
        <v>5417</v>
      </c>
      <c r="H897" s="6">
        <v>9307.5679999999993</v>
      </c>
      <c r="I897">
        <f t="shared" si="26"/>
        <v>7</v>
      </c>
      <c r="J897">
        <f t="shared" si="27"/>
        <v>97</v>
      </c>
    </row>
    <row r="898" spans="2:10" ht="15.5" x14ac:dyDescent="0.35">
      <c r="B898" s="3" t="s">
        <v>846</v>
      </c>
      <c r="C898" s="16" t="s">
        <v>3394</v>
      </c>
      <c r="D898" s="3" t="s">
        <v>860</v>
      </c>
      <c r="E898" s="16" t="s">
        <v>2535</v>
      </c>
      <c r="F898" s="17" t="s">
        <v>1676</v>
      </c>
      <c r="G898" s="3" t="s">
        <v>5418</v>
      </c>
      <c r="H898" s="6">
        <v>16143.615999999998</v>
      </c>
      <c r="I898">
        <f t="shared" si="26"/>
        <v>12</v>
      </c>
      <c r="J898">
        <f t="shared" si="27"/>
        <v>97</v>
      </c>
    </row>
    <row r="899" spans="2:10" ht="15.5" hidden="1" x14ac:dyDescent="0.35">
      <c r="B899" s="3" t="s">
        <v>847</v>
      </c>
      <c r="C899" s="16" t="s">
        <v>3395</v>
      </c>
      <c r="D899" s="3" t="s">
        <v>860</v>
      </c>
      <c r="E899" s="16" t="s">
        <v>2536</v>
      </c>
      <c r="F899" s="17" t="s">
        <v>1677</v>
      </c>
      <c r="G899" s="3" t="s">
        <v>5419</v>
      </c>
      <c r="H899" s="6">
        <v>6843.0399999999991</v>
      </c>
      <c r="I899">
        <f t="shared" si="26"/>
        <v>96</v>
      </c>
      <c r="J899">
        <f t="shared" si="27"/>
        <v>73</v>
      </c>
    </row>
    <row r="900" spans="2:10" ht="15.5" hidden="1" x14ac:dyDescent="0.35">
      <c r="B900" s="3" t="s">
        <v>849</v>
      </c>
      <c r="C900" s="16" t="s">
        <v>3397</v>
      </c>
      <c r="D900" s="3" t="s">
        <v>861</v>
      </c>
      <c r="E900" s="16" t="s">
        <v>2538</v>
      </c>
      <c r="F900" s="17" t="s">
        <v>1679</v>
      </c>
      <c r="G900" s="3" t="s">
        <v>5420</v>
      </c>
      <c r="H900" s="6">
        <v>5632.2079999999996</v>
      </c>
      <c r="I900">
        <f t="shared" ref="I900:I916" si="28">_xlfn.NUMBERVALUE(MID(C900,3,2))</f>
        <v>79</v>
      </c>
      <c r="J900">
        <f t="shared" ref="J900:J916" si="29">IF(I900&gt;25,IF(I900&lt;=97,73,97),97)</f>
        <v>73</v>
      </c>
    </row>
    <row r="901" spans="2:10" ht="15.5" hidden="1" x14ac:dyDescent="0.35">
      <c r="B901" s="3" t="s">
        <v>850</v>
      </c>
      <c r="C901" s="16" t="s">
        <v>3398</v>
      </c>
      <c r="D901" s="3" t="s">
        <v>860</v>
      </c>
      <c r="E901" s="16" t="s">
        <v>2539</v>
      </c>
      <c r="F901" s="17" t="s">
        <v>1680</v>
      </c>
      <c r="G901" s="3" t="s">
        <v>5421</v>
      </c>
      <c r="H901" s="6">
        <v>5632.2079999999996</v>
      </c>
      <c r="I901">
        <f t="shared" si="28"/>
        <v>82</v>
      </c>
      <c r="J901">
        <f t="shared" si="29"/>
        <v>73</v>
      </c>
    </row>
    <row r="902" spans="2:10" ht="15.5" hidden="1" x14ac:dyDescent="0.35">
      <c r="B902" s="3" t="s">
        <v>851</v>
      </c>
      <c r="C902" s="16" t="s">
        <v>3399</v>
      </c>
      <c r="D902" s="3" t="s">
        <v>861</v>
      </c>
      <c r="E902" s="16" t="s">
        <v>2540</v>
      </c>
      <c r="F902" s="17" t="s">
        <v>1681</v>
      </c>
      <c r="G902" s="3" t="s">
        <v>5422</v>
      </c>
      <c r="H902" s="6">
        <v>5632.2079999999996</v>
      </c>
      <c r="I902">
        <f t="shared" si="28"/>
        <v>88</v>
      </c>
      <c r="J902">
        <f t="shared" si="29"/>
        <v>73</v>
      </c>
    </row>
    <row r="903" spans="2:10" ht="15.5" x14ac:dyDescent="0.35">
      <c r="B903" s="3" t="s">
        <v>852</v>
      </c>
      <c r="C903" s="16" t="s">
        <v>3400</v>
      </c>
      <c r="D903" s="3" t="s">
        <v>861</v>
      </c>
      <c r="E903" s="16" t="s">
        <v>2541</v>
      </c>
      <c r="F903" s="17" t="s">
        <v>1682</v>
      </c>
      <c r="G903" s="3" t="s">
        <v>5423</v>
      </c>
      <c r="H903" s="6">
        <v>5632.2079999999996</v>
      </c>
      <c r="I903">
        <f t="shared" si="28"/>
        <v>99</v>
      </c>
      <c r="J903">
        <f t="shared" si="29"/>
        <v>97</v>
      </c>
    </row>
    <row r="904" spans="2:10" ht="15.5" x14ac:dyDescent="0.35">
      <c r="B904" s="3" t="s">
        <v>855</v>
      </c>
      <c r="C904" s="16" t="s">
        <v>3403</v>
      </c>
      <c r="D904" s="3" t="s">
        <v>860</v>
      </c>
      <c r="E904" s="16" t="s">
        <v>2544</v>
      </c>
      <c r="F904" s="17" t="s">
        <v>1685</v>
      </c>
      <c r="G904" s="3" t="s">
        <v>5424</v>
      </c>
      <c r="H904" s="6">
        <v>15598.848</v>
      </c>
      <c r="I904">
        <f t="shared" si="28"/>
        <v>19</v>
      </c>
      <c r="J904">
        <f t="shared" si="29"/>
        <v>97</v>
      </c>
    </row>
    <row r="905" spans="2:10" ht="15.5" hidden="1" x14ac:dyDescent="0.35">
      <c r="B905" s="3" t="s">
        <v>857</v>
      </c>
      <c r="C905" s="16" t="s">
        <v>3405</v>
      </c>
      <c r="D905" s="3" t="s">
        <v>860</v>
      </c>
      <c r="E905" s="16" t="s">
        <v>2546</v>
      </c>
      <c r="F905" s="17" t="s">
        <v>1687</v>
      </c>
      <c r="G905" s="3" t="s">
        <v>5425</v>
      </c>
      <c r="H905" s="6">
        <v>17069.903999999999</v>
      </c>
      <c r="I905">
        <f t="shared" si="28"/>
        <v>91</v>
      </c>
      <c r="J905">
        <f t="shared" si="29"/>
        <v>73</v>
      </c>
    </row>
    <row r="906" spans="2:10" ht="15.5" hidden="1" x14ac:dyDescent="0.35">
      <c r="B906" s="3" t="s">
        <v>5426</v>
      </c>
      <c r="C906" s="16" t="s">
        <v>2599</v>
      </c>
      <c r="D906" s="3" t="s">
        <v>861</v>
      </c>
      <c r="E906" s="16" t="s">
        <v>1740</v>
      </c>
      <c r="F906" s="17" t="s">
        <v>913</v>
      </c>
      <c r="G906" s="3" t="s">
        <v>5427</v>
      </c>
      <c r="H906" s="6">
        <v>32364.143999999997</v>
      </c>
      <c r="I906">
        <f t="shared" si="28"/>
        <v>95</v>
      </c>
      <c r="J906">
        <f t="shared" si="29"/>
        <v>73</v>
      </c>
    </row>
    <row r="907" spans="2:10" ht="15.5" hidden="1" x14ac:dyDescent="0.35">
      <c r="B907" s="3" t="s">
        <v>11</v>
      </c>
      <c r="C907" s="16" t="s">
        <v>2572</v>
      </c>
      <c r="D907" s="3" t="s">
        <v>860</v>
      </c>
      <c r="E907" s="16" t="s">
        <v>1713</v>
      </c>
      <c r="F907" s="17" t="s">
        <v>886</v>
      </c>
      <c r="G907" s="20" t="s">
        <v>5428</v>
      </c>
      <c r="H907" s="6">
        <v>50243.6</v>
      </c>
      <c r="I907">
        <f t="shared" si="28"/>
        <v>92</v>
      </c>
      <c r="J907">
        <f t="shared" si="29"/>
        <v>73</v>
      </c>
    </row>
    <row r="908" spans="2:10" ht="15.5" x14ac:dyDescent="0.35">
      <c r="B908" s="3" t="s">
        <v>5429</v>
      </c>
      <c r="C908" s="16" t="s">
        <v>2811</v>
      </c>
      <c r="D908" s="3" t="s">
        <v>861</v>
      </c>
      <c r="E908" s="16" t="s">
        <v>1952</v>
      </c>
      <c r="F908" s="17" t="s">
        <v>1121</v>
      </c>
      <c r="G908" s="20" t="s">
        <v>5430</v>
      </c>
      <c r="H908" s="6">
        <v>28382.643428320196</v>
      </c>
      <c r="I908">
        <f t="shared" si="28"/>
        <v>9</v>
      </c>
      <c r="J908">
        <f t="shared" si="29"/>
        <v>97</v>
      </c>
    </row>
    <row r="909" spans="2:10" ht="15.5" x14ac:dyDescent="0.35">
      <c r="B909" s="3" t="s">
        <v>490</v>
      </c>
      <c r="C909" s="16" t="s">
        <v>2843</v>
      </c>
      <c r="D909" s="3" t="s">
        <v>861</v>
      </c>
      <c r="E909" s="16" t="s">
        <v>1984</v>
      </c>
      <c r="F909" s="17" t="s">
        <v>1153</v>
      </c>
      <c r="G909" s="3" t="s">
        <v>5431</v>
      </c>
      <c r="H909" s="6">
        <v>14395.007999999998</v>
      </c>
      <c r="I909">
        <f t="shared" si="28"/>
        <v>7</v>
      </c>
      <c r="J909">
        <f t="shared" si="29"/>
        <v>97</v>
      </c>
    </row>
    <row r="910" spans="2:10" ht="15.5" hidden="1" x14ac:dyDescent="0.35">
      <c r="B910" s="3" t="s">
        <v>493</v>
      </c>
      <c r="C910" s="16" t="s">
        <v>5432</v>
      </c>
      <c r="D910" s="3" t="s">
        <v>860</v>
      </c>
      <c r="E910" s="16" t="s">
        <v>5433</v>
      </c>
      <c r="F910" s="17" t="s">
        <v>5434</v>
      </c>
      <c r="G910" s="3" t="s">
        <v>5435</v>
      </c>
      <c r="H910" s="6">
        <v>38552.671999999999</v>
      </c>
      <c r="I910">
        <f t="shared" si="28"/>
        <v>97</v>
      </c>
      <c r="J910">
        <f t="shared" si="29"/>
        <v>73</v>
      </c>
    </row>
    <row r="911" spans="2:10" ht="15.5" x14ac:dyDescent="0.35">
      <c r="B911" s="3" t="s">
        <v>5436</v>
      </c>
      <c r="C911" s="16" t="s">
        <v>2655</v>
      </c>
      <c r="D911" s="3" t="s">
        <v>861</v>
      </c>
      <c r="E911" s="16" t="s">
        <v>1796</v>
      </c>
      <c r="F911" s="17" t="s">
        <v>967</v>
      </c>
      <c r="G911" s="3" t="s">
        <v>3497</v>
      </c>
      <c r="H911" s="6">
        <v>13859.664000000001</v>
      </c>
      <c r="I911">
        <f t="shared" si="28"/>
        <v>10</v>
      </c>
      <c r="J911">
        <f t="shared" si="29"/>
        <v>97</v>
      </c>
    </row>
    <row r="912" spans="2:10" ht="15.5" x14ac:dyDescent="0.35">
      <c r="B912" s="3" t="s">
        <v>474</v>
      </c>
      <c r="C912" s="16" t="s">
        <v>2588</v>
      </c>
      <c r="D912" s="3" t="s">
        <v>861</v>
      </c>
      <c r="E912" s="16" t="s">
        <v>1729</v>
      </c>
      <c r="F912" s="17" t="s">
        <v>902</v>
      </c>
      <c r="G912" s="3" t="s">
        <v>5437</v>
      </c>
      <c r="H912" s="6">
        <v>19075.392</v>
      </c>
      <c r="I912">
        <f t="shared" si="28"/>
        <v>2</v>
      </c>
      <c r="J912">
        <f t="shared" si="29"/>
        <v>97</v>
      </c>
    </row>
    <row r="913" spans="2:10" ht="15.5" hidden="1" x14ac:dyDescent="0.35">
      <c r="B913" s="3" t="s">
        <v>543</v>
      </c>
      <c r="C913" s="16" t="s">
        <v>3175</v>
      </c>
      <c r="D913" s="3" t="s">
        <v>861</v>
      </c>
      <c r="E913" s="16" t="s">
        <v>2316</v>
      </c>
      <c r="F913" s="17" t="s">
        <v>1476</v>
      </c>
      <c r="G913" s="3" t="s">
        <v>3851</v>
      </c>
      <c r="H913" s="6">
        <v>43471.695999999996</v>
      </c>
      <c r="I913">
        <f t="shared" si="28"/>
        <v>87</v>
      </c>
      <c r="J913">
        <f t="shared" si="29"/>
        <v>73</v>
      </c>
    </row>
    <row r="914" spans="2:10" ht="15.5" x14ac:dyDescent="0.35">
      <c r="B914" s="3" t="s">
        <v>5438</v>
      </c>
      <c r="C914" s="16" t="s">
        <v>5439</v>
      </c>
      <c r="D914" s="3" t="s">
        <v>861</v>
      </c>
      <c r="E914" s="16" t="s">
        <v>5440</v>
      </c>
      <c r="F914" s="17" t="s">
        <v>5441</v>
      </c>
      <c r="G914" s="3" t="s">
        <v>3952</v>
      </c>
      <c r="H914" s="6">
        <v>13768.768</v>
      </c>
      <c r="I914">
        <f t="shared" si="28"/>
        <v>9</v>
      </c>
      <c r="J914">
        <f t="shared" si="29"/>
        <v>97</v>
      </c>
    </row>
    <row r="915" spans="2:10" ht="15.5" x14ac:dyDescent="0.35">
      <c r="B915" s="3" t="s">
        <v>329</v>
      </c>
      <c r="C915" s="16" t="s">
        <v>2737</v>
      </c>
      <c r="D915" s="3" t="s">
        <v>861</v>
      </c>
      <c r="E915" s="16" t="s">
        <v>1878</v>
      </c>
      <c r="F915" s="17" t="s">
        <v>1048</v>
      </c>
      <c r="G915" s="3" t="s">
        <v>5442</v>
      </c>
      <c r="H915" s="6">
        <v>18611.184000000001</v>
      </c>
      <c r="I915">
        <f t="shared" si="28"/>
        <v>12</v>
      </c>
      <c r="J915">
        <f t="shared" si="29"/>
        <v>97</v>
      </c>
    </row>
    <row r="916" spans="2:10" ht="15.5" hidden="1" x14ac:dyDescent="0.35">
      <c r="B916" s="3" t="s">
        <v>330</v>
      </c>
      <c r="C916" s="16" t="s">
        <v>3381</v>
      </c>
      <c r="D916" s="3" t="s">
        <v>860</v>
      </c>
      <c r="E916" s="16" t="s">
        <v>2522</v>
      </c>
      <c r="F916" s="17" t="s">
        <v>1666</v>
      </c>
      <c r="G916" s="3" t="s">
        <v>5443</v>
      </c>
      <c r="H916" s="6">
        <v>37798.143999999993</v>
      </c>
      <c r="I916">
        <f t="shared" si="28"/>
        <v>97</v>
      </c>
      <c r="J916">
        <f t="shared" si="29"/>
        <v>73</v>
      </c>
    </row>
  </sheetData>
  <autoFilter ref="B2:J916" xr:uid="{232FC584-A65A-4176-AE8B-55ED38C33C79}">
    <filterColumn colId="8">
      <filters>
        <filter val="97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FCC3-A268-43EA-8A55-6581E4C580CF}">
  <dimension ref="A1:U234"/>
  <sheetViews>
    <sheetView workbookViewId="0">
      <pane ySplit="1" topLeftCell="A224" activePane="bottomLeft" state="frozen"/>
      <selection pane="bottomLeft" activeCell="K234" sqref="K234"/>
    </sheetView>
  </sheetViews>
  <sheetFormatPr baseColWidth="10" defaultRowHeight="14.5" x14ac:dyDescent="0.35"/>
  <cols>
    <col min="3" max="3" width="17.6328125" customWidth="1"/>
    <col min="5" max="5" width="11.08984375" customWidth="1"/>
    <col min="6" max="6" width="11.90625" bestFit="1" customWidth="1"/>
    <col min="11" max="11" width="11.08984375" bestFit="1" customWidth="1"/>
    <col min="13" max="13" width="15" customWidth="1"/>
  </cols>
  <sheetData>
    <row r="1" spans="1:21" ht="93" x14ac:dyDescent="0.35">
      <c r="A1" s="2" t="s">
        <v>0</v>
      </c>
      <c r="B1" s="2" t="s">
        <v>2548</v>
      </c>
      <c r="C1" s="4" t="s">
        <v>862</v>
      </c>
      <c r="D1" s="4" t="s">
        <v>6315</v>
      </c>
      <c r="E1" s="4" t="s">
        <v>3407</v>
      </c>
      <c r="F1" s="72" t="s">
        <v>6301</v>
      </c>
      <c r="G1" s="73" t="s">
        <v>6302</v>
      </c>
      <c r="H1" s="72" t="s">
        <v>6303</v>
      </c>
      <c r="I1" s="72" t="s">
        <v>6305</v>
      </c>
      <c r="J1" s="72" t="s">
        <v>6306</v>
      </c>
      <c r="K1" s="72" t="s">
        <v>6307</v>
      </c>
      <c r="L1" s="72" t="s">
        <v>6308</v>
      </c>
      <c r="M1" s="72" t="s">
        <v>6309</v>
      </c>
      <c r="N1" s="72" t="s">
        <v>6310</v>
      </c>
      <c r="O1" s="72" t="s">
        <v>6311</v>
      </c>
      <c r="P1" s="72" t="s">
        <v>6312</v>
      </c>
      <c r="Q1" s="72" t="s">
        <v>6325</v>
      </c>
      <c r="R1" s="74" t="s">
        <v>6313</v>
      </c>
      <c r="S1" s="74" t="s">
        <v>6314</v>
      </c>
      <c r="T1" s="74" t="s">
        <v>6339</v>
      </c>
      <c r="U1" s="74" t="s">
        <v>6338</v>
      </c>
    </row>
    <row r="2" spans="1:21" ht="15.5" x14ac:dyDescent="0.35">
      <c r="A2" s="3" t="s">
        <v>1</v>
      </c>
      <c r="B2" s="16" t="s">
        <v>2549</v>
      </c>
      <c r="C2" s="17" t="s">
        <v>863</v>
      </c>
      <c r="D2" s="17" t="str">
        <f>_xlfn.CONCAT(MID(C2,5,2),"/",MID(C2,3,2),"/",MID(C2,1,2))</f>
        <v>07/05/65</v>
      </c>
      <c r="E2" s="3" t="s">
        <v>3408</v>
      </c>
      <c r="F2" s="6">
        <v>214815.915048</v>
      </c>
      <c r="G2" s="67" t="str">
        <f t="shared" ref="G2:G65" si="0">MID(B2,3,2)</f>
        <v>88</v>
      </c>
      <c r="H2">
        <f>2022-YEAR(D2)</f>
        <v>57</v>
      </c>
      <c r="I2">
        <f t="shared" ref="I2:I65" si="1">65-H2</f>
        <v>8</v>
      </c>
      <c r="J2">
        <f>103.74*(1+0.04)^I2</f>
        <v>141.97535328904314</v>
      </c>
      <c r="K2" s="69">
        <f t="shared" ref="K2:K65" si="2">F2*(1+0.06)^I2</f>
        <v>342383.9325778358</v>
      </c>
      <c r="L2">
        <f>MIN(K2,25*J2*30.4)</f>
        <v>107901.26849967278</v>
      </c>
      <c r="M2" s="69">
        <f>207.44*(1+0.05)^I2</f>
        <v>306.48335725960311</v>
      </c>
      <c r="N2" s="69">
        <f>L2/(M2*30)</f>
        <v>11.735413570736055</v>
      </c>
      <c r="O2">
        <f>_xlfn.XLOOKUP(N2,CBIA!$A$3:$A$24,CBIA!$C$3:$C$24,,-1)</f>
        <v>0.13</v>
      </c>
      <c r="P2" s="70">
        <f>_xlfn.XLOOKUP(N2,CBIA!$A$3:$A$24,CBIA!$D$3:$D$24,,-1)</f>
        <v>2.4500000000000001E-2</v>
      </c>
      <c r="Q2">
        <f t="shared" ref="Q2:Q65" si="3">(122-G2+I2)*52</f>
        <v>2184</v>
      </c>
      <c r="R2">
        <f>L2*(O2+P2*((Q2-500)/52))</f>
        <v>99638.521361870924</v>
      </c>
      <c r="S2" s="77">
        <f>R2/K2</f>
        <v>0.29101401053397741</v>
      </c>
      <c r="T2" s="77">
        <f>AVERAGE(S2:S232)</f>
        <v>0.98378119702856515</v>
      </c>
      <c r="U2" s="69">
        <f>AVERAGE(F2:F232)</f>
        <v>23134.75523278915</v>
      </c>
    </row>
    <row r="3" spans="1:21" ht="15.5" x14ac:dyDescent="0.35">
      <c r="A3" s="3" t="s">
        <v>2</v>
      </c>
      <c r="B3" s="16" t="s">
        <v>2550</v>
      </c>
      <c r="C3" s="17" t="s">
        <v>864</v>
      </c>
      <c r="D3" s="17" t="str">
        <f t="shared" ref="D3:D66" si="4">_xlfn.CONCAT(MID(C3,5,2),"/",MID(C3,3,2),"/",MID(C3,1,2))</f>
        <v>05/08/72</v>
      </c>
      <c r="E3" s="3" t="s">
        <v>3409</v>
      </c>
      <c r="F3" s="6">
        <v>16009.248</v>
      </c>
      <c r="G3" s="68" t="str">
        <f t="shared" si="0"/>
        <v>92</v>
      </c>
      <c r="H3">
        <f t="shared" ref="H3:H66" si="5">2022-YEAR(D3)</f>
        <v>50</v>
      </c>
      <c r="I3">
        <f t="shared" si="1"/>
        <v>15</v>
      </c>
      <c r="J3">
        <f t="shared" ref="J3:J66" si="6">103.74*(1+0.04)^I3</f>
        <v>186.82987926128754</v>
      </c>
      <c r="K3" s="69">
        <f t="shared" si="2"/>
        <v>38367.094459764863</v>
      </c>
      <c r="L3">
        <f t="shared" ref="L3:L66" si="7">MIN(K3,25*J3*30.4)</f>
        <v>38367.094459764863</v>
      </c>
      <c r="M3" s="69">
        <f t="shared" ref="M3:M66" si="8">207.44*(1+0.05)^I3</f>
        <v>431.25286153709413</v>
      </c>
      <c r="N3" s="69">
        <f t="shared" ref="N3:N66" si="9">L3/(M3*30)</f>
        <v>2.9655528408565099</v>
      </c>
      <c r="O3">
        <f>_xlfn.XLOOKUP(N3,CBIA!$A$3:$A$24,CBIA!$C$3:$C$24,,-1)</f>
        <v>0.27829999999999999</v>
      </c>
      <c r="P3" s="70">
        <f>_xlfn.XLOOKUP(N3,CBIA!$A$3:$A$24,CBIA!$D$3:$D$24,,-1)</f>
        <v>2.0330000000000001E-2</v>
      </c>
      <c r="Q3">
        <f t="shared" si="3"/>
        <v>2340</v>
      </c>
      <c r="R3">
        <f t="shared" ref="R3:R66" si="10">L3*(O3+P3*((Q3-500)/52))</f>
        <v>38277.669616524028</v>
      </c>
      <c r="S3" s="77">
        <f t="shared" ref="S3:S66" si="11">R3/K3</f>
        <v>0.99766923076923086</v>
      </c>
      <c r="U3" s="69">
        <f>U2</f>
        <v>23134.75523278915</v>
      </c>
    </row>
    <row r="4" spans="1:21" ht="15.5" x14ac:dyDescent="0.35">
      <c r="A4" s="3" t="s">
        <v>3</v>
      </c>
      <c r="B4" s="16" t="s">
        <v>2551</v>
      </c>
      <c r="C4" s="17" t="s">
        <v>865</v>
      </c>
      <c r="D4" s="17" t="str">
        <f t="shared" si="4"/>
        <v>18/04/69</v>
      </c>
      <c r="E4" s="3" t="s">
        <v>3410</v>
      </c>
      <c r="F4" s="68">
        <v>20168.576000000001</v>
      </c>
      <c r="G4" s="68" t="str">
        <f t="shared" si="0"/>
        <v>86</v>
      </c>
      <c r="H4">
        <f t="shared" si="5"/>
        <v>53</v>
      </c>
      <c r="I4">
        <f t="shared" si="1"/>
        <v>12</v>
      </c>
      <c r="J4">
        <f t="shared" si="6"/>
        <v>166.0910823542113</v>
      </c>
      <c r="K4" s="69">
        <f t="shared" si="2"/>
        <v>40583.137469147186</v>
      </c>
      <c r="L4">
        <f t="shared" si="7"/>
        <v>40583.137469147186</v>
      </c>
      <c r="M4" s="69">
        <f t="shared" si="8"/>
        <v>372.53243627003047</v>
      </c>
      <c r="N4" s="69">
        <f t="shared" si="9"/>
        <v>3.6312844661693173</v>
      </c>
      <c r="O4">
        <f>_xlfn.XLOOKUP(N4,CBIA!$A$3:$A$24,CBIA!$C$3:$C$24,,-1)</f>
        <v>0.22070000000000001</v>
      </c>
      <c r="P4" s="70">
        <f>_xlfn.XLOOKUP(N4,CBIA!$A$3:$A$24,CBIA!$D$3:$D$24,,-1)</f>
        <v>2.1949999999999997E-2</v>
      </c>
      <c r="Q4">
        <f t="shared" si="3"/>
        <v>2496</v>
      </c>
      <c r="R4">
        <f t="shared" si="10"/>
        <v>43149.708736090215</v>
      </c>
      <c r="S4" s="77">
        <f t="shared" si="11"/>
        <v>1.0632423076923077</v>
      </c>
    </row>
    <row r="5" spans="1:21" ht="15.5" x14ac:dyDescent="0.35">
      <c r="A5" s="3" t="s">
        <v>4</v>
      </c>
      <c r="B5" s="16" t="s">
        <v>2552</v>
      </c>
      <c r="C5" s="17" t="s">
        <v>866</v>
      </c>
      <c r="D5" s="17" t="str">
        <f t="shared" si="4"/>
        <v>16/05/72</v>
      </c>
      <c r="E5" s="3" t="s">
        <v>3411</v>
      </c>
      <c r="F5" s="68">
        <v>11524.335999999999</v>
      </c>
      <c r="G5" s="68" t="str">
        <f t="shared" si="0"/>
        <v>94</v>
      </c>
      <c r="H5">
        <f t="shared" si="5"/>
        <v>50</v>
      </c>
      <c r="I5">
        <f t="shared" si="1"/>
        <v>15</v>
      </c>
      <c r="J5">
        <f t="shared" si="6"/>
        <v>186.82987926128754</v>
      </c>
      <c r="K5" s="69">
        <f t="shared" si="2"/>
        <v>27618.741860833736</v>
      </c>
      <c r="L5">
        <f t="shared" si="7"/>
        <v>27618.741860833736</v>
      </c>
      <c r="M5" s="69">
        <f t="shared" si="8"/>
        <v>431.25286153709413</v>
      </c>
      <c r="N5" s="69">
        <f t="shared" si="9"/>
        <v>2.134767814439813</v>
      </c>
      <c r="O5">
        <f>_xlfn.XLOOKUP(N5,CBIA!$A$3:$A$24,CBIA!$C$3:$C$24,,-1)</f>
        <v>0.3765</v>
      </c>
      <c r="P5" s="70">
        <f>_xlfn.XLOOKUP(N5,CBIA!$A$3:$A$24,CBIA!$D$3:$D$24,,-1)</f>
        <v>1.7559999999999999E-2</v>
      </c>
      <c r="Q5">
        <f t="shared" si="3"/>
        <v>2236</v>
      </c>
      <c r="R5">
        <f t="shared" si="10"/>
        <v>26589.497577610695</v>
      </c>
      <c r="S5" s="77">
        <f t="shared" si="11"/>
        <v>0.96273384615384605</v>
      </c>
    </row>
    <row r="6" spans="1:21" ht="15.5" x14ac:dyDescent="0.35">
      <c r="A6" s="3" t="s">
        <v>5</v>
      </c>
      <c r="B6" s="16" t="s">
        <v>2553</v>
      </c>
      <c r="C6" s="17" t="s">
        <v>867</v>
      </c>
      <c r="D6" s="17" t="str">
        <f t="shared" si="4"/>
        <v>04/09/64</v>
      </c>
      <c r="E6" s="3" t="s">
        <v>3412</v>
      </c>
      <c r="F6" s="68">
        <v>12877.44</v>
      </c>
      <c r="G6" s="68" t="str">
        <f t="shared" si="0"/>
        <v>88</v>
      </c>
      <c r="H6">
        <f t="shared" si="5"/>
        <v>58</v>
      </c>
      <c r="I6">
        <f t="shared" si="1"/>
        <v>7</v>
      </c>
      <c r="J6">
        <f t="shared" si="6"/>
        <v>136.51476277792605</v>
      </c>
      <c r="K6" s="69">
        <f t="shared" si="2"/>
        <v>19362.90844234571</v>
      </c>
      <c r="L6">
        <f t="shared" si="7"/>
        <v>19362.90844234571</v>
      </c>
      <c r="M6" s="69">
        <f t="shared" si="8"/>
        <v>291.88891167581255</v>
      </c>
      <c r="N6" s="69">
        <f t="shared" si="9"/>
        <v>2.2112189110094498</v>
      </c>
      <c r="O6">
        <f>_xlfn.XLOOKUP(N6,CBIA!$A$3:$A$24,CBIA!$C$3:$C$24,,-1)</f>
        <v>0.3765</v>
      </c>
      <c r="P6" s="70">
        <f>_xlfn.XLOOKUP(N6,CBIA!$A$3:$A$24,CBIA!$D$3:$D$24,,-1)</f>
        <v>1.7559999999999999E-2</v>
      </c>
      <c r="Q6">
        <f t="shared" si="3"/>
        <v>2132</v>
      </c>
      <c r="R6">
        <f t="shared" si="10"/>
        <v>17961.301972929083</v>
      </c>
      <c r="S6" s="77">
        <f t="shared" si="11"/>
        <v>0.92761384615384623</v>
      </c>
    </row>
    <row r="7" spans="1:21" ht="15.5" x14ac:dyDescent="0.35">
      <c r="A7" s="3" t="s">
        <v>6</v>
      </c>
      <c r="B7" s="16" t="s">
        <v>2554</v>
      </c>
      <c r="C7" s="17" t="s">
        <v>868</v>
      </c>
      <c r="D7" s="17" t="str">
        <f t="shared" si="4"/>
        <v>19/03/75</v>
      </c>
      <c r="E7" s="3" t="s">
        <v>3413</v>
      </c>
      <c r="F7" s="68">
        <v>44069.36</v>
      </c>
      <c r="G7" s="68" t="str">
        <f t="shared" si="0"/>
        <v>95</v>
      </c>
      <c r="H7">
        <f t="shared" si="5"/>
        <v>47</v>
      </c>
      <c r="I7">
        <f t="shared" si="1"/>
        <v>18</v>
      </c>
      <c r="J7">
        <f t="shared" si="6"/>
        <v>210.15820530536899</v>
      </c>
      <c r="K7" s="69">
        <f t="shared" si="2"/>
        <v>125788.89969181023</v>
      </c>
      <c r="L7">
        <f t="shared" si="7"/>
        <v>125788.89969181023</v>
      </c>
      <c r="M7" s="69">
        <f t="shared" si="8"/>
        <v>499.22909383687863</v>
      </c>
      <c r="N7" s="69">
        <f t="shared" si="9"/>
        <v>8.3988761368751028</v>
      </c>
      <c r="O7">
        <f>_xlfn.XLOOKUP(N7,CBIA!$A$3:$A$24,CBIA!$C$3:$C$24,,-1)</f>
        <v>0.13</v>
      </c>
      <c r="P7" s="70">
        <f>_xlfn.XLOOKUP(N7,CBIA!$A$3:$A$24,CBIA!$D$3:$D$24,,-1)</f>
        <v>2.4500000000000001E-2</v>
      </c>
      <c r="Q7">
        <f t="shared" si="3"/>
        <v>2340</v>
      </c>
      <c r="R7">
        <f t="shared" si="10"/>
        <v>125401.85692352775</v>
      </c>
      <c r="S7" s="77">
        <f t="shared" si="11"/>
        <v>0.99692307692307702</v>
      </c>
    </row>
    <row r="8" spans="1:21" ht="15.5" x14ac:dyDescent="0.35">
      <c r="A8" s="3" t="s">
        <v>13</v>
      </c>
      <c r="B8" s="16" t="s">
        <v>2561</v>
      </c>
      <c r="C8" s="17" t="s">
        <v>875</v>
      </c>
      <c r="D8" s="17" t="str">
        <f t="shared" si="4"/>
        <v>18/03/68</v>
      </c>
      <c r="E8" s="3" t="s">
        <v>3417</v>
      </c>
      <c r="F8" s="68">
        <v>56417.231999999996</v>
      </c>
      <c r="G8" s="68" t="str">
        <f t="shared" si="0"/>
        <v>92</v>
      </c>
      <c r="H8">
        <f t="shared" si="5"/>
        <v>54</v>
      </c>
      <c r="I8">
        <f t="shared" si="1"/>
        <v>11</v>
      </c>
      <c r="J8">
        <f t="shared" si="6"/>
        <v>159.70296380212622</v>
      </c>
      <c r="K8" s="69">
        <f t="shared" si="2"/>
        <v>107096.75017087527</v>
      </c>
      <c r="L8">
        <f t="shared" si="7"/>
        <v>107096.75017087527</v>
      </c>
      <c r="M8" s="69">
        <f t="shared" si="8"/>
        <v>354.79279644764813</v>
      </c>
      <c r="N8" s="69">
        <f t="shared" si="9"/>
        <v>10.061905732320213</v>
      </c>
      <c r="O8">
        <f>_xlfn.XLOOKUP(N8,CBIA!$A$3:$A$24,CBIA!$C$3:$C$24,,-1)</f>
        <v>0.13</v>
      </c>
      <c r="P8" s="70">
        <f>_xlfn.XLOOKUP(N8,CBIA!$A$3:$A$24,CBIA!$D$3:$D$24,,-1)</f>
        <v>2.4500000000000001E-2</v>
      </c>
      <c r="Q8">
        <f t="shared" si="3"/>
        <v>2132</v>
      </c>
      <c r="R8">
        <f t="shared" si="10"/>
        <v>96271.740192065263</v>
      </c>
      <c r="S8" s="77">
        <f t="shared" si="11"/>
        <v>0.89892307692307694</v>
      </c>
    </row>
    <row r="9" spans="1:21" ht="15.5" x14ac:dyDescent="0.35">
      <c r="A9" s="3" t="s">
        <v>14</v>
      </c>
      <c r="B9" s="16" t="s">
        <v>2562</v>
      </c>
      <c r="C9" s="17" t="s">
        <v>876</v>
      </c>
      <c r="D9" s="17" t="str">
        <f t="shared" si="4"/>
        <v>22/12/75</v>
      </c>
      <c r="E9" s="3" t="s">
        <v>3418</v>
      </c>
      <c r="F9" s="68">
        <v>24313.007999999998</v>
      </c>
      <c r="G9" s="68" t="str">
        <f t="shared" si="0"/>
        <v>94</v>
      </c>
      <c r="H9">
        <f t="shared" si="5"/>
        <v>47</v>
      </c>
      <c r="I9">
        <f t="shared" si="1"/>
        <v>18</v>
      </c>
      <c r="J9">
        <f t="shared" si="6"/>
        <v>210.15820530536899</v>
      </c>
      <c r="K9" s="69">
        <f t="shared" si="2"/>
        <v>69397.570659482677</v>
      </c>
      <c r="L9">
        <f t="shared" si="7"/>
        <v>69397.570659482677</v>
      </c>
      <c r="M9" s="69">
        <f t="shared" si="8"/>
        <v>499.22909383687863</v>
      </c>
      <c r="N9" s="69">
        <f t="shared" si="9"/>
        <v>4.6336489276643329</v>
      </c>
      <c r="O9">
        <f>_xlfn.XLOOKUP(N9,CBIA!$A$3:$A$24,CBIA!$C$3:$C$24,,-1)</f>
        <v>0.17300000000000001</v>
      </c>
      <c r="P9" s="70">
        <f>_xlfn.XLOOKUP(N9,CBIA!$A$3:$A$24,CBIA!$D$3:$D$24,,-1)</f>
        <v>2.3300000000000001E-2</v>
      </c>
      <c r="Q9">
        <f t="shared" si="3"/>
        <v>2392</v>
      </c>
      <c r="R9">
        <f t="shared" si="10"/>
        <v>70838.370991866861</v>
      </c>
      <c r="S9" s="77">
        <f t="shared" si="11"/>
        <v>1.0207615384615385</v>
      </c>
    </row>
    <row r="10" spans="1:21" ht="15.5" x14ac:dyDescent="0.35">
      <c r="A10" s="3" t="s">
        <v>15</v>
      </c>
      <c r="B10" s="16" t="s">
        <v>2563</v>
      </c>
      <c r="C10" s="17" t="s">
        <v>877</v>
      </c>
      <c r="D10" s="17" t="str">
        <f t="shared" si="4"/>
        <v>18/06/73</v>
      </c>
      <c r="E10" s="3" t="s">
        <v>3418</v>
      </c>
      <c r="F10" s="68">
        <v>17233.455999999998</v>
      </c>
      <c r="G10" s="68" t="str">
        <f t="shared" si="0"/>
        <v>91</v>
      </c>
      <c r="H10">
        <f t="shared" si="5"/>
        <v>49</v>
      </c>
      <c r="I10">
        <f t="shared" si="1"/>
        <v>16</v>
      </c>
      <c r="J10">
        <f t="shared" si="6"/>
        <v>194.30307443173908</v>
      </c>
      <c r="K10" s="69">
        <f t="shared" si="2"/>
        <v>43779.03898255642</v>
      </c>
      <c r="L10">
        <f t="shared" si="7"/>
        <v>43779.03898255642</v>
      </c>
      <c r="M10" s="69">
        <f t="shared" si="8"/>
        <v>452.8155046139488</v>
      </c>
      <c r="N10" s="69">
        <f t="shared" si="9"/>
        <v>3.2227282072920307</v>
      </c>
      <c r="O10">
        <f>_xlfn.XLOOKUP(N10,CBIA!$A$3:$A$24,CBIA!$C$3:$C$24,,-1)</f>
        <v>0.25600000000000001</v>
      </c>
      <c r="P10" s="70">
        <f>_xlfn.XLOOKUP(N10,CBIA!$A$3:$A$24,CBIA!$D$3:$D$24,,-1)</f>
        <v>2.0959999999999999E-2</v>
      </c>
      <c r="Q10">
        <f t="shared" si="3"/>
        <v>2444</v>
      </c>
      <c r="R10">
        <f t="shared" si="10"/>
        <v>45511.880697853674</v>
      </c>
      <c r="S10" s="77">
        <f t="shared" si="11"/>
        <v>1.0395815384615386</v>
      </c>
    </row>
    <row r="11" spans="1:21" ht="15.5" x14ac:dyDescent="0.35">
      <c r="A11" s="3" t="s">
        <v>17</v>
      </c>
      <c r="B11" s="16" t="s">
        <v>2565</v>
      </c>
      <c r="C11" s="17" t="s">
        <v>879</v>
      </c>
      <c r="D11" s="17" t="str">
        <f t="shared" si="4"/>
        <v>01/12/70</v>
      </c>
      <c r="E11" s="3" t="s">
        <v>3419</v>
      </c>
      <c r="F11" s="68">
        <v>24767.791999999998</v>
      </c>
      <c r="G11" s="68" t="str">
        <f t="shared" si="0"/>
        <v>92</v>
      </c>
      <c r="H11">
        <f t="shared" si="5"/>
        <v>52</v>
      </c>
      <c r="I11">
        <f t="shared" si="1"/>
        <v>13</v>
      </c>
      <c r="J11">
        <f t="shared" si="6"/>
        <v>172.73472564837977</v>
      </c>
      <c r="K11" s="69">
        <f t="shared" si="2"/>
        <v>52827.923498210213</v>
      </c>
      <c r="L11">
        <f t="shared" si="7"/>
        <v>52827.923498210213</v>
      </c>
      <c r="M11" s="69">
        <f t="shared" si="8"/>
        <v>391.15905808353205</v>
      </c>
      <c r="N11" s="69">
        <f t="shared" si="9"/>
        <v>4.5018279568963138</v>
      </c>
      <c r="O11">
        <f>_xlfn.XLOOKUP(N11,CBIA!$A$3:$A$24,CBIA!$C$3:$C$24,,-1)</f>
        <v>0.18289999999999998</v>
      </c>
      <c r="P11" s="70">
        <f>_xlfn.XLOOKUP(N11,CBIA!$A$3:$A$24,CBIA!$D$3:$D$24,,-1)</f>
        <v>2.3019999999999999E-2</v>
      </c>
      <c r="Q11">
        <f t="shared" si="3"/>
        <v>2236</v>
      </c>
      <c r="R11">
        <f t="shared" si="10"/>
        <v>50261.217879753327</v>
      </c>
      <c r="S11" s="77">
        <f t="shared" si="11"/>
        <v>0.95141384615384617</v>
      </c>
    </row>
    <row r="12" spans="1:21" ht="15.5" x14ac:dyDescent="0.35">
      <c r="A12" s="3" t="s">
        <v>18</v>
      </c>
      <c r="B12" s="16" t="s">
        <v>2566</v>
      </c>
      <c r="C12" s="17" t="s">
        <v>880</v>
      </c>
      <c r="D12" s="17" t="str">
        <f t="shared" si="4"/>
        <v>16/08/77</v>
      </c>
      <c r="E12" s="3" t="s">
        <v>3420</v>
      </c>
      <c r="F12" s="68">
        <v>16222.96</v>
      </c>
      <c r="G12" s="68" t="str">
        <f t="shared" si="0"/>
        <v>97</v>
      </c>
      <c r="H12">
        <f t="shared" si="5"/>
        <v>45</v>
      </c>
      <c r="I12">
        <f t="shared" si="1"/>
        <v>20</v>
      </c>
      <c r="J12">
        <f t="shared" si="6"/>
        <v>227.30711485828712</v>
      </c>
      <c r="K12" s="69">
        <f t="shared" si="2"/>
        <v>52029.230480290142</v>
      </c>
      <c r="L12">
        <f t="shared" si="7"/>
        <v>52029.230480290142</v>
      </c>
      <c r="M12" s="69">
        <f t="shared" si="8"/>
        <v>550.40007595515863</v>
      </c>
      <c r="N12" s="69">
        <f t="shared" si="9"/>
        <v>3.1509946281650456</v>
      </c>
      <c r="O12">
        <f>_xlfn.XLOOKUP(N12,CBIA!$A$3:$A$24,CBIA!$C$3:$C$24,,-1)</f>
        <v>0.25600000000000001</v>
      </c>
      <c r="P12" s="70">
        <f>_xlfn.XLOOKUP(N12,CBIA!$A$3:$A$24,CBIA!$D$3:$D$24,,-1)</f>
        <v>2.0959999999999999E-2</v>
      </c>
      <c r="Q12">
        <f t="shared" si="3"/>
        <v>2340</v>
      </c>
      <c r="R12">
        <f t="shared" si="10"/>
        <v>51907.562125936231</v>
      </c>
      <c r="S12" s="77">
        <f t="shared" si="11"/>
        <v>0.99766153846153838</v>
      </c>
    </row>
    <row r="13" spans="1:21" ht="15.5" x14ac:dyDescent="0.35">
      <c r="A13" s="3" t="s">
        <v>20</v>
      </c>
      <c r="B13" s="16" t="s">
        <v>2568</v>
      </c>
      <c r="C13" s="17" t="s">
        <v>882</v>
      </c>
      <c r="D13" s="17" t="str">
        <f t="shared" si="4"/>
        <v>23/07/69</v>
      </c>
      <c r="E13" s="3" t="s">
        <v>3422</v>
      </c>
      <c r="F13" s="68">
        <v>16808.464</v>
      </c>
      <c r="G13" s="68" t="str">
        <f t="shared" si="0"/>
        <v>89</v>
      </c>
      <c r="H13">
        <f t="shared" si="5"/>
        <v>53</v>
      </c>
      <c r="I13">
        <f t="shared" si="1"/>
        <v>12</v>
      </c>
      <c r="J13">
        <f t="shared" si="6"/>
        <v>166.0910823542113</v>
      </c>
      <c r="K13" s="69">
        <f t="shared" si="2"/>
        <v>33821.93195777489</v>
      </c>
      <c r="L13">
        <f t="shared" si="7"/>
        <v>33821.93195777489</v>
      </c>
      <c r="M13" s="69">
        <f t="shared" si="8"/>
        <v>372.53243627003047</v>
      </c>
      <c r="N13" s="69">
        <f t="shared" si="9"/>
        <v>3.0263075699229431</v>
      </c>
      <c r="O13">
        <f>_xlfn.XLOOKUP(N13,CBIA!$A$3:$A$24,CBIA!$C$3:$C$24,,-1)</f>
        <v>0.25600000000000001</v>
      </c>
      <c r="P13" s="70">
        <f>_xlfn.XLOOKUP(N13,CBIA!$A$3:$A$24,CBIA!$D$3:$D$24,,-1)</f>
        <v>2.0959999999999999E-2</v>
      </c>
      <c r="Q13">
        <f t="shared" si="3"/>
        <v>2340</v>
      </c>
      <c r="R13">
        <f t="shared" si="10"/>
        <v>33742.840670735168</v>
      </c>
      <c r="S13" s="77">
        <f t="shared" si="11"/>
        <v>0.99766153846153838</v>
      </c>
    </row>
    <row r="14" spans="1:21" ht="15.5" x14ac:dyDescent="0.35">
      <c r="A14" s="3" t="s">
        <v>21</v>
      </c>
      <c r="B14" s="16" t="s">
        <v>2569</v>
      </c>
      <c r="C14" s="17" t="s">
        <v>883</v>
      </c>
      <c r="D14" s="17" t="str">
        <f t="shared" si="4"/>
        <v>18/06/57</v>
      </c>
      <c r="E14" s="3" t="s">
        <v>3423</v>
      </c>
      <c r="F14" s="68">
        <v>7569.5999999999995</v>
      </c>
      <c r="G14" s="68" t="str">
        <f t="shared" si="0"/>
        <v>79</v>
      </c>
      <c r="H14">
        <f t="shared" si="5"/>
        <v>65</v>
      </c>
      <c r="I14">
        <f t="shared" si="1"/>
        <v>0</v>
      </c>
      <c r="J14">
        <f t="shared" si="6"/>
        <v>103.74</v>
      </c>
      <c r="K14" s="69">
        <f t="shared" si="2"/>
        <v>7569.5999999999995</v>
      </c>
      <c r="L14">
        <f t="shared" si="7"/>
        <v>7569.5999999999995</v>
      </c>
      <c r="M14" s="69">
        <f t="shared" si="8"/>
        <v>207.44</v>
      </c>
      <c r="N14" s="69">
        <f t="shared" si="9"/>
        <v>1.2163517161588893</v>
      </c>
      <c r="O14">
        <f>_xlfn.XLOOKUP(N14,CBIA!$A$3:$A$24,CBIA!$C$3:$C$24,,-1)</f>
        <v>0.77110000000000001</v>
      </c>
      <c r="P14" s="70">
        <f>_xlfn.XLOOKUP(N14,CBIA!$A$3:$A$24,CBIA!$D$3:$D$24,,-1)</f>
        <v>8.1399999999999997E-3</v>
      </c>
      <c r="Q14">
        <f t="shared" si="3"/>
        <v>2236</v>
      </c>
      <c r="R14">
        <f t="shared" si="10"/>
        <v>7893.963182769231</v>
      </c>
      <c r="S14" s="77">
        <f t="shared" si="11"/>
        <v>1.0428507692307694</v>
      </c>
    </row>
    <row r="15" spans="1:21" ht="15.5" x14ac:dyDescent="0.35">
      <c r="A15" s="3" t="s">
        <v>22</v>
      </c>
      <c r="B15" s="16" t="s">
        <v>2570</v>
      </c>
      <c r="C15" s="17" t="s">
        <v>884</v>
      </c>
      <c r="D15" s="17" t="str">
        <f t="shared" si="4"/>
        <v>09/03/73</v>
      </c>
      <c r="E15" s="3" t="s">
        <v>3424</v>
      </c>
      <c r="F15" s="68">
        <v>50655.519999999997</v>
      </c>
      <c r="G15" s="68" t="str">
        <f t="shared" si="0"/>
        <v>91</v>
      </c>
      <c r="H15">
        <f t="shared" si="5"/>
        <v>49</v>
      </c>
      <c r="I15">
        <f t="shared" si="1"/>
        <v>16</v>
      </c>
      <c r="J15">
        <f t="shared" si="6"/>
        <v>194.30307443173908</v>
      </c>
      <c r="K15" s="69">
        <f t="shared" si="2"/>
        <v>128682.83557062881</v>
      </c>
      <c r="L15">
        <f t="shared" si="7"/>
        <v>128682.83557062881</v>
      </c>
      <c r="M15" s="69">
        <f t="shared" si="8"/>
        <v>452.8155046139488</v>
      </c>
      <c r="N15" s="69">
        <f t="shared" si="9"/>
        <v>9.4727936845079483</v>
      </c>
      <c r="O15">
        <f>_xlfn.XLOOKUP(N15,CBIA!$A$3:$A$24,CBIA!$C$3:$C$24,,-1)</f>
        <v>0.13</v>
      </c>
      <c r="P15" s="70">
        <f>_xlfn.XLOOKUP(N15,CBIA!$A$3:$A$24,CBIA!$D$3:$D$24,,-1)</f>
        <v>2.4500000000000001E-2</v>
      </c>
      <c r="Q15">
        <f t="shared" si="3"/>
        <v>2444</v>
      </c>
      <c r="R15">
        <f t="shared" si="10"/>
        <v>134592.34732721845</v>
      </c>
      <c r="S15" s="77">
        <f t="shared" si="11"/>
        <v>1.045923076923077</v>
      </c>
    </row>
    <row r="16" spans="1:21" ht="15.5" x14ac:dyDescent="0.35">
      <c r="A16" s="3" t="s">
        <v>23</v>
      </c>
      <c r="B16" s="16" t="s">
        <v>2571</v>
      </c>
      <c r="C16" s="17" t="s">
        <v>885</v>
      </c>
      <c r="D16" s="17" t="str">
        <f t="shared" si="4"/>
        <v>03/12/69</v>
      </c>
      <c r="E16" s="3" t="s">
        <v>3425</v>
      </c>
      <c r="F16" s="68">
        <v>9527.0559999999987</v>
      </c>
      <c r="G16" s="68" t="str">
        <f t="shared" si="0"/>
        <v>90</v>
      </c>
      <c r="H16">
        <f t="shared" si="5"/>
        <v>53</v>
      </c>
      <c r="I16">
        <f t="shared" si="1"/>
        <v>12</v>
      </c>
      <c r="J16">
        <f t="shared" si="6"/>
        <v>166.0910823542113</v>
      </c>
      <c r="K16" s="69">
        <f t="shared" si="2"/>
        <v>19170.308470179723</v>
      </c>
      <c r="L16">
        <f t="shared" si="7"/>
        <v>19170.308470179723</v>
      </c>
      <c r="M16" s="69">
        <f t="shared" si="8"/>
        <v>372.53243627003047</v>
      </c>
      <c r="N16" s="69">
        <f t="shared" si="9"/>
        <v>1.715314480364166</v>
      </c>
      <c r="O16">
        <f>_xlfn.XLOOKUP(N16,CBIA!$A$3:$A$24,CBIA!$C$3:$C$24,,-1)</f>
        <v>0.49229999999999996</v>
      </c>
      <c r="P16" s="70">
        <f>_xlfn.XLOOKUP(N16,CBIA!$A$3:$A$24,CBIA!$D$3:$D$24,,-1)</f>
        <v>1.43E-2</v>
      </c>
      <c r="Q16">
        <f t="shared" si="3"/>
        <v>2288</v>
      </c>
      <c r="R16">
        <f t="shared" si="10"/>
        <v>18863.583534656849</v>
      </c>
      <c r="S16" s="77">
        <f t="shared" si="11"/>
        <v>0.9840000000000001</v>
      </c>
    </row>
    <row r="17" spans="1:19" ht="15.5" x14ac:dyDescent="0.35">
      <c r="A17" s="3" t="s">
        <v>26</v>
      </c>
      <c r="B17" s="16" t="s">
        <v>2574</v>
      </c>
      <c r="C17" s="17" t="s">
        <v>888</v>
      </c>
      <c r="D17" s="17" t="str">
        <f t="shared" si="4"/>
        <v>05/05/67</v>
      </c>
      <c r="E17" s="3" t="s">
        <v>3427</v>
      </c>
      <c r="F17" s="68">
        <v>8663.6959999999999</v>
      </c>
      <c r="G17" s="68" t="str">
        <f t="shared" si="0"/>
        <v>85</v>
      </c>
      <c r="H17">
        <f t="shared" si="5"/>
        <v>55</v>
      </c>
      <c r="I17">
        <f t="shared" si="1"/>
        <v>10</v>
      </c>
      <c r="J17">
        <f t="shared" si="6"/>
        <v>153.56054211742907</v>
      </c>
      <c r="K17" s="69">
        <f t="shared" si="2"/>
        <v>15515.360025147544</v>
      </c>
      <c r="L17">
        <f t="shared" si="7"/>
        <v>15515.360025147544</v>
      </c>
      <c r="M17" s="69">
        <f t="shared" si="8"/>
        <v>337.89790137871245</v>
      </c>
      <c r="N17" s="69">
        <f t="shared" si="9"/>
        <v>1.5305767375135888</v>
      </c>
      <c r="O17">
        <f>_xlfn.XLOOKUP(N17,CBIA!$A$3:$A$24,CBIA!$C$3:$C$24,,-1)</f>
        <v>0.49229999999999996</v>
      </c>
      <c r="P17" s="70">
        <f>_xlfn.XLOOKUP(N17,CBIA!$A$3:$A$24,CBIA!$D$3:$D$24,,-1)</f>
        <v>1.43E-2</v>
      </c>
      <c r="Q17">
        <f t="shared" si="3"/>
        <v>2444</v>
      </c>
      <c r="R17">
        <f t="shared" si="10"/>
        <v>15932.723209824011</v>
      </c>
      <c r="S17" s="77">
        <f t="shared" si="11"/>
        <v>1.0268999999999999</v>
      </c>
    </row>
    <row r="18" spans="1:19" ht="15.5" x14ac:dyDescent="0.35">
      <c r="A18" s="3" t="s">
        <v>27</v>
      </c>
      <c r="B18" s="16" t="s">
        <v>2575</v>
      </c>
      <c r="C18" s="17" t="s">
        <v>889</v>
      </c>
      <c r="D18" s="17" t="str">
        <f t="shared" si="4"/>
        <v>29/10/63</v>
      </c>
      <c r="E18" s="3" t="s">
        <v>3427</v>
      </c>
      <c r="F18" s="6">
        <v>6598.6239999999998</v>
      </c>
      <c r="G18" s="68" t="str">
        <f t="shared" si="0"/>
        <v>86</v>
      </c>
      <c r="H18">
        <f t="shared" si="5"/>
        <v>59</v>
      </c>
      <c r="I18">
        <f t="shared" si="1"/>
        <v>6</v>
      </c>
      <c r="J18">
        <f t="shared" si="6"/>
        <v>131.26419497877507</v>
      </c>
      <c r="K18" s="69">
        <f t="shared" si="2"/>
        <v>9360.2742585911401</v>
      </c>
      <c r="L18">
        <f t="shared" si="7"/>
        <v>9360.2742585911401</v>
      </c>
      <c r="M18" s="69">
        <f t="shared" si="8"/>
        <v>277.98943969124997</v>
      </c>
      <c r="N18" s="69">
        <f t="shared" si="9"/>
        <v>1.122377678445527</v>
      </c>
      <c r="O18">
        <f>_xlfn.XLOOKUP(N18,CBIA!$A$3:$A$24,CBIA!$C$3:$C$24,,-1)</f>
        <v>0.77110000000000001</v>
      </c>
      <c r="P18" s="70">
        <f>_xlfn.XLOOKUP(N18,CBIA!$A$3:$A$24,CBIA!$D$3:$D$24,,-1)</f>
        <v>8.1399999999999997E-3</v>
      </c>
      <c r="Q18">
        <f t="shared" si="3"/>
        <v>2184</v>
      </c>
      <c r="R18">
        <f t="shared" si="10"/>
        <v>9685.1765783178071</v>
      </c>
      <c r="S18" s="77">
        <f t="shared" si="11"/>
        <v>1.0347107692307693</v>
      </c>
    </row>
    <row r="19" spans="1:19" ht="15.5" x14ac:dyDescent="0.35">
      <c r="A19" s="3" t="s">
        <v>28</v>
      </c>
      <c r="B19" s="16" t="s">
        <v>2576</v>
      </c>
      <c r="C19" s="17" t="s">
        <v>890</v>
      </c>
      <c r="D19" s="17" t="str">
        <f t="shared" si="4"/>
        <v>02/05/64</v>
      </c>
      <c r="E19" s="3" t="s">
        <v>3428</v>
      </c>
      <c r="F19" s="6">
        <v>17375.12</v>
      </c>
      <c r="G19" s="68" t="str">
        <f t="shared" si="0"/>
        <v>89</v>
      </c>
      <c r="H19">
        <f t="shared" si="5"/>
        <v>58</v>
      </c>
      <c r="I19">
        <f t="shared" si="1"/>
        <v>7</v>
      </c>
      <c r="J19">
        <f t="shared" si="6"/>
        <v>136.51476277792605</v>
      </c>
      <c r="K19" s="69">
        <f t="shared" si="2"/>
        <v>26125.756185605973</v>
      </c>
      <c r="L19">
        <f t="shared" si="7"/>
        <v>26125.756185605973</v>
      </c>
      <c r="M19" s="69">
        <f t="shared" si="8"/>
        <v>291.88891167581255</v>
      </c>
      <c r="N19" s="69">
        <f t="shared" si="9"/>
        <v>2.9835273101686757</v>
      </c>
      <c r="O19">
        <f>_xlfn.XLOOKUP(N19,CBIA!$A$3:$A$24,CBIA!$C$3:$C$24,,-1)</f>
        <v>0.27829999999999999</v>
      </c>
      <c r="P19" s="70">
        <f>_xlfn.XLOOKUP(N19,CBIA!$A$3:$A$24,CBIA!$D$3:$D$24,,-1)</f>
        <v>2.0330000000000001E-2</v>
      </c>
      <c r="Q19">
        <f t="shared" si="3"/>
        <v>2080</v>
      </c>
      <c r="R19">
        <f t="shared" si="10"/>
        <v>23409.179960691137</v>
      </c>
      <c r="S19" s="77">
        <f t="shared" si="11"/>
        <v>0.89601923076923085</v>
      </c>
    </row>
    <row r="20" spans="1:19" ht="15.5" x14ac:dyDescent="0.35">
      <c r="A20" s="3" t="s">
        <v>31</v>
      </c>
      <c r="B20" s="16" t="s">
        <v>2579</v>
      </c>
      <c r="C20" s="17" t="s">
        <v>893</v>
      </c>
      <c r="D20" s="17" t="str">
        <f t="shared" si="4"/>
        <v>09/12/79</v>
      </c>
      <c r="E20" s="3" t="s">
        <v>3430</v>
      </c>
      <c r="F20" s="6">
        <v>16302.911999999998</v>
      </c>
      <c r="G20" s="68" t="str">
        <f t="shared" si="0"/>
        <v>97</v>
      </c>
      <c r="H20">
        <f t="shared" si="5"/>
        <v>43</v>
      </c>
      <c r="I20">
        <f t="shared" si="1"/>
        <v>22</v>
      </c>
      <c r="J20">
        <f t="shared" si="6"/>
        <v>245.8553754307234</v>
      </c>
      <c r="K20" s="69">
        <f t="shared" si="2"/>
        <v>58748.153391184285</v>
      </c>
      <c r="L20">
        <f t="shared" si="7"/>
        <v>58748.153391184285</v>
      </c>
      <c r="M20" s="69">
        <f t="shared" si="8"/>
        <v>606.81608374056236</v>
      </c>
      <c r="N20" s="69">
        <f t="shared" si="9"/>
        <v>3.2271257011430516</v>
      </c>
      <c r="O20">
        <f>_xlfn.XLOOKUP(N20,CBIA!$A$3:$A$24,CBIA!$C$3:$C$24,,-1)</f>
        <v>0.25600000000000001</v>
      </c>
      <c r="P20" s="70">
        <f>_xlfn.XLOOKUP(N20,CBIA!$A$3:$A$24,CBIA!$D$3:$D$24,,-1)</f>
        <v>2.0959999999999999E-2</v>
      </c>
      <c r="Q20">
        <f t="shared" si="3"/>
        <v>2444</v>
      </c>
      <c r="R20">
        <f t="shared" si="10"/>
        <v>61073.495684181813</v>
      </c>
      <c r="S20" s="77">
        <f t="shared" si="11"/>
        <v>1.0395815384615386</v>
      </c>
    </row>
    <row r="21" spans="1:19" ht="15.5" x14ac:dyDescent="0.35">
      <c r="A21" s="3" t="s">
        <v>32</v>
      </c>
      <c r="B21" s="16" t="s">
        <v>2580</v>
      </c>
      <c r="C21" s="17" t="s">
        <v>894</v>
      </c>
      <c r="D21" s="17" t="str">
        <f t="shared" si="4"/>
        <v>01/02/75</v>
      </c>
      <c r="E21" s="3" t="s">
        <v>3431</v>
      </c>
      <c r="F21" s="6">
        <v>8940.64</v>
      </c>
      <c r="G21" s="68" t="str">
        <f t="shared" si="0"/>
        <v>92</v>
      </c>
      <c r="H21">
        <f t="shared" si="5"/>
        <v>47</v>
      </c>
      <c r="I21">
        <f t="shared" si="1"/>
        <v>18</v>
      </c>
      <c r="J21">
        <f t="shared" si="6"/>
        <v>210.15820530536899</v>
      </c>
      <c r="K21" s="69">
        <f t="shared" si="2"/>
        <v>25519.6188040985</v>
      </c>
      <c r="L21">
        <f t="shared" si="7"/>
        <v>25519.6188040985</v>
      </c>
      <c r="M21" s="69">
        <f t="shared" si="8"/>
        <v>499.22909383687863</v>
      </c>
      <c r="N21" s="69">
        <f t="shared" si="9"/>
        <v>1.7039350683647554</v>
      </c>
      <c r="O21">
        <f>_xlfn.XLOOKUP(N21,CBIA!$A$3:$A$24,CBIA!$C$3:$C$24,,-1)</f>
        <v>0.49229999999999996</v>
      </c>
      <c r="P21" s="70">
        <f>_xlfn.XLOOKUP(N21,CBIA!$A$3:$A$24,CBIA!$D$3:$D$24,,-1)</f>
        <v>1.43E-2</v>
      </c>
      <c r="Q21">
        <f t="shared" si="3"/>
        <v>2496</v>
      </c>
      <c r="R21">
        <f t="shared" si="10"/>
        <v>26571.027098827355</v>
      </c>
      <c r="S21" s="77">
        <f t="shared" si="11"/>
        <v>1.0411999999999999</v>
      </c>
    </row>
    <row r="22" spans="1:19" ht="15.5" x14ac:dyDescent="0.35">
      <c r="A22" s="3" t="s">
        <v>35</v>
      </c>
      <c r="B22" s="16" t="s">
        <v>2583</v>
      </c>
      <c r="C22" s="17" t="s">
        <v>897</v>
      </c>
      <c r="D22" s="17" t="str">
        <f t="shared" si="4"/>
        <v>07/11/80</v>
      </c>
      <c r="E22" s="3" t="s">
        <v>3434</v>
      </c>
      <c r="F22" s="6">
        <v>37577.135999999999</v>
      </c>
      <c r="G22" s="68" t="str">
        <f t="shared" si="0"/>
        <v>96</v>
      </c>
      <c r="H22">
        <f t="shared" si="5"/>
        <v>42</v>
      </c>
      <c r="I22">
        <f t="shared" si="1"/>
        <v>23</v>
      </c>
      <c r="J22">
        <f t="shared" si="6"/>
        <v>255.6895904479523</v>
      </c>
      <c r="K22" s="69">
        <f t="shared" si="2"/>
        <v>143535.25251888481</v>
      </c>
      <c r="L22">
        <f t="shared" si="7"/>
        <v>143535.25251888481</v>
      </c>
      <c r="M22" s="69">
        <f t="shared" si="8"/>
        <v>637.15688792759067</v>
      </c>
      <c r="N22" s="69">
        <f t="shared" si="9"/>
        <v>7.5091527815985772</v>
      </c>
      <c r="O22">
        <f>_xlfn.XLOOKUP(N22,CBIA!$A$3:$A$24,CBIA!$C$3:$C$24,,-1)</f>
        <v>0.13</v>
      </c>
      <c r="P22" s="70">
        <f>_xlfn.XLOOKUP(N22,CBIA!$A$3:$A$24,CBIA!$D$3:$D$24,,-1)</f>
        <v>2.4500000000000001E-2</v>
      </c>
      <c r="Q22">
        <f t="shared" si="3"/>
        <v>2548</v>
      </c>
      <c r="R22">
        <f t="shared" si="10"/>
        <v>157160.06033490816</v>
      </c>
      <c r="S22" s="77">
        <f t="shared" si="11"/>
        <v>1.0949230769230769</v>
      </c>
    </row>
    <row r="23" spans="1:19" ht="15.5" x14ac:dyDescent="0.35">
      <c r="A23" s="3" t="s">
        <v>41</v>
      </c>
      <c r="B23" s="16" t="s">
        <v>2589</v>
      </c>
      <c r="C23" s="17" t="s">
        <v>903</v>
      </c>
      <c r="D23" s="17" t="str">
        <f t="shared" si="4"/>
        <v>17/07/71</v>
      </c>
      <c r="E23" s="3" t="s">
        <v>3443</v>
      </c>
      <c r="F23" s="6">
        <v>12843.392</v>
      </c>
      <c r="G23" s="68" t="str">
        <f t="shared" si="0"/>
        <v>92</v>
      </c>
      <c r="H23">
        <f t="shared" si="5"/>
        <v>51</v>
      </c>
      <c r="I23">
        <f t="shared" si="1"/>
        <v>14</v>
      </c>
      <c r="J23">
        <f t="shared" si="6"/>
        <v>179.64411467431495</v>
      </c>
      <c r="K23" s="69">
        <f t="shared" si="2"/>
        <v>29037.675778104749</v>
      </c>
      <c r="L23">
        <f t="shared" si="7"/>
        <v>29037.675778104749</v>
      </c>
      <c r="M23" s="69">
        <f t="shared" si="8"/>
        <v>410.71701098770859</v>
      </c>
      <c r="N23" s="69">
        <f t="shared" si="9"/>
        <v>2.3566652951849414</v>
      </c>
      <c r="O23">
        <f>_xlfn.XLOOKUP(N23,CBIA!$A$3:$A$24,CBIA!$C$3:$C$24,,-1)</f>
        <v>0.33679999999999999</v>
      </c>
      <c r="P23" s="70">
        <f>_xlfn.XLOOKUP(N23,CBIA!$A$3:$A$24,CBIA!$D$3:$D$24,,-1)</f>
        <v>1.8680000000000002E-2</v>
      </c>
      <c r="Q23">
        <f t="shared" si="3"/>
        <v>2288</v>
      </c>
      <c r="R23">
        <f t="shared" si="10"/>
        <v>28430.922374384416</v>
      </c>
      <c r="S23" s="77">
        <f t="shared" si="11"/>
        <v>0.97910461538461546</v>
      </c>
    </row>
    <row r="24" spans="1:19" ht="15.5" x14ac:dyDescent="0.35">
      <c r="A24" s="3" t="s">
        <v>42</v>
      </c>
      <c r="B24" s="16" t="s">
        <v>2590</v>
      </c>
      <c r="C24" s="17" t="s">
        <v>904</v>
      </c>
      <c r="D24" s="17" t="str">
        <f t="shared" si="4"/>
        <v>05/04/64</v>
      </c>
      <c r="E24" s="3" t="s">
        <v>3444</v>
      </c>
      <c r="F24" s="6">
        <v>14683.503999999999</v>
      </c>
      <c r="G24" s="68" t="str">
        <f t="shared" si="0"/>
        <v>86</v>
      </c>
      <c r="H24">
        <f t="shared" si="5"/>
        <v>58</v>
      </c>
      <c r="I24">
        <f t="shared" si="1"/>
        <v>7</v>
      </c>
      <c r="J24">
        <f t="shared" si="6"/>
        <v>136.51476277792605</v>
      </c>
      <c r="K24" s="69">
        <f t="shared" si="2"/>
        <v>22078.560922420682</v>
      </c>
      <c r="L24">
        <f t="shared" si="7"/>
        <v>22078.560922420682</v>
      </c>
      <c r="M24" s="69">
        <f t="shared" si="8"/>
        <v>291.88891167581255</v>
      </c>
      <c r="N24" s="69">
        <f t="shared" si="9"/>
        <v>2.521342885284878</v>
      </c>
      <c r="O24">
        <f>_xlfn.XLOOKUP(N24,CBIA!$A$3:$A$24,CBIA!$C$3:$C$24,,-1)</f>
        <v>0.30480000000000002</v>
      </c>
      <c r="P24" s="70">
        <f>_xlfn.XLOOKUP(N24,CBIA!$A$3:$A$24,CBIA!$D$3:$D$24,,-1)</f>
        <v>1.958E-2</v>
      </c>
      <c r="Q24">
        <f t="shared" si="3"/>
        <v>2236</v>
      </c>
      <c r="R24">
        <f t="shared" si="10"/>
        <v>21161.655270820953</v>
      </c>
      <c r="S24" s="77">
        <f t="shared" si="11"/>
        <v>0.95847076923076924</v>
      </c>
    </row>
    <row r="25" spans="1:19" ht="15.5" x14ac:dyDescent="0.35">
      <c r="A25" s="3" t="s">
        <v>43</v>
      </c>
      <c r="B25" s="16" t="s">
        <v>2591</v>
      </c>
      <c r="C25" s="17" t="s">
        <v>905</v>
      </c>
      <c r="D25" s="17" t="str">
        <f t="shared" si="4"/>
        <v>08/08/61</v>
      </c>
      <c r="E25" s="3" t="s">
        <v>3445</v>
      </c>
      <c r="F25" s="6">
        <v>5872.6719999999996</v>
      </c>
      <c r="G25" s="68" t="str">
        <f t="shared" si="0"/>
        <v>81</v>
      </c>
      <c r="H25">
        <f t="shared" si="5"/>
        <v>61</v>
      </c>
      <c r="I25">
        <f t="shared" si="1"/>
        <v>4</v>
      </c>
      <c r="J25">
        <f t="shared" si="6"/>
        <v>121.36112701440001</v>
      </c>
      <c r="K25" s="69">
        <f t="shared" si="2"/>
        <v>7414.113093637121</v>
      </c>
      <c r="L25">
        <f t="shared" si="7"/>
        <v>7414.113093637121</v>
      </c>
      <c r="M25" s="69">
        <f t="shared" si="8"/>
        <v>252.14461650000001</v>
      </c>
      <c r="N25" s="69">
        <f t="shared" si="9"/>
        <v>0.98014031214200981</v>
      </c>
      <c r="O25">
        <f>_xlfn.XLOOKUP(N25,CBIA!$A$3:$A$24,CBIA!$C$3:$C$24,,-1)</f>
        <v>0.8</v>
      </c>
      <c r="P25" s="70">
        <f>_xlfn.XLOOKUP(N25,CBIA!$A$3:$A$24,CBIA!$D$3:$D$24,,-1)</f>
        <v>5.6299999999999996E-3</v>
      </c>
      <c r="Q25">
        <f t="shared" si="3"/>
        <v>2340</v>
      </c>
      <c r="R25">
        <f t="shared" si="10"/>
        <v>7408.2958664405751</v>
      </c>
      <c r="S25" s="77">
        <f t="shared" si="11"/>
        <v>0.99921538461538462</v>
      </c>
    </row>
    <row r="26" spans="1:19" ht="15.5" x14ac:dyDescent="0.35">
      <c r="A26" s="3" t="s">
        <v>45</v>
      </c>
      <c r="B26" s="16" t="s">
        <v>2593</v>
      </c>
      <c r="C26" s="17" t="s">
        <v>907</v>
      </c>
      <c r="D26" s="17" t="str">
        <f t="shared" si="4"/>
        <v>11/11/74</v>
      </c>
      <c r="E26" s="3" t="s">
        <v>3447</v>
      </c>
      <c r="F26" s="6">
        <v>20309.328000000001</v>
      </c>
      <c r="G26" s="68" t="str">
        <f t="shared" si="0"/>
        <v>91</v>
      </c>
      <c r="H26">
        <f t="shared" si="5"/>
        <v>48</v>
      </c>
      <c r="I26">
        <f t="shared" si="1"/>
        <v>17</v>
      </c>
      <c r="J26">
        <f t="shared" si="6"/>
        <v>202.07519740900864</v>
      </c>
      <c r="K26" s="69">
        <f t="shared" si="2"/>
        <v>54688.405735611959</v>
      </c>
      <c r="L26">
        <f t="shared" si="7"/>
        <v>54688.405735611959</v>
      </c>
      <c r="M26" s="69">
        <f t="shared" si="8"/>
        <v>475.4562798446463</v>
      </c>
      <c r="N26" s="69">
        <f t="shared" si="9"/>
        <v>3.8340998639230794</v>
      </c>
      <c r="O26">
        <f>_xlfn.XLOOKUP(N26,CBIA!$A$3:$A$24,CBIA!$C$3:$C$24,,-1)</f>
        <v>0.20649999999999999</v>
      </c>
      <c r="P26" s="70">
        <f>_xlfn.XLOOKUP(N26,CBIA!$A$3:$A$24,CBIA!$D$3:$D$24,,-1)</f>
        <v>2.2349999999999998E-2</v>
      </c>
      <c r="Q26">
        <f t="shared" si="3"/>
        <v>2496</v>
      </c>
      <c r="R26">
        <f t="shared" si="10"/>
        <v>58210.128724963302</v>
      </c>
      <c r="S26" s="77">
        <f t="shared" si="11"/>
        <v>1.0643961538461537</v>
      </c>
    </row>
    <row r="27" spans="1:19" ht="15.5" x14ac:dyDescent="0.35">
      <c r="A27" s="3" t="s">
        <v>46</v>
      </c>
      <c r="B27" s="16" t="s">
        <v>2594</v>
      </c>
      <c r="C27" s="17" t="s">
        <v>908</v>
      </c>
      <c r="D27" s="17" t="str">
        <f t="shared" si="4"/>
        <v>10/06/78</v>
      </c>
      <c r="E27" s="3" t="s">
        <v>3448</v>
      </c>
      <c r="F27" s="6">
        <v>24451.632000000001</v>
      </c>
      <c r="G27" s="68" t="str">
        <f t="shared" si="0"/>
        <v>97</v>
      </c>
      <c r="H27">
        <f t="shared" si="5"/>
        <v>44</v>
      </c>
      <c r="I27">
        <f t="shared" si="1"/>
        <v>21</v>
      </c>
      <c r="J27">
        <f t="shared" si="6"/>
        <v>236.39939945261867</v>
      </c>
      <c r="K27" s="69">
        <f t="shared" si="2"/>
        <v>83124.878121136499</v>
      </c>
      <c r="L27">
        <f t="shared" si="7"/>
        <v>83124.878121136499</v>
      </c>
      <c r="M27" s="69">
        <f t="shared" si="8"/>
        <v>577.92007975291654</v>
      </c>
      <c r="N27" s="69">
        <f t="shared" si="9"/>
        <v>4.7944852026757534</v>
      </c>
      <c r="O27">
        <f>_xlfn.XLOOKUP(N27,CBIA!$A$3:$A$24,CBIA!$C$3:$C$24,,-1)</f>
        <v>0.1641</v>
      </c>
      <c r="P27" s="70">
        <f>_xlfn.XLOOKUP(N27,CBIA!$A$3:$A$24,CBIA!$D$3:$D$24,,-1)</f>
        <v>2.3550000000000001E-2</v>
      </c>
      <c r="Q27">
        <f t="shared" si="3"/>
        <v>2392</v>
      </c>
      <c r="R27">
        <f t="shared" si="10"/>
        <v>84866.983739913703</v>
      </c>
      <c r="S27" s="77">
        <f t="shared" si="11"/>
        <v>1.0209576923076924</v>
      </c>
    </row>
    <row r="28" spans="1:19" ht="15.5" x14ac:dyDescent="0.35">
      <c r="A28" s="3" t="s">
        <v>52</v>
      </c>
      <c r="B28" s="16" t="s">
        <v>2600</v>
      </c>
      <c r="C28" s="17" t="s">
        <v>914</v>
      </c>
      <c r="D28" s="17" t="str">
        <f t="shared" si="4"/>
        <v>02/09/71</v>
      </c>
      <c r="E28" s="3" t="s">
        <v>3451</v>
      </c>
      <c r="F28" s="6">
        <v>38746.928</v>
      </c>
      <c r="G28" s="68" t="str">
        <f t="shared" si="0"/>
        <v>91</v>
      </c>
      <c r="H28">
        <f t="shared" si="5"/>
        <v>51</v>
      </c>
      <c r="I28">
        <f t="shared" si="1"/>
        <v>14</v>
      </c>
      <c r="J28">
        <f t="shared" si="6"/>
        <v>179.64411467431495</v>
      </c>
      <c r="K28" s="69">
        <f t="shared" si="2"/>
        <v>87603.08278853193</v>
      </c>
      <c r="L28">
        <f t="shared" si="7"/>
        <v>87603.08278853193</v>
      </c>
      <c r="M28" s="69">
        <f t="shared" si="8"/>
        <v>410.71701098770859</v>
      </c>
      <c r="N28" s="69">
        <f t="shared" si="9"/>
        <v>7.109768238221621</v>
      </c>
      <c r="O28">
        <f>_xlfn.XLOOKUP(N28,CBIA!$A$3:$A$24,CBIA!$C$3:$C$24,,-1)</f>
        <v>0.13</v>
      </c>
      <c r="P28" s="70">
        <f>_xlfn.XLOOKUP(N28,CBIA!$A$3:$A$24,CBIA!$D$3:$D$24,,-1)</f>
        <v>2.4500000000000001E-2</v>
      </c>
      <c r="Q28">
        <f t="shared" si="3"/>
        <v>2340</v>
      </c>
      <c r="R28">
        <f t="shared" si="10"/>
        <v>87333.534841490298</v>
      </c>
      <c r="S28" s="77">
        <f t="shared" si="11"/>
        <v>0.99692307692307702</v>
      </c>
    </row>
    <row r="29" spans="1:19" ht="15.5" x14ac:dyDescent="0.35">
      <c r="A29" s="3" t="s">
        <v>56</v>
      </c>
      <c r="B29" s="16" t="s">
        <v>2604</v>
      </c>
      <c r="C29" s="17" t="s">
        <v>918</v>
      </c>
      <c r="D29" s="17" t="str">
        <f t="shared" si="4"/>
        <v>25/05/75</v>
      </c>
      <c r="E29" s="3" t="s">
        <v>3454</v>
      </c>
      <c r="F29" s="6">
        <v>38740.239999999998</v>
      </c>
      <c r="G29" s="68" t="str">
        <f t="shared" si="0"/>
        <v>90</v>
      </c>
      <c r="H29">
        <f t="shared" si="5"/>
        <v>47</v>
      </c>
      <c r="I29">
        <f t="shared" si="1"/>
        <v>18</v>
      </c>
      <c r="J29">
        <f t="shared" si="6"/>
        <v>210.15820530536899</v>
      </c>
      <c r="K29" s="69">
        <f t="shared" si="2"/>
        <v>110577.78382523944</v>
      </c>
      <c r="L29">
        <f t="shared" si="7"/>
        <v>110577.78382523944</v>
      </c>
      <c r="M29" s="69">
        <f t="shared" si="8"/>
        <v>499.22909383687863</v>
      </c>
      <c r="N29" s="69">
        <f t="shared" si="9"/>
        <v>7.3832358190092684</v>
      </c>
      <c r="O29">
        <f>_xlfn.XLOOKUP(N29,CBIA!$A$3:$A$24,CBIA!$C$3:$C$24,,-1)</f>
        <v>0.13</v>
      </c>
      <c r="P29" s="70">
        <f>_xlfn.XLOOKUP(N29,CBIA!$A$3:$A$24,CBIA!$D$3:$D$24,,-1)</f>
        <v>2.4500000000000001E-2</v>
      </c>
      <c r="Q29">
        <f t="shared" si="3"/>
        <v>2600</v>
      </c>
      <c r="R29">
        <f t="shared" si="10"/>
        <v>123783.3230089844</v>
      </c>
      <c r="S29" s="77">
        <f t="shared" si="11"/>
        <v>1.1194230769230771</v>
      </c>
    </row>
    <row r="30" spans="1:19" ht="15.5" x14ac:dyDescent="0.35">
      <c r="A30" s="3" t="s">
        <v>58</v>
      </c>
      <c r="B30" s="16" t="s">
        <v>2606</v>
      </c>
      <c r="C30" s="17" t="s">
        <v>920</v>
      </c>
      <c r="D30" s="17" t="str">
        <f t="shared" si="4"/>
        <v>06/02/65</v>
      </c>
      <c r="E30" s="3" t="s">
        <v>3456</v>
      </c>
      <c r="F30" s="6">
        <v>12357.903999999999</v>
      </c>
      <c r="G30" s="68" t="str">
        <f t="shared" si="0"/>
        <v>85</v>
      </c>
      <c r="H30">
        <f t="shared" si="5"/>
        <v>57</v>
      </c>
      <c r="I30">
        <f t="shared" si="1"/>
        <v>8</v>
      </c>
      <c r="J30">
        <f t="shared" si="6"/>
        <v>141.97535328904314</v>
      </c>
      <c r="K30" s="69">
        <f t="shared" si="2"/>
        <v>19696.621495636991</v>
      </c>
      <c r="L30">
        <f t="shared" si="7"/>
        <v>19696.621495636991</v>
      </c>
      <c r="M30" s="69">
        <f t="shared" si="8"/>
        <v>306.48335725960311</v>
      </c>
      <c r="N30" s="69">
        <f t="shared" si="9"/>
        <v>2.1422176255346881</v>
      </c>
      <c r="O30">
        <f>_xlfn.XLOOKUP(N30,CBIA!$A$3:$A$24,CBIA!$C$3:$C$24,,-1)</f>
        <v>0.3765</v>
      </c>
      <c r="P30" s="70">
        <f>_xlfn.XLOOKUP(N30,CBIA!$A$3:$A$24,CBIA!$D$3:$D$24,,-1)</f>
        <v>1.7559999999999999E-2</v>
      </c>
      <c r="Q30">
        <f t="shared" si="3"/>
        <v>2340</v>
      </c>
      <c r="R30">
        <f t="shared" si="10"/>
        <v>19654.349515657894</v>
      </c>
      <c r="S30" s="77">
        <f t="shared" si="11"/>
        <v>0.9978538461538462</v>
      </c>
    </row>
    <row r="31" spans="1:19" ht="15.5" x14ac:dyDescent="0.35">
      <c r="A31" s="3" t="s">
        <v>59</v>
      </c>
      <c r="B31" s="16" t="s">
        <v>2607</v>
      </c>
      <c r="C31" s="17" t="s">
        <v>921</v>
      </c>
      <c r="D31" s="17" t="str">
        <f t="shared" si="4"/>
        <v>29/06/67</v>
      </c>
      <c r="E31" s="3" t="s">
        <v>3457</v>
      </c>
      <c r="F31" s="6">
        <v>16034.176000000001</v>
      </c>
      <c r="G31" s="68" t="str">
        <f t="shared" si="0"/>
        <v>88</v>
      </c>
      <c r="H31">
        <f t="shared" si="5"/>
        <v>55</v>
      </c>
      <c r="I31">
        <f t="shared" si="1"/>
        <v>10</v>
      </c>
      <c r="J31">
        <f t="shared" si="6"/>
        <v>153.56054211742907</v>
      </c>
      <c r="K31" s="69">
        <f t="shared" si="2"/>
        <v>28714.767155562724</v>
      </c>
      <c r="L31">
        <f t="shared" si="7"/>
        <v>28714.767155562724</v>
      </c>
      <c r="M31" s="69">
        <f t="shared" si="8"/>
        <v>337.89790137871245</v>
      </c>
      <c r="N31" s="69">
        <f t="shared" si="9"/>
        <v>2.8326867414090575</v>
      </c>
      <c r="O31">
        <f>_xlfn.XLOOKUP(N31,CBIA!$A$3:$A$24,CBIA!$C$3:$C$24,,-1)</f>
        <v>0.27829999999999999</v>
      </c>
      <c r="P31" s="70">
        <f>_xlfn.XLOOKUP(N31,CBIA!$A$3:$A$24,CBIA!$D$3:$D$24,,-1)</f>
        <v>2.0330000000000001E-2</v>
      </c>
      <c r="Q31">
        <f t="shared" si="3"/>
        <v>2288</v>
      </c>
      <c r="R31">
        <f t="shared" si="10"/>
        <v>28064.068443535245</v>
      </c>
      <c r="S31" s="77">
        <f t="shared" si="11"/>
        <v>0.97733923076923079</v>
      </c>
    </row>
    <row r="32" spans="1:19" ht="15.5" x14ac:dyDescent="0.35">
      <c r="A32" s="3" t="s">
        <v>62</v>
      </c>
      <c r="B32" s="16" t="s">
        <v>2610</v>
      </c>
      <c r="C32" s="17" t="s">
        <v>924</v>
      </c>
      <c r="D32" s="17" t="str">
        <f t="shared" si="4"/>
        <v>28/05/74</v>
      </c>
      <c r="E32" s="3" t="s">
        <v>3459</v>
      </c>
      <c r="F32" s="6">
        <v>5646.8</v>
      </c>
      <c r="G32" s="68" t="str">
        <f t="shared" si="0"/>
        <v>92</v>
      </c>
      <c r="H32">
        <f t="shared" si="5"/>
        <v>48</v>
      </c>
      <c r="I32">
        <f t="shared" si="1"/>
        <v>17</v>
      </c>
      <c r="J32">
        <f t="shared" si="6"/>
        <v>202.07519740900864</v>
      </c>
      <c r="K32" s="69">
        <f t="shared" si="2"/>
        <v>15205.549366668045</v>
      </c>
      <c r="L32">
        <f t="shared" si="7"/>
        <v>15205.549366668045</v>
      </c>
      <c r="M32" s="69">
        <f t="shared" si="8"/>
        <v>475.4562798446463</v>
      </c>
      <c r="N32" s="69">
        <f t="shared" si="9"/>
        <v>1.0660320770633496</v>
      </c>
      <c r="O32">
        <f>_xlfn.XLOOKUP(N32,CBIA!$A$3:$A$24,CBIA!$C$3:$C$24,,-1)</f>
        <v>0.77110000000000001</v>
      </c>
      <c r="P32" s="70">
        <f>_xlfn.XLOOKUP(N32,CBIA!$A$3:$A$24,CBIA!$D$3:$D$24,,-1)</f>
        <v>8.1399999999999997E-3</v>
      </c>
      <c r="Q32">
        <f t="shared" si="3"/>
        <v>2444</v>
      </c>
      <c r="R32">
        <f t="shared" si="10"/>
        <v>16352.211540984919</v>
      </c>
      <c r="S32" s="77">
        <f t="shared" si="11"/>
        <v>1.0754107692307693</v>
      </c>
    </row>
    <row r="33" spans="1:19" ht="15.5" x14ac:dyDescent="0.35">
      <c r="A33" s="3" t="s">
        <v>63</v>
      </c>
      <c r="B33" s="16" t="s">
        <v>2611</v>
      </c>
      <c r="C33" s="17" t="s">
        <v>925</v>
      </c>
      <c r="D33" s="17" t="str">
        <f t="shared" si="4"/>
        <v>22/03/78</v>
      </c>
      <c r="E33" s="3" t="s">
        <v>3465</v>
      </c>
      <c r="F33" s="6">
        <v>15098.159999999998</v>
      </c>
      <c r="G33" s="68" t="str">
        <f t="shared" si="0"/>
        <v>97</v>
      </c>
      <c r="H33">
        <f t="shared" si="5"/>
        <v>44</v>
      </c>
      <c r="I33">
        <f t="shared" si="1"/>
        <v>21</v>
      </c>
      <c r="J33">
        <f t="shared" si="6"/>
        <v>236.39939945261867</v>
      </c>
      <c r="K33" s="69">
        <f t="shared" si="2"/>
        <v>51327.155171213846</v>
      </c>
      <c r="L33">
        <f t="shared" si="7"/>
        <v>51327.155171213846</v>
      </c>
      <c r="M33" s="69">
        <f t="shared" si="8"/>
        <v>577.92007975291654</v>
      </c>
      <c r="N33" s="69">
        <f t="shared" si="9"/>
        <v>2.9604528935995331</v>
      </c>
      <c r="O33">
        <f>_xlfn.XLOOKUP(N33,CBIA!$A$3:$A$24,CBIA!$C$3:$C$24,,-1)</f>
        <v>0.27829999999999999</v>
      </c>
      <c r="P33" s="70">
        <f>_xlfn.XLOOKUP(N33,CBIA!$A$3:$A$24,CBIA!$D$3:$D$24,,-1)</f>
        <v>2.0330000000000001E-2</v>
      </c>
      <c r="Q33">
        <f t="shared" si="3"/>
        <v>2392</v>
      </c>
      <c r="R33">
        <f t="shared" si="10"/>
        <v>52251.004481868651</v>
      </c>
      <c r="S33" s="77">
        <f t="shared" si="11"/>
        <v>1.0179992307692309</v>
      </c>
    </row>
    <row r="34" spans="1:19" ht="15.5" x14ac:dyDescent="0.35">
      <c r="A34" s="3" t="s">
        <v>66</v>
      </c>
      <c r="B34" s="16" t="s">
        <v>2614</v>
      </c>
      <c r="C34" s="17" t="s">
        <v>928</v>
      </c>
      <c r="D34" s="17" t="str">
        <f t="shared" si="4"/>
        <v>22/03/67</v>
      </c>
      <c r="E34" s="3" t="s">
        <v>3466</v>
      </c>
      <c r="F34" s="6">
        <v>10944</v>
      </c>
      <c r="G34" s="68" t="str">
        <f t="shared" si="0"/>
        <v>94</v>
      </c>
      <c r="H34">
        <f t="shared" si="5"/>
        <v>55</v>
      </c>
      <c r="I34">
        <f t="shared" si="1"/>
        <v>10</v>
      </c>
      <c r="J34">
        <f t="shared" si="6"/>
        <v>153.56054211742907</v>
      </c>
      <c r="K34" s="69">
        <f t="shared" si="2"/>
        <v>19599.037190965002</v>
      </c>
      <c r="L34">
        <f t="shared" si="7"/>
        <v>19599.037190965002</v>
      </c>
      <c r="M34" s="69">
        <f t="shared" si="8"/>
        <v>337.89790137871245</v>
      </c>
      <c r="N34" s="69">
        <f t="shared" si="9"/>
        <v>1.9334279290673075</v>
      </c>
      <c r="O34">
        <f>_xlfn.XLOOKUP(N34,CBIA!$A$3:$A$24,CBIA!$C$3:$C$24,,-1)</f>
        <v>0.42670000000000002</v>
      </c>
      <c r="P34" s="70">
        <f>_xlfn.XLOOKUP(N34,CBIA!$A$3:$A$24,CBIA!$D$3:$D$24,,-1)</f>
        <v>1.6150000000000001E-2</v>
      </c>
      <c r="Q34">
        <f t="shared" si="3"/>
        <v>1976</v>
      </c>
      <c r="R34">
        <f t="shared" si="10"/>
        <v>17347.333960459942</v>
      </c>
      <c r="S34" s="77">
        <f t="shared" si="11"/>
        <v>0.88511153846153845</v>
      </c>
    </row>
    <row r="35" spans="1:19" ht="15.5" x14ac:dyDescent="0.35">
      <c r="A35" s="3" t="s">
        <v>68</v>
      </c>
      <c r="B35" s="16" t="s">
        <v>2616</v>
      </c>
      <c r="C35" s="17" t="s">
        <v>930</v>
      </c>
      <c r="D35" s="17" t="str">
        <f t="shared" si="4"/>
        <v>24/07/66</v>
      </c>
      <c r="E35" s="3" t="s">
        <v>3468</v>
      </c>
      <c r="F35" s="6">
        <v>5639.808</v>
      </c>
      <c r="G35" s="68" t="str">
        <f t="shared" si="0"/>
        <v>87</v>
      </c>
      <c r="H35">
        <f t="shared" si="5"/>
        <v>56</v>
      </c>
      <c r="I35">
        <f t="shared" si="1"/>
        <v>9</v>
      </c>
      <c r="J35">
        <f t="shared" si="6"/>
        <v>147.65436742060487</v>
      </c>
      <c r="K35" s="69">
        <f t="shared" si="2"/>
        <v>9528.3369488150583</v>
      </c>
      <c r="L35">
        <f t="shared" si="7"/>
        <v>9528.3369488150583</v>
      </c>
      <c r="M35" s="69">
        <f t="shared" si="8"/>
        <v>321.80752512258329</v>
      </c>
      <c r="N35" s="69">
        <f t="shared" si="9"/>
        <v>0.98696023813049061</v>
      </c>
      <c r="O35">
        <f>_xlfn.XLOOKUP(N35,CBIA!$A$3:$A$24,CBIA!$C$3:$C$24,,-1)</f>
        <v>0.8</v>
      </c>
      <c r="P35" s="70">
        <f>_xlfn.XLOOKUP(N35,CBIA!$A$3:$A$24,CBIA!$D$3:$D$24,,-1)</f>
        <v>5.6299999999999996E-3</v>
      </c>
      <c r="Q35">
        <f t="shared" si="3"/>
        <v>2288</v>
      </c>
      <c r="R35">
        <f t="shared" si="10"/>
        <v>9467.2163320333893</v>
      </c>
      <c r="S35" s="77">
        <f t="shared" si="11"/>
        <v>0.99358538461538459</v>
      </c>
    </row>
    <row r="36" spans="1:19" ht="15.5" x14ac:dyDescent="0.35">
      <c r="A36" s="3" t="s">
        <v>69</v>
      </c>
      <c r="B36" s="16" t="s">
        <v>2617</v>
      </c>
      <c r="C36" s="17" t="s">
        <v>931</v>
      </c>
      <c r="D36" s="17" t="str">
        <f t="shared" si="4"/>
        <v>20/09/72</v>
      </c>
      <c r="E36" s="3" t="s">
        <v>3469</v>
      </c>
      <c r="F36" s="6">
        <v>19273.295999999998</v>
      </c>
      <c r="G36" s="68" t="str">
        <f t="shared" si="0"/>
        <v>91</v>
      </c>
      <c r="H36">
        <f t="shared" si="5"/>
        <v>50</v>
      </c>
      <c r="I36">
        <f t="shared" si="1"/>
        <v>15</v>
      </c>
      <c r="J36">
        <f t="shared" si="6"/>
        <v>186.82987926128754</v>
      </c>
      <c r="K36" s="69">
        <f t="shared" si="2"/>
        <v>46189.575436835526</v>
      </c>
      <c r="L36">
        <f t="shared" si="7"/>
        <v>46189.575436835526</v>
      </c>
      <c r="M36" s="69">
        <f t="shared" si="8"/>
        <v>431.25286153709413</v>
      </c>
      <c r="N36" s="69">
        <f t="shared" si="9"/>
        <v>3.5701850396388646</v>
      </c>
      <c r="O36">
        <f>_xlfn.XLOOKUP(N36,CBIA!$A$3:$A$24,CBIA!$C$3:$C$24,,-1)</f>
        <v>0.22070000000000001</v>
      </c>
      <c r="P36" s="70">
        <f>_xlfn.XLOOKUP(N36,CBIA!$A$3:$A$24,CBIA!$D$3:$D$24,,-1)</f>
        <v>2.1949999999999997E-2</v>
      </c>
      <c r="Q36">
        <f t="shared" si="3"/>
        <v>2392</v>
      </c>
      <c r="R36">
        <f t="shared" si="10"/>
        <v>47082.988417111854</v>
      </c>
      <c r="S36" s="77">
        <f t="shared" si="11"/>
        <v>1.0193423076923076</v>
      </c>
    </row>
    <row r="37" spans="1:19" ht="15.5" x14ac:dyDescent="0.35">
      <c r="A37" s="3" t="s">
        <v>72</v>
      </c>
      <c r="B37" s="16" t="s">
        <v>2620</v>
      </c>
      <c r="C37" s="17" t="s">
        <v>934</v>
      </c>
      <c r="D37" s="17" t="str">
        <f t="shared" si="4"/>
        <v>06/07/62</v>
      </c>
      <c r="E37" s="3" t="s">
        <v>3471</v>
      </c>
      <c r="F37" s="6">
        <v>22644.61</v>
      </c>
      <c r="G37" s="68" t="str">
        <f t="shared" si="0"/>
        <v>86</v>
      </c>
      <c r="H37">
        <f t="shared" si="5"/>
        <v>60</v>
      </c>
      <c r="I37">
        <f t="shared" si="1"/>
        <v>5</v>
      </c>
      <c r="J37">
        <f t="shared" si="6"/>
        <v>126.21557209497603</v>
      </c>
      <c r="K37" s="69">
        <f t="shared" si="2"/>
        <v>30303.596296776748</v>
      </c>
      <c r="L37">
        <f t="shared" si="7"/>
        <v>30303.596296776748</v>
      </c>
      <c r="M37" s="69">
        <f t="shared" si="8"/>
        <v>264.75184732500003</v>
      </c>
      <c r="N37" s="69">
        <f t="shared" si="9"/>
        <v>3.8153459051004748</v>
      </c>
      <c r="O37">
        <f>_xlfn.XLOOKUP(N37,CBIA!$A$3:$A$24,CBIA!$C$3:$C$24,,-1)</f>
        <v>0.20649999999999999</v>
      </c>
      <c r="P37" s="70">
        <f>_xlfn.XLOOKUP(N37,CBIA!$A$3:$A$24,CBIA!$D$3:$D$24,,-1)</f>
        <v>2.2349999999999998E-2</v>
      </c>
      <c r="Q37">
        <f t="shared" si="3"/>
        <v>2132</v>
      </c>
      <c r="R37">
        <f t="shared" si="10"/>
        <v>27514.033705364996</v>
      </c>
      <c r="S37" s="77">
        <f t="shared" si="11"/>
        <v>0.90794615384615374</v>
      </c>
    </row>
    <row r="38" spans="1:19" ht="15.5" x14ac:dyDescent="0.35">
      <c r="A38" s="3" t="s">
        <v>73</v>
      </c>
      <c r="B38" s="16" t="s">
        <v>2621</v>
      </c>
      <c r="C38" s="17" t="s">
        <v>935</v>
      </c>
      <c r="D38" s="17" t="str">
        <f t="shared" si="4"/>
        <v>01/06/71</v>
      </c>
      <c r="E38" s="3" t="s">
        <v>3472</v>
      </c>
      <c r="F38" s="6">
        <v>27290.687999999998</v>
      </c>
      <c r="G38" s="68" t="str">
        <f t="shared" si="0"/>
        <v>94</v>
      </c>
      <c r="H38">
        <f t="shared" si="5"/>
        <v>51</v>
      </c>
      <c r="I38">
        <f t="shared" si="1"/>
        <v>14</v>
      </c>
      <c r="J38">
        <f t="shared" si="6"/>
        <v>179.64411467431495</v>
      </c>
      <c r="K38" s="69">
        <f t="shared" si="2"/>
        <v>61701.624454459845</v>
      </c>
      <c r="L38">
        <f t="shared" si="7"/>
        <v>61701.624454459845</v>
      </c>
      <c r="M38" s="69">
        <f t="shared" si="8"/>
        <v>410.71701098770859</v>
      </c>
      <c r="N38" s="69">
        <f t="shared" si="9"/>
        <v>5.0076348437640252</v>
      </c>
      <c r="O38">
        <f>_xlfn.XLOOKUP(N38,CBIA!$A$3:$A$24,CBIA!$C$3:$C$24,,-1)</f>
        <v>0.1641</v>
      </c>
      <c r="P38" s="70">
        <f>_xlfn.XLOOKUP(N38,CBIA!$A$3:$A$24,CBIA!$D$3:$D$24,,-1)</f>
        <v>2.3550000000000001E-2</v>
      </c>
      <c r="Q38">
        <f t="shared" si="3"/>
        <v>2184</v>
      </c>
      <c r="R38">
        <f t="shared" si="10"/>
        <v>57182.455091051088</v>
      </c>
      <c r="S38" s="77">
        <f t="shared" si="11"/>
        <v>0.92675769230769245</v>
      </c>
    </row>
    <row r="39" spans="1:19" ht="15.5" x14ac:dyDescent="0.35">
      <c r="A39" s="3" t="s">
        <v>74</v>
      </c>
      <c r="B39" s="16" t="s">
        <v>2622</v>
      </c>
      <c r="C39" s="17" t="s">
        <v>936</v>
      </c>
      <c r="D39" s="17" t="str">
        <f t="shared" si="4"/>
        <v>01/11/76</v>
      </c>
      <c r="E39" s="3" t="s">
        <v>3473</v>
      </c>
      <c r="F39" s="6">
        <v>12850.383999999998</v>
      </c>
      <c r="G39" s="68" t="str">
        <f t="shared" si="0"/>
        <v>95</v>
      </c>
      <c r="H39">
        <f t="shared" si="5"/>
        <v>46</v>
      </c>
      <c r="I39">
        <f t="shared" si="1"/>
        <v>19</v>
      </c>
      <c r="J39">
        <f t="shared" si="6"/>
        <v>218.56453351758375</v>
      </c>
      <c r="K39" s="69">
        <f t="shared" si="2"/>
        <v>38880.115432034363</v>
      </c>
      <c r="L39">
        <f t="shared" si="7"/>
        <v>38880.115432034363</v>
      </c>
      <c r="M39" s="69">
        <f t="shared" si="8"/>
        <v>524.1905485287225</v>
      </c>
      <c r="N39" s="69">
        <f t="shared" si="9"/>
        <v>2.4723907200769863</v>
      </c>
      <c r="O39">
        <f>_xlfn.XLOOKUP(N39,CBIA!$A$3:$A$24,CBIA!$C$3:$C$24,,-1)</f>
        <v>0.33679999999999999</v>
      </c>
      <c r="P39" s="70">
        <f>_xlfn.XLOOKUP(N39,CBIA!$A$3:$A$24,CBIA!$D$3:$D$24,,-1)</f>
        <v>1.8680000000000002E-2</v>
      </c>
      <c r="Q39">
        <f t="shared" si="3"/>
        <v>2392</v>
      </c>
      <c r="R39">
        <f t="shared" si="10"/>
        <v>39520.261578732265</v>
      </c>
      <c r="S39" s="77">
        <f t="shared" si="11"/>
        <v>1.0164646153846155</v>
      </c>
    </row>
    <row r="40" spans="1:19" ht="15.5" x14ac:dyDescent="0.35">
      <c r="A40" s="3" t="s">
        <v>75</v>
      </c>
      <c r="B40" s="16" t="s">
        <v>2623</v>
      </c>
      <c r="C40" s="17" t="s">
        <v>904</v>
      </c>
      <c r="D40" s="17" t="str">
        <f t="shared" si="4"/>
        <v>05/04/64</v>
      </c>
      <c r="E40" s="3" t="s">
        <v>3474</v>
      </c>
      <c r="F40" s="6">
        <v>13015.455999999998</v>
      </c>
      <c r="G40" s="68" t="str">
        <f t="shared" si="0"/>
        <v>85</v>
      </c>
      <c r="H40">
        <f t="shared" si="5"/>
        <v>58</v>
      </c>
      <c r="I40">
        <f t="shared" si="1"/>
        <v>7</v>
      </c>
      <c r="J40">
        <f t="shared" si="6"/>
        <v>136.51476277792605</v>
      </c>
      <c r="K40" s="69">
        <f t="shared" si="2"/>
        <v>19570.43347617066</v>
      </c>
      <c r="L40">
        <f t="shared" si="7"/>
        <v>19570.43347617066</v>
      </c>
      <c r="M40" s="69">
        <f t="shared" si="8"/>
        <v>291.88891167581255</v>
      </c>
      <c r="N40" s="69">
        <f t="shared" si="9"/>
        <v>2.23491799943245</v>
      </c>
      <c r="O40">
        <f>_xlfn.XLOOKUP(N40,CBIA!$A$3:$A$24,CBIA!$C$3:$C$24,,-1)</f>
        <v>0.3765</v>
      </c>
      <c r="P40" s="70">
        <f>_xlfn.XLOOKUP(N40,CBIA!$A$3:$A$24,CBIA!$D$3:$D$24,,-1)</f>
        <v>1.7559999999999999E-2</v>
      </c>
      <c r="Q40">
        <f t="shared" si="3"/>
        <v>2288</v>
      </c>
      <c r="R40">
        <f t="shared" si="10"/>
        <v>19184.77550325332</v>
      </c>
      <c r="S40" s="77">
        <f t="shared" si="11"/>
        <v>0.98029384615384607</v>
      </c>
    </row>
    <row r="41" spans="1:19" ht="15.5" x14ac:dyDescent="0.35">
      <c r="A41" s="3" t="s">
        <v>79</v>
      </c>
      <c r="B41" s="16" t="s">
        <v>2627</v>
      </c>
      <c r="C41" s="17" t="s">
        <v>940</v>
      </c>
      <c r="D41" s="17" t="str">
        <f t="shared" si="4"/>
        <v>25/09/79</v>
      </c>
      <c r="E41" s="3" t="s">
        <v>3477</v>
      </c>
      <c r="F41" s="6">
        <v>19026.752</v>
      </c>
      <c r="G41" s="68" t="str">
        <f t="shared" si="0"/>
        <v>97</v>
      </c>
      <c r="H41">
        <f t="shared" si="5"/>
        <v>43</v>
      </c>
      <c r="I41">
        <f t="shared" si="1"/>
        <v>22</v>
      </c>
      <c r="J41">
        <f t="shared" si="6"/>
        <v>245.8553754307234</v>
      </c>
      <c r="K41" s="69">
        <f t="shared" si="2"/>
        <v>68563.612747957086</v>
      </c>
      <c r="L41">
        <f t="shared" si="7"/>
        <v>68563.612747957086</v>
      </c>
      <c r="M41" s="69">
        <f t="shared" si="8"/>
        <v>606.81608374056236</v>
      </c>
      <c r="N41" s="69">
        <f t="shared" si="9"/>
        <v>3.7663038596095575</v>
      </c>
      <c r="O41">
        <f>_xlfn.XLOOKUP(N41,CBIA!$A$3:$A$24,CBIA!$C$3:$C$24,,-1)</f>
        <v>0.20649999999999999</v>
      </c>
      <c r="P41" s="70">
        <f>_xlfn.XLOOKUP(N41,CBIA!$A$3:$A$24,CBIA!$D$3:$D$24,,-1)</f>
        <v>2.2349999999999998E-2</v>
      </c>
      <c r="Q41">
        <f t="shared" si="3"/>
        <v>2444</v>
      </c>
      <c r="R41">
        <f t="shared" si="10"/>
        <v>71446.448957805798</v>
      </c>
      <c r="S41" s="77">
        <f t="shared" si="11"/>
        <v>1.0420461538461538</v>
      </c>
    </row>
    <row r="42" spans="1:19" ht="15.5" x14ac:dyDescent="0.35">
      <c r="A42" s="3" t="s">
        <v>80</v>
      </c>
      <c r="B42" s="16" t="s">
        <v>2628</v>
      </c>
      <c r="C42" s="17" t="s">
        <v>941</v>
      </c>
      <c r="D42" s="17" t="str">
        <f t="shared" si="4"/>
        <v>09/11/78</v>
      </c>
      <c r="E42" s="3" t="s">
        <v>3478</v>
      </c>
      <c r="F42" s="6">
        <v>15878.528</v>
      </c>
      <c r="G42" s="68" t="str">
        <f t="shared" si="0"/>
        <v>96</v>
      </c>
      <c r="H42">
        <f t="shared" si="5"/>
        <v>44</v>
      </c>
      <c r="I42">
        <f t="shared" si="1"/>
        <v>21</v>
      </c>
      <c r="J42">
        <f t="shared" si="6"/>
        <v>236.39939945261867</v>
      </c>
      <c r="K42" s="69">
        <f t="shared" si="2"/>
        <v>53980.065819044437</v>
      </c>
      <c r="L42">
        <f t="shared" si="7"/>
        <v>53980.065819044437</v>
      </c>
      <c r="M42" s="69">
        <f t="shared" si="8"/>
        <v>577.92007975291654</v>
      </c>
      <c r="N42" s="69">
        <f t="shared" si="9"/>
        <v>3.1134677446590322</v>
      </c>
      <c r="O42">
        <f>_xlfn.XLOOKUP(N42,CBIA!$A$3:$A$24,CBIA!$C$3:$C$24,,-1)</f>
        <v>0.25600000000000001</v>
      </c>
      <c r="P42" s="70">
        <f>_xlfn.XLOOKUP(N42,CBIA!$A$3:$A$24,CBIA!$D$3:$D$24,,-1)</f>
        <v>2.0959999999999999E-2</v>
      </c>
      <c r="Q42">
        <f t="shared" si="3"/>
        <v>2444</v>
      </c>
      <c r="R42">
        <f t="shared" si="10"/>
        <v>56116.679870417327</v>
      </c>
      <c r="S42" s="77">
        <f t="shared" si="11"/>
        <v>1.0395815384615386</v>
      </c>
    </row>
    <row r="43" spans="1:19" ht="15.5" x14ac:dyDescent="0.35">
      <c r="A43" s="3" t="s">
        <v>82</v>
      </c>
      <c r="B43" s="16" t="s">
        <v>2630</v>
      </c>
      <c r="C43" s="17" t="s">
        <v>943</v>
      </c>
      <c r="D43" s="17" t="str">
        <f t="shared" si="4"/>
        <v>16/03/61</v>
      </c>
      <c r="E43" s="3" t="s">
        <v>3479</v>
      </c>
      <c r="F43" s="6">
        <v>6523.232</v>
      </c>
      <c r="G43" s="68" t="str">
        <f t="shared" si="0"/>
        <v>91</v>
      </c>
      <c r="H43">
        <f t="shared" si="5"/>
        <v>61</v>
      </c>
      <c r="I43">
        <f t="shared" si="1"/>
        <v>4</v>
      </c>
      <c r="J43">
        <f t="shared" si="6"/>
        <v>121.36112701440001</v>
      </c>
      <c r="K43" s="69">
        <f t="shared" si="2"/>
        <v>8235.4301047347217</v>
      </c>
      <c r="L43">
        <f t="shared" si="7"/>
        <v>8235.4301047347217</v>
      </c>
      <c r="M43" s="69">
        <f t="shared" si="8"/>
        <v>252.14461650000001</v>
      </c>
      <c r="N43" s="69">
        <f t="shared" si="9"/>
        <v>1.0887178185082953</v>
      </c>
      <c r="O43">
        <f>_xlfn.XLOOKUP(N43,CBIA!$A$3:$A$24,CBIA!$C$3:$C$24,,-1)</f>
        <v>0.77110000000000001</v>
      </c>
      <c r="P43" s="70">
        <f>_xlfn.XLOOKUP(N43,CBIA!$A$3:$A$24,CBIA!$D$3:$D$24,,-1)</f>
        <v>8.1399999999999997E-3</v>
      </c>
      <c r="Q43">
        <f t="shared" si="3"/>
        <v>1820</v>
      </c>
      <c r="R43">
        <f t="shared" si="10"/>
        <v>8052.0334112485134</v>
      </c>
      <c r="S43" s="77">
        <f t="shared" si="11"/>
        <v>0.97773076923076918</v>
      </c>
    </row>
    <row r="44" spans="1:19" ht="15.5" x14ac:dyDescent="0.35">
      <c r="A44" s="3" t="s">
        <v>84</v>
      </c>
      <c r="B44" s="16" t="s">
        <v>2632</v>
      </c>
      <c r="C44" s="17" t="s">
        <v>945</v>
      </c>
      <c r="D44" s="17" t="str">
        <f t="shared" si="4"/>
        <v>23/03/66</v>
      </c>
      <c r="E44" s="3" t="s">
        <v>3480</v>
      </c>
      <c r="F44" s="6">
        <v>22522.448</v>
      </c>
      <c r="G44" s="68" t="str">
        <f t="shared" si="0"/>
        <v>92</v>
      </c>
      <c r="H44">
        <f t="shared" si="5"/>
        <v>56</v>
      </c>
      <c r="I44">
        <f t="shared" si="1"/>
        <v>9</v>
      </c>
      <c r="J44">
        <f t="shared" si="6"/>
        <v>147.65436742060487</v>
      </c>
      <c r="K44" s="69">
        <f t="shared" si="2"/>
        <v>38051.202001232283</v>
      </c>
      <c r="L44">
        <f t="shared" si="7"/>
        <v>38051.202001232283</v>
      </c>
      <c r="M44" s="69">
        <f t="shared" si="8"/>
        <v>321.80752512258329</v>
      </c>
      <c r="N44" s="69">
        <f t="shared" si="9"/>
        <v>3.9414037927109566</v>
      </c>
      <c r="O44">
        <f>_xlfn.XLOOKUP(N44,CBIA!$A$3:$A$24,CBIA!$C$3:$C$24,,-1)</f>
        <v>0.20649999999999999</v>
      </c>
      <c r="P44" s="70">
        <f>_xlfn.XLOOKUP(N44,CBIA!$A$3:$A$24,CBIA!$D$3:$D$24,,-1)</f>
        <v>2.2349999999999998E-2</v>
      </c>
      <c r="Q44">
        <f t="shared" si="3"/>
        <v>2028</v>
      </c>
      <c r="R44">
        <f t="shared" si="10"/>
        <v>32847.553776786837</v>
      </c>
      <c r="S44" s="77">
        <f t="shared" si="11"/>
        <v>0.86324615384615377</v>
      </c>
    </row>
    <row r="45" spans="1:19" ht="15.5" x14ac:dyDescent="0.35">
      <c r="A45" s="3" t="s">
        <v>89</v>
      </c>
      <c r="B45" s="16" t="s">
        <v>2637</v>
      </c>
      <c r="C45" s="17" t="s">
        <v>950</v>
      </c>
      <c r="D45" s="17" t="str">
        <f t="shared" si="4"/>
        <v>30/05/73</v>
      </c>
      <c r="E45" s="3" t="s">
        <v>3485</v>
      </c>
      <c r="F45" s="6">
        <v>37121.135999999999</v>
      </c>
      <c r="G45" s="68" t="str">
        <f t="shared" si="0"/>
        <v>91</v>
      </c>
      <c r="H45">
        <f t="shared" si="5"/>
        <v>49</v>
      </c>
      <c r="I45">
        <f t="shared" si="1"/>
        <v>16</v>
      </c>
      <c r="J45">
        <f t="shared" si="6"/>
        <v>194.30307443173908</v>
      </c>
      <c r="K45" s="69">
        <f t="shared" si="2"/>
        <v>94300.740375045993</v>
      </c>
      <c r="L45">
        <f t="shared" si="7"/>
        <v>94300.740375045993</v>
      </c>
      <c r="M45" s="69">
        <f t="shared" si="8"/>
        <v>452.8155046139488</v>
      </c>
      <c r="N45" s="69">
        <f t="shared" si="9"/>
        <v>6.9418073817534722</v>
      </c>
      <c r="O45">
        <f>_xlfn.XLOOKUP(N45,CBIA!$A$3:$A$24,CBIA!$C$3:$C$24,,-1)</f>
        <v>0.13</v>
      </c>
      <c r="P45" s="70">
        <f>_xlfn.XLOOKUP(N45,CBIA!$A$3:$A$24,CBIA!$D$3:$D$24,,-1)</f>
        <v>2.4500000000000001E-2</v>
      </c>
      <c r="Q45">
        <f t="shared" si="3"/>
        <v>2444</v>
      </c>
      <c r="R45">
        <f t="shared" si="10"/>
        <v>98631.320529192337</v>
      </c>
      <c r="S45" s="77">
        <f t="shared" si="11"/>
        <v>1.045923076923077</v>
      </c>
    </row>
    <row r="46" spans="1:19" ht="15.5" x14ac:dyDescent="0.35">
      <c r="A46" s="3" t="s">
        <v>91</v>
      </c>
      <c r="B46" s="16" t="s">
        <v>2639</v>
      </c>
      <c r="C46" s="17" t="s">
        <v>952</v>
      </c>
      <c r="D46" s="17" t="str">
        <f t="shared" si="4"/>
        <v>07/12/72</v>
      </c>
      <c r="E46" s="3" t="s">
        <v>3486</v>
      </c>
      <c r="F46" s="6">
        <v>22929.807999999997</v>
      </c>
      <c r="G46" s="68" t="str">
        <f t="shared" si="0"/>
        <v>91</v>
      </c>
      <c r="H46">
        <f t="shared" si="5"/>
        <v>50</v>
      </c>
      <c r="I46">
        <f t="shared" si="1"/>
        <v>15</v>
      </c>
      <c r="J46">
        <f t="shared" si="6"/>
        <v>186.82987926128754</v>
      </c>
      <c r="K46" s="69">
        <f t="shared" si="2"/>
        <v>54952.619228602867</v>
      </c>
      <c r="L46">
        <f t="shared" si="7"/>
        <v>54952.619228602867</v>
      </c>
      <c r="M46" s="69">
        <f t="shared" si="8"/>
        <v>431.25286153709413</v>
      </c>
      <c r="N46" s="69">
        <f t="shared" si="9"/>
        <v>4.2475172634401268</v>
      </c>
      <c r="O46">
        <f>_xlfn.XLOOKUP(N46,CBIA!$A$3:$A$24,CBIA!$C$3:$C$24,,-1)</f>
        <v>0.19390000000000002</v>
      </c>
      <c r="P46" s="70">
        <f>_xlfn.XLOOKUP(N46,CBIA!$A$3:$A$24,CBIA!$D$3:$D$24,,-1)</f>
        <v>2.2709999999999998E-2</v>
      </c>
      <c r="Q46">
        <f t="shared" si="3"/>
        <v>2392</v>
      </c>
      <c r="R46">
        <f t="shared" si="10"/>
        <v>56062.366238301714</v>
      </c>
      <c r="S46" s="77">
        <f t="shared" si="11"/>
        <v>1.0201946153846153</v>
      </c>
    </row>
    <row r="47" spans="1:19" ht="15.5" x14ac:dyDescent="0.35">
      <c r="A47" s="3" t="s">
        <v>93</v>
      </c>
      <c r="B47" s="16" t="s">
        <v>2641</v>
      </c>
      <c r="C47" s="17" t="s">
        <v>954</v>
      </c>
      <c r="D47" s="17" t="str">
        <f t="shared" si="4"/>
        <v>02/04/66</v>
      </c>
      <c r="E47" s="3" t="s">
        <v>3487</v>
      </c>
      <c r="F47" s="6">
        <v>10401.664000000001</v>
      </c>
      <c r="G47" s="68" t="str">
        <f t="shared" si="0"/>
        <v>86</v>
      </c>
      <c r="H47">
        <f t="shared" si="5"/>
        <v>56</v>
      </c>
      <c r="I47">
        <f t="shared" si="1"/>
        <v>9</v>
      </c>
      <c r="J47">
        <f t="shared" si="6"/>
        <v>147.65436742060487</v>
      </c>
      <c r="K47" s="69">
        <f t="shared" si="2"/>
        <v>17573.392466615787</v>
      </c>
      <c r="L47">
        <f t="shared" si="7"/>
        <v>17573.392466615787</v>
      </c>
      <c r="M47" s="69">
        <f t="shared" si="8"/>
        <v>321.80752512258329</v>
      </c>
      <c r="N47" s="69">
        <f t="shared" si="9"/>
        <v>1.8202798354825827</v>
      </c>
      <c r="O47">
        <f>_xlfn.XLOOKUP(N47,CBIA!$A$3:$A$24,CBIA!$C$3:$C$24,,-1)</f>
        <v>0.42670000000000002</v>
      </c>
      <c r="P47" s="70">
        <f>_xlfn.XLOOKUP(N47,CBIA!$A$3:$A$24,CBIA!$D$3:$D$24,,-1)</f>
        <v>1.6150000000000001E-2</v>
      </c>
      <c r="Q47">
        <f t="shared" si="3"/>
        <v>2340</v>
      </c>
      <c r="R47">
        <f t="shared" si="10"/>
        <v>17541.084460465627</v>
      </c>
      <c r="S47" s="77">
        <f t="shared" si="11"/>
        <v>0.99816153846153854</v>
      </c>
    </row>
    <row r="48" spans="1:19" ht="15.5" x14ac:dyDescent="0.35">
      <c r="A48" s="3" t="s">
        <v>94</v>
      </c>
      <c r="B48" s="16" t="s">
        <v>2642</v>
      </c>
      <c r="C48" s="17" t="s">
        <v>955</v>
      </c>
      <c r="D48" s="17" t="str">
        <f t="shared" si="4"/>
        <v>09/07/78</v>
      </c>
      <c r="E48" s="3" t="s">
        <v>3488</v>
      </c>
      <c r="F48" s="6">
        <v>11042.8</v>
      </c>
      <c r="G48" s="68" t="str">
        <f t="shared" si="0"/>
        <v>97</v>
      </c>
      <c r="H48">
        <f t="shared" si="5"/>
        <v>44</v>
      </c>
      <c r="I48">
        <f t="shared" si="1"/>
        <v>21</v>
      </c>
      <c r="J48">
        <f t="shared" si="6"/>
        <v>236.39939945261867</v>
      </c>
      <c r="K48" s="69">
        <f t="shared" si="2"/>
        <v>37540.700928105165</v>
      </c>
      <c r="L48">
        <f t="shared" si="7"/>
        <v>37540.700928105165</v>
      </c>
      <c r="M48" s="69">
        <f t="shared" si="8"/>
        <v>577.92007975291654</v>
      </c>
      <c r="N48" s="69">
        <f t="shared" si="9"/>
        <v>2.1652763789389518</v>
      </c>
      <c r="O48">
        <f>_xlfn.XLOOKUP(N48,CBIA!$A$3:$A$24,CBIA!$C$3:$C$24,,-1)</f>
        <v>0.3765</v>
      </c>
      <c r="P48" s="70">
        <f>_xlfn.XLOOKUP(N48,CBIA!$A$3:$A$24,CBIA!$D$3:$D$24,,-1)</f>
        <v>1.7559999999999999E-2</v>
      </c>
      <c r="Q48">
        <f t="shared" si="3"/>
        <v>2392</v>
      </c>
      <c r="R48">
        <f t="shared" si="10"/>
        <v>38119.347516718532</v>
      </c>
      <c r="S48" s="77">
        <f t="shared" si="11"/>
        <v>1.0154138461538462</v>
      </c>
    </row>
    <row r="49" spans="1:19" ht="15.5" x14ac:dyDescent="0.35">
      <c r="A49" s="3" t="s">
        <v>99</v>
      </c>
      <c r="B49" s="16" t="s">
        <v>2647</v>
      </c>
      <c r="C49" s="17" t="s">
        <v>951</v>
      </c>
      <c r="D49" s="17" t="str">
        <f t="shared" si="4"/>
        <v>19/01/64</v>
      </c>
      <c r="E49" s="3" t="s">
        <v>3491</v>
      </c>
      <c r="F49" s="6">
        <v>20824.608</v>
      </c>
      <c r="G49" s="68" t="str">
        <f t="shared" si="0"/>
        <v>94</v>
      </c>
      <c r="H49">
        <f t="shared" si="5"/>
        <v>58</v>
      </c>
      <c r="I49">
        <f t="shared" si="1"/>
        <v>7</v>
      </c>
      <c r="J49">
        <f t="shared" si="6"/>
        <v>136.51476277792605</v>
      </c>
      <c r="K49" s="69">
        <f t="shared" si="2"/>
        <v>31312.510720433565</v>
      </c>
      <c r="L49">
        <f t="shared" si="7"/>
        <v>31312.510720433565</v>
      </c>
      <c r="M49" s="69">
        <f t="shared" si="8"/>
        <v>291.88891167581255</v>
      </c>
      <c r="N49" s="69">
        <f t="shared" si="9"/>
        <v>3.5758479188378027</v>
      </c>
      <c r="O49">
        <f>_xlfn.XLOOKUP(N49,CBIA!$A$3:$A$24,CBIA!$C$3:$C$24,,-1)</f>
        <v>0.22070000000000001</v>
      </c>
      <c r="P49" s="70">
        <f>_xlfn.XLOOKUP(N49,CBIA!$A$3:$A$24,CBIA!$D$3:$D$24,,-1)</f>
        <v>2.1949999999999997E-2</v>
      </c>
      <c r="Q49">
        <f t="shared" si="3"/>
        <v>1820</v>
      </c>
      <c r="R49">
        <f t="shared" si="10"/>
        <v>24357.761223958187</v>
      </c>
      <c r="S49" s="77">
        <f t="shared" si="11"/>
        <v>0.77789230769230755</v>
      </c>
    </row>
    <row r="50" spans="1:19" ht="15.5" x14ac:dyDescent="0.35">
      <c r="A50" s="3" t="s">
        <v>103</v>
      </c>
      <c r="B50" s="16" t="s">
        <v>2651</v>
      </c>
      <c r="C50" s="17" t="s">
        <v>963</v>
      </c>
      <c r="D50" s="17" t="str">
        <f t="shared" si="4"/>
        <v>03/09/80</v>
      </c>
      <c r="E50" s="3" t="s">
        <v>3494</v>
      </c>
      <c r="F50" s="6">
        <v>12101.023999999999</v>
      </c>
      <c r="G50" s="68" t="str">
        <f t="shared" si="0"/>
        <v>95</v>
      </c>
      <c r="H50">
        <f t="shared" si="5"/>
        <v>42</v>
      </c>
      <c r="I50">
        <f t="shared" si="1"/>
        <v>23</v>
      </c>
      <c r="J50">
        <f t="shared" si="6"/>
        <v>255.6895904479523</v>
      </c>
      <c r="K50" s="69">
        <f t="shared" si="2"/>
        <v>46222.882328687461</v>
      </c>
      <c r="L50">
        <f t="shared" si="7"/>
        <v>46222.882328687461</v>
      </c>
      <c r="M50" s="69">
        <f t="shared" si="8"/>
        <v>637.15688792759067</v>
      </c>
      <c r="N50" s="69">
        <f t="shared" si="9"/>
        <v>2.418184239208415</v>
      </c>
      <c r="O50">
        <f>_xlfn.XLOOKUP(N50,CBIA!$A$3:$A$24,CBIA!$C$3:$C$24,,-1)</f>
        <v>0.33679999999999999</v>
      </c>
      <c r="P50" s="70">
        <f>_xlfn.XLOOKUP(N50,CBIA!$A$3:$A$24,CBIA!$D$3:$D$24,,-1)</f>
        <v>1.8680000000000002E-2</v>
      </c>
      <c r="Q50">
        <f t="shared" si="3"/>
        <v>2600</v>
      </c>
      <c r="R50">
        <f t="shared" si="10"/>
        <v>50437.698075797161</v>
      </c>
      <c r="S50" s="77">
        <f t="shared" si="11"/>
        <v>1.0911846153846154</v>
      </c>
    </row>
    <row r="51" spans="1:19" ht="15.5" x14ac:dyDescent="0.35">
      <c r="A51" s="3" t="s">
        <v>116</v>
      </c>
      <c r="B51" s="16" t="s">
        <v>2664</v>
      </c>
      <c r="C51" s="17" t="s">
        <v>976</v>
      </c>
      <c r="D51" s="17" t="str">
        <f t="shared" si="4"/>
        <v>04/11/79</v>
      </c>
      <c r="E51" s="3" t="s">
        <v>3504</v>
      </c>
      <c r="F51" s="6">
        <v>13341.647999999999</v>
      </c>
      <c r="G51" s="68" t="str">
        <f t="shared" si="0"/>
        <v>95</v>
      </c>
      <c r="H51">
        <f t="shared" si="5"/>
        <v>43</v>
      </c>
      <c r="I51">
        <f t="shared" si="1"/>
        <v>22</v>
      </c>
      <c r="J51">
        <f t="shared" si="6"/>
        <v>245.8553754307234</v>
      </c>
      <c r="K51" s="69">
        <f t="shared" si="2"/>
        <v>48077.127766817801</v>
      </c>
      <c r="L51">
        <f t="shared" si="7"/>
        <v>48077.127766817801</v>
      </c>
      <c r="M51" s="69">
        <f t="shared" si="8"/>
        <v>606.81608374056236</v>
      </c>
      <c r="N51" s="69">
        <f t="shared" si="9"/>
        <v>2.6409499822119997</v>
      </c>
      <c r="O51">
        <f>_xlfn.XLOOKUP(N51,CBIA!$A$3:$A$24,CBIA!$C$3:$C$24,,-1)</f>
        <v>0.30480000000000002</v>
      </c>
      <c r="P51" s="70">
        <f>_xlfn.XLOOKUP(N51,CBIA!$A$3:$A$24,CBIA!$D$3:$D$24,,-1)</f>
        <v>1.958E-2</v>
      </c>
      <c r="Q51">
        <f t="shared" si="3"/>
        <v>2548</v>
      </c>
      <c r="R51">
        <f t="shared" si="10"/>
        <v>51728.622603113588</v>
      </c>
      <c r="S51" s="77">
        <f t="shared" si="11"/>
        <v>1.0759507692307693</v>
      </c>
    </row>
    <row r="52" spans="1:19" ht="15.5" x14ac:dyDescent="0.35">
      <c r="A52" s="3" t="s">
        <v>121</v>
      </c>
      <c r="B52" s="16" t="s">
        <v>2669</v>
      </c>
      <c r="C52" s="17" t="s">
        <v>981</v>
      </c>
      <c r="D52" s="17" t="str">
        <f t="shared" si="4"/>
        <v>12/08/65</v>
      </c>
      <c r="E52" s="3" t="s">
        <v>3506</v>
      </c>
      <c r="F52" s="6">
        <v>5639.808</v>
      </c>
      <c r="G52" s="68" t="str">
        <f t="shared" si="0"/>
        <v>58</v>
      </c>
      <c r="H52">
        <f t="shared" si="5"/>
        <v>57</v>
      </c>
      <c r="I52">
        <f t="shared" si="1"/>
        <v>8</v>
      </c>
      <c r="J52">
        <f t="shared" si="6"/>
        <v>141.97535328904314</v>
      </c>
      <c r="K52" s="69">
        <f t="shared" si="2"/>
        <v>8988.9971215236401</v>
      </c>
      <c r="L52">
        <f t="shared" si="7"/>
        <v>8988.9971215236401</v>
      </c>
      <c r="M52" s="69">
        <f t="shared" si="8"/>
        <v>306.48335725960311</v>
      </c>
      <c r="N52" s="69">
        <f t="shared" si="9"/>
        <v>0.97764929248775023</v>
      </c>
      <c r="O52">
        <f>_xlfn.XLOOKUP(N52,CBIA!$A$3:$A$24,CBIA!$C$3:$C$24,,-1)</f>
        <v>0.8</v>
      </c>
      <c r="P52" s="70">
        <f>_xlfn.XLOOKUP(N52,CBIA!$A$3:$A$24,CBIA!$D$3:$D$24,,-1)</f>
        <v>5.6299999999999996E-3</v>
      </c>
      <c r="Q52">
        <f t="shared" si="3"/>
        <v>3744</v>
      </c>
      <c r="R52">
        <f t="shared" si="10"/>
        <v>10348.361668532638</v>
      </c>
      <c r="S52" s="77">
        <f t="shared" si="11"/>
        <v>1.1512253846153846</v>
      </c>
    </row>
    <row r="53" spans="1:19" ht="15.5" x14ac:dyDescent="0.35">
      <c r="A53" s="3" t="s">
        <v>131</v>
      </c>
      <c r="B53" s="16" t="s">
        <v>2679</v>
      </c>
      <c r="C53" s="17" t="s">
        <v>991</v>
      </c>
      <c r="D53" s="17" t="str">
        <f t="shared" si="4"/>
        <v>20/10/76</v>
      </c>
      <c r="E53" s="3" t="s">
        <v>3511</v>
      </c>
      <c r="F53" s="6">
        <v>25742.415999999997</v>
      </c>
      <c r="G53" s="68" t="str">
        <f t="shared" si="0"/>
        <v>92</v>
      </c>
      <c r="H53">
        <f t="shared" si="5"/>
        <v>46</v>
      </c>
      <c r="I53">
        <f t="shared" si="1"/>
        <v>19</v>
      </c>
      <c r="J53">
        <f t="shared" si="6"/>
        <v>218.56453351758375</v>
      </c>
      <c r="K53" s="69">
        <f t="shared" si="2"/>
        <v>77886.241032131671</v>
      </c>
      <c r="L53">
        <f t="shared" si="7"/>
        <v>77886.241032131671</v>
      </c>
      <c r="M53" s="69">
        <f t="shared" si="8"/>
        <v>524.1905485287225</v>
      </c>
      <c r="N53" s="69">
        <f t="shared" si="9"/>
        <v>4.9527944402876471</v>
      </c>
      <c r="O53">
        <f>_xlfn.XLOOKUP(N53,CBIA!$A$3:$A$24,CBIA!$C$3:$C$24,,-1)</f>
        <v>0.1641</v>
      </c>
      <c r="P53" s="70">
        <f>_xlfn.XLOOKUP(N53,CBIA!$A$3:$A$24,CBIA!$D$3:$D$24,,-1)</f>
        <v>2.3550000000000001E-2</v>
      </c>
      <c r="Q53">
        <f t="shared" si="3"/>
        <v>2548</v>
      </c>
      <c r="R53">
        <f t="shared" si="10"/>
        <v>85021.219835605953</v>
      </c>
      <c r="S53" s="77">
        <f t="shared" si="11"/>
        <v>1.0916076923076923</v>
      </c>
    </row>
    <row r="54" spans="1:19" ht="15.5" x14ac:dyDescent="0.35">
      <c r="A54" s="3" t="s">
        <v>133</v>
      </c>
      <c r="B54" s="16" t="s">
        <v>2681</v>
      </c>
      <c r="C54" s="17" t="s">
        <v>993</v>
      </c>
      <c r="D54" s="17" t="str">
        <f t="shared" si="4"/>
        <v>20/08/62</v>
      </c>
      <c r="E54" s="3" t="s">
        <v>3512</v>
      </c>
      <c r="F54" s="6">
        <v>15418.271999999999</v>
      </c>
      <c r="G54" s="68" t="str">
        <f t="shared" si="0"/>
        <v>97</v>
      </c>
      <c r="H54">
        <f t="shared" si="5"/>
        <v>60</v>
      </c>
      <c r="I54">
        <f t="shared" si="1"/>
        <v>5</v>
      </c>
      <c r="J54">
        <f t="shared" si="6"/>
        <v>126.21557209497603</v>
      </c>
      <c r="K54" s="69">
        <f t="shared" si="2"/>
        <v>20633.125952793915</v>
      </c>
      <c r="L54">
        <f t="shared" si="7"/>
        <v>20633.125952793915</v>
      </c>
      <c r="M54" s="69">
        <f t="shared" si="8"/>
        <v>264.75184732500003</v>
      </c>
      <c r="N54" s="69">
        <f t="shared" si="9"/>
        <v>2.5977943951750686</v>
      </c>
      <c r="O54">
        <f>_xlfn.XLOOKUP(N54,CBIA!$A$3:$A$24,CBIA!$C$3:$C$24,,-1)</f>
        <v>0.30480000000000002</v>
      </c>
      <c r="P54" s="70">
        <f>_xlfn.XLOOKUP(N54,CBIA!$A$3:$A$24,CBIA!$D$3:$D$24,,-1)</f>
        <v>1.958E-2</v>
      </c>
      <c r="Q54">
        <f t="shared" si="3"/>
        <v>1560</v>
      </c>
      <c r="R54">
        <f t="shared" si="10"/>
        <v>14524.292223585569</v>
      </c>
      <c r="S54" s="77">
        <f t="shared" si="11"/>
        <v>0.70393076923076925</v>
      </c>
    </row>
    <row r="55" spans="1:19" ht="15.5" x14ac:dyDescent="0.35">
      <c r="A55" s="3" t="s">
        <v>134</v>
      </c>
      <c r="B55" s="16" t="s">
        <v>2682</v>
      </c>
      <c r="C55" s="17" t="s">
        <v>994</v>
      </c>
      <c r="D55" s="17" t="str">
        <f t="shared" si="4"/>
        <v>05/01/78</v>
      </c>
      <c r="E55" s="3" t="s">
        <v>3513</v>
      </c>
      <c r="F55" s="6">
        <v>22644.61</v>
      </c>
      <c r="G55" s="68" t="str">
        <f t="shared" si="0"/>
        <v>96</v>
      </c>
      <c r="H55">
        <f t="shared" si="5"/>
        <v>44</v>
      </c>
      <c r="I55">
        <f t="shared" si="1"/>
        <v>21</v>
      </c>
      <c r="J55">
        <f t="shared" si="6"/>
        <v>236.39939945261867</v>
      </c>
      <c r="K55" s="69">
        <f t="shared" si="2"/>
        <v>76981.791904551341</v>
      </c>
      <c r="L55">
        <f t="shared" si="7"/>
        <v>76981.791904551341</v>
      </c>
      <c r="M55" s="69">
        <f t="shared" si="8"/>
        <v>577.92007975291654</v>
      </c>
      <c r="N55" s="69">
        <f t="shared" si="9"/>
        <v>4.440163649009742</v>
      </c>
      <c r="O55">
        <f>_xlfn.XLOOKUP(N55,CBIA!$A$3:$A$24,CBIA!$C$3:$C$24,,-1)</f>
        <v>0.18289999999999998</v>
      </c>
      <c r="P55" s="70">
        <f>_xlfn.XLOOKUP(N55,CBIA!$A$3:$A$24,CBIA!$D$3:$D$24,,-1)</f>
        <v>2.3019999999999999E-2</v>
      </c>
      <c r="Q55">
        <f t="shared" si="3"/>
        <v>2444</v>
      </c>
      <c r="R55">
        <f t="shared" si="10"/>
        <v>80330.026118295296</v>
      </c>
      <c r="S55" s="77">
        <f t="shared" si="11"/>
        <v>1.0434938461538461</v>
      </c>
    </row>
    <row r="56" spans="1:19" ht="15.5" x14ac:dyDescent="0.35">
      <c r="A56" s="3" t="s">
        <v>135</v>
      </c>
      <c r="B56" s="16" t="s">
        <v>2683</v>
      </c>
      <c r="C56" s="17" t="s">
        <v>995</v>
      </c>
      <c r="D56" s="17" t="str">
        <f t="shared" si="4"/>
        <v>11/03/69</v>
      </c>
      <c r="E56" s="3" t="s">
        <v>3514</v>
      </c>
      <c r="F56" s="6">
        <v>19636.88</v>
      </c>
      <c r="G56" s="68" t="str">
        <f t="shared" si="0"/>
        <v>96</v>
      </c>
      <c r="H56">
        <f t="shared" si="5"/>
        <v>53</v>
      </c>
      <c r="I56">
        <f t="shared" si="1"/>
        <v>12</v>
      </c>
      <c r="J56">
        <f t="shared" si="6"/>
        <v>166.0910823542113</v>
      </c>
      <c r="K56" s="69">
        <f t="shared" si="2"/>
        <v>39513.260653858117</v>
      </c>
      <c r="L56">
        <f t="shared" si="7"/>
        <v>39513.260653858117</v>
      </c>
      <c r="M56" s="69">
        <f t="shared" si="8"/>
        <v>372.53243627003047</v>
      </c>
      <c r="N56" s="69">
        <f t="shared" si="9"/>
        <v>3.5355543846045925</v>
      </c>
      <c r="O56">
        <f>_xlfn.XLOOKUP(N56,CBIA!$A$3:$A$24,CBIA!$C$3:$C$24,,-1)</f>
        <v>0.22070000000000001</v>
      </c>
      <c r="P56" s="70">
        <f>_xlfn.XLOOKUP(N56,CBIA!$A$3:$A$24,CBIA!$D$3:$D$24,,-1)</f>
        <v>2.1949999999999997E-2</v>
      </c>
      <c r="Q56">
        <f t="shared" si="3"/>
        <v>1976</v>
      </c>
      <c r="R56">
        <f t="shared" si="10"/>
        <v>33339.009728533907</v>
      </c>
      <c r="S56" s="77">
        <f t="shared" si="11"/>
        <v>0.84374230769230762</v>
      </c>
    </row>
    <row r="57" spans="1:19" ht="15.5" x14ac:dyDescent="0.35">
      <c r="A57" s="3" t="s">
        <v>138</v>
      </c>
      <c r="B57" s="16" t="s">
        <v>2686</v>
      </c>
      <c r="C57" s="17" t="s">
        <v>998</v>
      </c>
      <c r="D57" s="17" t="str">
        <f t="shared" si="4"/>
        <v>22/04/72</v>
      </c>
      <c r="E57" s="3" t="s">
        <v>3515</v>
      </c>
      <c r="F57" s="6">
        <v>10809.632</v>
      </c>
      <c r="G57" s="68" t="str">
        <f t="shared" si="0"/>
        <v>91</v>
      </c>
      <c r="H57">
        <f t="shared" si="5"/>
        <v>50</v>
      </c>
      <c r="I57">
        <f t="shared" si="1"/>
        <v>15</v>
      </c>
      <c r="J57">
        <f t="shared" si="6"/>
        <v>186.82987926128754</v>
      </c>
      <c r="K57" s="69">
        <f t="shared" si="2"/>
        <v>25905.912133992613</v>
      </c>
      <c r="L57">
        <f t="shared" si="7"/>
        <v>25905.912133992613</v>
      </c>
      <c r="M57" s="69">
        <f t="shared" si="8"/>
        <v>431.25286153709413</v>
      </c>
      <c r="N57" s="69">
        <f t="shared" si="9"/>
        <v>2.0023760570273783</v>
      </c>
      <c r="O57">
        <f>_xlfn.XLOOKUP(N57,CBIA!$A$3:$A$24,CBIA!$C$3:$C$24,,-1)</f>
        <v>0.42670000000000002</v>
      </c>
      <c r="P57" s="70">
        <f>_xlfn.XLOOKUP(N57,CBIA!$A$3:$A$24,CBIA!$D$3:$D$24,,-1)</f>
        <v>1.6150000000000001E-2</v>
      </c>
      <c r="Q57">
        <f t="shared" si="3"/>
        <v>2392</v>
      </c>
      <c r="R57">
        <f t="shared" si="10"/>
        <v>26276.66559187949</v>
      </c>
      <c r="S57" s="77">
        <f t="shared" si="11"/>
        <v>1.0143115384615387</v>
      </c>
    </row>
    <row r="58" spans="1:19" ht="15.5" x14ac:dyDescent="0.35">
      <c r="A58" s="3" t="s">
        <v>140</v>
      </c>
      <c r="B58" s="16" t="s">
        <v>2688</v>
      </c>
      <c r="C58" s="17" t="s">
        <v>1000</v>
      </c>
      <c r="D58" s="17" t="str">
        <f t="shared" si="4"/>
        <v>04/06/70</v>
      </c>
      <c r="E58" s="3" t="s">
        <v>3516</v>
      </c>
      <c r="F58" s="6">
        <v>9631.0239999999994</v>
      </c>
      <c r="G58" s="68" t="str">
        <f t="shared" si="0"/>
        <v>94</v>
      </c>
      <c r="H58">
        <f t="shared" si="5"/>
        <v>52</v>
      </c>
      <c r="I58">
        <f t="shared" si="1"/>
        <v>13</v>
      </c>
      <c r="J58">
        <f t="shared" si="6"/>
        <v>172.73472564837977</v>
      </c>
      <c r="K58" s="69">
        <f t="shared" si="2"/>
        <v>20542.283263741338</v>
      </c>
      <c r="L58">
        <f t="shared" si="7"/>
        <v>20542.283263741338</v>
      </c>
      <c r="M58" s="69">
        <f t="shared" si="8"/>
        <v>391.15905808353205</v>
      </c>
      <c r="N58" s="69">
        <f t="shared" si="9"/>
        <v>1.750548175499026</v>
      </c>
      <c r="O58">
        <f>_xlfn.XLOOKUP(N58,CBIA!$A$3:$A$24,CBIA!$C$3:$C$24,,-1)</f>
        <v>0.49229999999999996</v>
      </c>
      <c r="P58" s="70">
        <f>_xlfn.XLOOKUP(N58,CBIA!$A$3:$A$24,CBIA!$D$3:$D$24,,-1)</f>
        <v>1.43E-2</v>
      </c>
      <c r="Q58">
        <f t="shared" si="3"/>
        <v>2132</v>
      </c>
      <c r="R58">
        <f t="shared" si="10"/>
        <v>19332.342779506973</v>
      </c>
      <c r="S58" s="77">
        <f t="shared" si="11"/>
        <v>0.94110000000000005</v>
      </c>
    </row>
    <row r="59" spans="1:19" ht="15.5" x14ac:dyDescent="0.35">
      <c r="A59" s="3" t="s">
        <v>143</v>
      </c>
      <c r="B59" s="16" t="s">
        <v>2691</v>
      </c>
      <c r="C59" s="17" t="s">
        <v>1003</v>
      </c>
      <c r="D59" s="17" t="str">
        <f t="shared" si="4"/>
        <v>25/11/62</v>
      </c>
      <c r="E59" s="3" t="s">
        <v>3518</v>
      </c>
      <c r="F59" s="6">
        <v>6939.1039999999994</v>
      </c>
      <c r="G59" s="68" t="str">
        <f t="shared" si="0"/>
        <v>86</v>
      </c>
      <c r="H59">
        <f t="shared" si="5"/>
        <v>60</v>
      </c>
      <c r="I59">
        <f t="shared" si="1"/>
        <v>5</v>
      </c>
      <c r="J59">
        <f t="shared" si="6"/>
        <v>126.21557209497603</v>
      </c>
      <c r="K59" s="69">
        <f t="shared" si="2"/>
        <v>9286.0864584264727</v>
      </c>
      <c r="L59">
        <f t="shared" si="7"/>
        <v>9286.0864584264727</v>
      </c>
      <c r="M59" s="69">
        <f t="shared" si="8"/>
        <v>264.75184732500003</v>
      </c>
      <c r="N59" s="69">
        <f t="shared" si="9"/>
        <v>1.1691560168828838</v>
      </c>
      <c r="O59">
        <f>_xlfn.XLOOKUP(N59,CBIA!$A$3:$A$24,CBIA!$C$3:$C$24,,-1)</f>
        <v>0.77110000000000001</v>
      </c>
      <c r="P59" s="70">
        <f>_xlfn.XLOOKUP(N59,CBIA!$A$3:$A$24,CBIA!$D$3:$D$24,,-1)</f>
        <v>8.1399999999999997E-3</v>
      </c>
      <c r="Q59">
        <f t="shared" si="3"/>
        <v>2132</v>
      </c>
      <c r="R59">
        <f t="shared" si="10"/>
        <v>9532.824918770295</v>
      </c>
      <c r="S59" s="77">
        <f t="shared" si="11"/>
        <v>1.0265707692307693</v>
      </c>
    </row>
    <row r="60" spans="1:19" ht="15.5" x14ac:dyDescent="0.35">
      <c r="A60" s="3" t="s">
        <v>144</v>
      </c>
      <c r="B60" s="16" t="s">
        <v>2692</v>
      </c>
      <c r="C60" s="17" t="s">
        <v>1004</v>
      </c>
      <c r="D60" s="17" t="str">
        <f t="shared" si="4"/>
        <v>02/04/65</v>
      </c>
      <c r="E60" s="3" t="s">
        <v>3519</v>
      </c>
      <c r="F60" s="6">
        <v>12170.944</v>
      </c>
      <c r="G60" s="68" t="str">
        <f t="shared" si="0"/>
        <v>85</v>
      </c>
      <c r="H60">
        <f t="shared" si="5"/>
        <v>57</v>
      </c>
      <c r="I60">
        <f t="shared" si="1"/>
        <v>8</v>
      </c>
      <c r="J60">
        <f t="shared" si="6"/>
        <v>141.97535328904314</v>
      </c>
      <c r="K60" s="69">
        <f t="shared" si="2"/>
        <v>19398.635659622709</v>
      </c>
      <c r="L60">
        <f t="shared" si="7"/>
        <v>19398.635659622709</v>
      </c>
      <c r="M60" s="69">
        <f t="shared" si="8"/>
        <v>306.48335725960311</v>
      </c>
      <c r="N60" s="69">
        <f t="shared" si="9"/>
        <v>2.1098084882513786</v>
      </c>
      <c r="O60">
        <f>_xlfn.XLOOKUP(N60,CBIA!$A$3:$A$24,CBIA!$C$3:$C$24,,-1)</f>
        <v>0.3765</v>
      </c>
      <c r="P60" s="70">
        <f>_xlfn.XLOOKUP(N60,CBIA!$A$3:$A$24,CBIA!$D$3:$D$24,,-1)</f>
        <v>1.7559999999999999E-2</v>
      </c>
      <c r="Q60">
        <f t="shared" si="3"/>
        <v>2340</v>
      </c>
      <c r="R60">
        <f t="shared" si="10"/>
        <v>19357.003203091674</v>
      </c>
      <c r="S60" s="77">
        <f t="shared" si="11"/>
        <v>0.9978538461538462</v>
      </c>
    </row>
    <row r="61" spans="1:19" ht="15.5" x14ac:dyDescent="0.35">
      <c r="A61" s="3" t="s">
        <v>150</v>
      </c>
      <c r="B61" s="16" t="s">
        <v>2698</v>
      </c>
      <c r="C61" s="17" t="s">
        <v>1010</v>
      </c>
      <c r="D61" s="17" t="str">
        <f t="shared" si="4"/>
        <v>10/07/67</v>
      </c>
      <c r="E61" s="3" t="s">
        <v>3523</v>
      </c>
      <c r="F61" s="6">
        <v>20779.007999999998</v>
      </c>
      <c r="G61" s="68" t="str">
        <f t="shared" si="0"/>
        <v>94</v>
      </c>
      <c r="H61">
        <f t="shared" si="5"/>
        <v>55</v>
      </c>
      <c r="I61">
        <f t="shared" si="1"/>
        <v>10</v>
      </c>
      <c r="J61">
        <f t="shared" si="6"/>
        <v>153.56054211742907</v>
      </c>
      <c r="K61" s="69">
        <f t="shared" si="2"/>
        <v>37212.038613245546</v>
      </c>
      <c r="L61">
        <f t="shared" si="7"/>
        <v>37212.038613245546</v>
      </c>
      <c r="M61" s="69">
        <f t="shared" si="8"/>
        <v>337.89790137871245</v>
      </c>
      <c r="N61" s="69">
        <f t="shared" si="9"/>
        <v>3.6709351613224608</v>
      </c>
      <c r="O61">
        <f>_xlfn.XLOOKUP(N61,CBIA!$A$3:$A$24,CBIA!$C$3:$C$24,,-1)</f>
        <v>0.22070000000000001</v>
      </c>
      <c r="P61" s="70">
        <f>_xlfn.XLOOKUP(N61,CBIA!$A$3:$A$24,CBIA!$D$3:$D$24,,-1)</f>
        <v>2.1949999999999997E-2</v>
      </c>
      <c r="Q61">
        <f t="shared" si="3"/>
        <v>1976</v>
      </c>
      <c r="R61">
        <f t="shared" si="10"/>
        <v>31397.371333475057</v>
      </c>
      <c r="S61" s="77">
        <f t="shared" si="11"/>
        <v>0.84374230769230762</v>
      </c>
    </row>
    <row r="62" spans="1:19" ht="15.5" x14ac:dyDescent="0.35">
      <c r="A62" s="3" t="s">
        <v>151</v>
      </c>
      <c r="B62" s="16" t="s">
        <v>2699</v>
      </c>
      <c r="C62" s="17" t="s">
        <v>1011</v>
      </c>
      <c r="D62" s="17" t="str">
        <f t="shared" si="4"/>
        <v>12/01/75</v>
      </c>
      <c r="E62" s="3" t="s">
        <v>3524</v>
      </c>
      <c r="F62" s="6">
        <v>34444.112000000001</v>
      </c>
      <c r="G62" s="68" t="str">
        <f t="shared" si="0"/>
        <v>91</v>
      </c>
      <c r="H62">
        <f t="shared" si="5"/>
        <v>47</v>
      </c>
      <c r="I62">
        <f t="shared" si="1"/>
        <v>18</v>
      </c>
      <c r="J62">
        <f t="shared" si="6"/>
        <v>210.15820530536899</v>
      </c>
      <c r="K62" s="69">
        <f t="shared" si="2"/>
        <v>98315.177468914393</v>
      </c>
      <c r="L62">
        <f t="shared" si="7"/>
        <v>98315.177468914393</v>
      </c>
      <c r="M62" s="69">
        <f t="shared" si="8"/>
        <v>499.22909383687863</v>
      </c>
      <c r="N62" s="69">
        <f t="shared" si="9"/>
        <v>6.5644663397120668</v>
      </c>
      <c r="O62">
        <f>_xlfn.XLOOKUP(N62,CBIA!$A$3:$A$24,CBIA!$C$3:$C$24,,-1)</f>
        <v>0.13</v>
      </c>
      <c r="P62" s="70">
        <f>_xlfn.XLOOKUP(N62,CBIA!$A$3:$A$24,CBIA!$D$3:$D$24,,-1)</f>
        <v>2.4500000000000001E-2</v>
      </c>
      <c r="Q62">
        <f t="shared" si="3"/>
        <v>2548</v>
      </c>
      <c r="R62">
        <f t="shared" si="10"/>
        <v>107647.5566225021</v>
      </c>
      <c r="S62" s="77">
        <f t="shared" si="11"/>
        <v>1.0949230769230769</v>
      </c>
    </row>
    <row r="63" spans="1:19" ht="15.5" x14ac:dyDescent="0.35">
      <c r="A63" s="3" t="s">
        <v>154</v>
      </c>
      <c r="B63" s="16" t="s">
        <v>2702</v>
      </c>
      <c r="C63" s="17" t="s">
        <v>1014</v>
      </c>
      <c r="D63" s="17" t="str">
        <f t="shared" si="4"/>
        <v>14/04/70</v>
      </c>
      <c r="E63" s="3" t="s">
        <v>3527</v>
      </c>
      <c r="F63" s="6">
        <v>10322.928</v>
      </c>
      <c r="G63" s="68" t="str">
        <f t="shared" si="0"/>
        <v>89</v>
      </c>
      <c r="H63">
        <f t="shared" si="5"/>
        <v>52</v>
      </c>
      <c r="I63">
        <f t="shared" si="1"/>
        <v>13</v>
      </c>
      <c r="J63">
        <f t="shared" si="6"/>
        <v>172.73472564837977</v>
      </c>
      <c r="K63" s="69">
        <f t="shared" si="2"/>
        <v>22018.064858649177</v>
      </c>
      <c r="L63">
        <f t="shared" si="7"/>
        <v>22018.064858649177</v>
      </c>
      <c r="M63" s="69">
        <f t="shared" si="8"/>
        <v>391.15905808353205</v>
      </c>
      <c r="N63" s="69">
        <f t="shared" si="9"/>
        <v>1.876309598668616</v>
      </c>
      <c r="O63">
        <f>_xlfn.XLOOKUP(N63,CBIA!$A$3:$A$24,CBIA!$C$3:$C$24,,-1)</f>
        <v>0.42670000000000002</v>
      </c>
      <c r="P63" s="70">
        <f>_xlfn.XLOOKUP(N63,CBIA!$A$3:$A$24,CBIA!$D$3:$D$24,,-1)</f>
        <v>1.6150000000000001E-2</v>
      </c>
      <c r="Q63">
        <f t="shared" si="3"/>
        <v>2392</v>
      </c>
      <c r="R63">
        <f t="shared" si="10"/>
        <v>22333.177240722387</v>
      </c>
      <c r="S63" s="77">
        <f t="shared" si="11"/>
        <v>1.0143115384615387</v>
      </c>
    </row>
    <row r="64" spans="1:19" ht="15.5" x14ac:dyDescent="0.35">
      <c r="A64" s="3" t="s">
        <v>157</v>
      </c>
      <c r="B64" s="16" t="s">
        <v>2705</v>
      </c>
      <c r="C64" s="17" t="s">
        <v>1017</v>
      </c>
      <c r="D64" s="17" t="str">
        <f t="shared" si="4"/>
        <v>29/05/62</v>
      </c>
      <c r="E64" s="3" t="s">
        <v>3529</v>
      </c>
      <c r="F64" s="6">
        <v>7844.4160000000002</v>
      </c>
      <c r="G64" s="68" t="str">
        <f t="shared" si="0"/>
        <v>81</v>
      </c>
      <c r="H64">
        <f t="shared" si="5"/>
        <v>60</v>
      </c>
      <c r="I64">
        <f t="shared" si="1"/>
        <v>5</v>
      </c>
      <c r="J64">
        <f t="shared" si="6"/>
        <v>126.21557209497603</v>
      </c>
      <c r="K64" s="69">
        <f t="shared" si="2"/>
        <v>10497.598132534686</v>
      </c>
      <c r="L64">
        <f t="shared" si="7"/>
        <v>10497.598132534686</v>
      </c>
      <c r="M64" s="69">
        <f t="shared" si="8"/>
        <v>264.75184732500003</v>
      </c>
      <c r="N64" s="69">
        <f t="shared" si="9"/>
        <v>1.3216902593378577</v>
      </c>
      <c r="O64">
        <f>_xlfn.XLOOKUP(N64,CBIA!$A$3:$A$24,CBIA!$C$3:$C$24,,-1)</f>
        <v>0.58179999999999998</v>
      </c>
      <c r="P64" s="70">
        <f>_xlfn.XLOOKUP(N64,CBIA!$A$3:$A$24,CBIA!$D$3:$D$24,,-1)</f>
        <v>1.1779999999999999E-2</v>
      </c>
      <c r="Q64">
        <f t="shared" si="3"/>
        <v>2392</v>
      </c>
      <c r="R64">
        <f t="shared" si="10"/>
        <v>10606.886204169858</v>
      </c>
      <c r="S64" s="77">
        <f t="shared" si="11"/>
        <v>1.0104107692307691</v>
      </c>
    </row>
    <row r="65" spans="1:19" ht="15.5" x14ac:dyDescent="0.35">
      <c r="A65" s="3" t="s">
        <v>160</v>
      </c>
      <c r="B65" s="16" t="s">
        <v>2708</v>
      </c>
      <c r="C65" s="17" t="s">
        <v>1020</v>
      </c>
      <c r="D65" s="17" t="str">
        <f t="shared" si="4"/>
        <v>29/07/68</v>
      </c>
      <c r="E65" s="3" t="s">
        <v>3532</v>
      </c>
      <c r="F65" s="6">
        <v>5899.12</v>
      </c>
      <c r="G65" s="68" t="str">
        <f t="shared" si="0"/>
        <v>85</v>
      </c>
      <c r="H65">
        <f t="shared" si="5"/>
        <v>54</v>
      </c>
      <c r="I65">
        <f t="shared" si="1"/>
        <v>11</v>
      </c>
      <c r="J65">
        <f t="shared" si="6"/>
        <v>159.70296380212622</v>
      </c>
      <c r="K65" s="69">
        <f t="shared" si="2"/>
        <v>11198.290991447679</v>
      </c>
      <c r="L65">
        <f t="shared" si="7"/>
        <v>11198.290991447679</v>
      </c>
      <c r="M65" s="69">
        <f t="shared" si="8"/>
        <v>354.79279644764813</v>
      </c>
      <c r="N65" s="69">
        <f t="shared" si="9"/>
        <v>1.0520968016233907</v>
      </c>
      <c r="O65">
        <f>_xlfn.XLOOKUP(N65,CBIA!$A$3:$A$24,CBIA!$C$3:$C$24,,-1)</f>
        <v>0.77110000000000001</v>
      </c>
      <c r="P65" s="70">
        <f>_xlfn.XLOOKUP(N65,CBIA!$A$3:$A$24,CBIA!$D$3:$D$24,,-1)</f>
        <v>8.1399999999999997E-3</v>
      </c>
      <c r="Q65">
        <f t="shared" si="3"/>
        <v>2496</v>
      </c>
      <c r="R65">
        <f t="shared" si="10"/>
        <v>12133.916817853127</v>
      </c>
      <c r="S65" s="77">
        <f t="shared" si="11"/>
        <v>1.0835507692307693</v>
      </c>
    </row>
    <row r="66" spans="1:19" ht="15.5" x14ac:dyDescent="0.35">
      <c r="A66" s="3" t="s">
        <v>167</v>
      </c>
      <c r="B66" s="16" t="s">
        <v>2715</v>
      </c>
      <c r="C66" s="17" t="s">
        <v>1027</v>
      </c>
      <c r="D66" s="17" t="str">
        <f t="shared" si="4"/>
        <v>24/12/75</v>
      </c>
      <c r="E66" s="3" t="s">
        <v>3537</v>
      </c>
      <c r="F66" s="6">
        <v>20127.232</v>
      </c>
      <c r="G66" s="68" t="str">
        <f t="shared" ref="G66:G129" si="12">MID(B66,3,2)</f>
        <v>92</v>
      </c>
      <c r="H66">
        <f t="shared" si="5"/>
        <v>47</v>
      </c>
      <c r="I66">
        <f t="shared" ref="I66:I129" si="13">65-H66</f>
        <v>18</v>
      </c>
      <c r="J66">
        <f t="shared" si="6"/>
        <v>210.15820530536899</v>
      </c>
      <c r="K66" s="69">
        <f t="shared" ref="K66:K129" si="14">F66*(1+0.06)^I66</f>
        <v>57449.946337359863</v>
      </c>
      <c r="L66">
        <f t="shared" si="7"/>
        <v>57449.946337359863</v>
      </c>
      <c r="M66" s="69">
        <f t="shared" si="8"/>
        <v>499.22909383687863</v>
      </c>
      <c r="N66" s="69">
        <f t="shared" si="9"/>
        <v>3.8359106768545983</v>
      </c>
      <c r="O66">
        <f>_xlfn.XLOOKUP(N66,CBIA!$A$3:$A$24,CBIA!$C$3:$C$24,,-1)</f>
        <v>0.20649999999999999</v>
      </c>
      <c r="P66" s="70">
        <f>_xlfn.XLOOKUP(N66,CBIA!$A$3:$A$24,CBIA!$D$3:$D$24,,-1)</f>
        <v>2.2349999999999998E-2</v>
      </c>
      <c r="Q66">
        <f t="shared" ref="Q66:Q129" si="15">(122-G66+I66)*52</f>
        <v>2496</v>
      </c>
      <c r="R66">
        <f t="shared" si="10"/>
        <v>61149.501920153765</v>
      </c>
      <c r="S66" s="77">
        <f t="shared" si="11"/>
        <v>1.0643961538461537</v>
      </c>
    </row>
    <row r="67" spans="1:19" ht="15.5" x14ac:dyDescent="0.35">
      <c r="A67" s="3" t="s">
        <v>168</v>
      </c>
      <c r="B67" s="16" t="s">
        <v>2716</v>
      </c>
      <c r="C67" s="17" t="s">
        <v>1028</v>
      </c>
      <c r="D67" s="17" t="str">
        <f t="shared" ref="D67:D130" si="16">_xlfn.CONCAT(MID(C67,5,2),"/",MID(C67,3,2),"/",MID(C67,1,2))</f>
        <v>04/12/74</v>
      </c>
      <c r="E67" s="3" t="s">
        <v>3538</v>
      </c>
      <c r="F67" s="6">
        <v>8859.4719999999998</v>
      </c>
      <c r="G67" s="68" t="str">
        <f t="shared" si="12"/>
        <v>92</v>
      </c>
      <c r="H67">
        <f t="shared" ref="H67:H130" si="17">2022-YEAR(D67)</f>
        <v>48</v>
      </c>
      <c r="I67">
        <f t="shared" si="13"/>
        <v>17</v>
      </c>
      <c r="J67">
        <f t="shared" ref="J67:J130" si="18">103.74*(1+0.04)^I67</f>
        <v>202.07519740900864</v>
      </c>
      <c r="K67" s="69">
        <f t="shared" si="14"/>
        <v>23856.545097863087</v>
      </c>
      <c r="L67">
        <f t="shared" ref="L67:L130" si="19">MIN(K67,25*J67*30.4)</f>
        <v>23856.545097863087</v>
      </c>
      <c r="M67" s="69">
        <f t="shared" ref="M67:M130" si="20">207.44*(1+0.05)^I67</f>
        <v>475.4562798446463</v>
      </c>
      <c r="N67" s="69">
        <f t="shared" ref="N67:N130" si="21">L67/(M67*30)</f>
        <v>1.6725368948509931</v>
      </c>
      <c r="O67">
        <f>_xlfn.XLOOKUP(N67,CBIA!$A$3:$A$24,CBIA!$C$3:$C$24,,-1)</f>
        <v>0.49229999999999996</v>
      </c>
      <c r="P67" s="70">
        <f>_xlfn.XLOOKUP(N67,CBIA!$A$3:$A$24,CBIA!$D$3:$D$24,,-1)</f>
        <v>1.43E-2</v>
      </c>
      <c r="Q67">
        <f t="shared" si="15"/>
        <v>2444</v>
      </c>
      <c r="R67">
        <f t="shared" ref="R67:R130" si="22">L67*(O67+P67*((Q67-500)/52))</f>
        <v>24498.286160995602</v>
      </c>
      <c r="S67" s="77">
        <f t="shared" ref="S67:S130" si="23">R67/K67</f>
        <v>1.0268999999999999</v>
      </c>
    </row>
    <row r="68" spans="1:19" ht="15.5" x14ac:dyDescent="0.35">
      <c r="A68" s="3" t="s">
        <v>171</v>
      </c>
      <c r="B68" s="16" t="s">
        <v>2719</v>
      </c>
      <c r="C68" s="17" t="s">
        <v>1031</v>
      </c>
      <c r="D68" s="17" t="str">
        <f t="shared" si="16"/>
        <v>04/01/77</v>
      </c>
      <c r="E68" s="3" t="s">
        <v>3541</v>
      </c>
      <c r="F68" s="6">
        <v>17295.471999999998</v>
      </c>
      <c r="G68" s="68" t="str">
        <f t="shared" si="12"/>
        <v>97</v>
      </c>
      <c r="H68">
        <f t="shared" si="17"/>
        <v>45</v>
      </c>
      <c r="I68">
        <f t="shared" si="13"/>
        <v>20</v>
      </c>
      <c r="J68">
        <f t="shared" si="18"/>
        <v>227.30711485828712</v>
      </c>
      <c r="K68" s="69">
        <f t="shared" si="14"/>
        <v>55468.921759864083</v>
      </c>
      <c r="L68">
        <f t="shared" si="19"/>
        <v>55468.921759864083</v>
      </c>
      <c r="M68" s="69">
        <f t="shared" si="20"/>
        <v>550.40007595515863</v>
      </c>
      <c r="N68" s="69">
        <f t="shared" si="21"/>
        <v>3.3593092360197496</v>
      </c>
      <c r="O68">
        <f>_xlfn.XLOOKUP(N68,CBIA!$A$3:$A$24,CBIA!$C$3:$C$24,,-1)</f>
        <v>0.23699999999999999</v>
      </c>
      <c r="P68" s="70">
        <f>_xlfn.XLOOKUP(N68,CBIA!$A$3:$A$24,CBIA!$D$3:$D$24,,-1)</f>
        <v>2.1489999999999999E-2</v>
      </c>
      <c r="Q68">
        <f t="shared" si="15"/>
        <v>2340</v>
      </c>
      <c r="R68">
        <f t="shared" si="22"/>
        <v>55325.55593131551</v>
      </c>
      <c r="S68" s="77">
        <f t="shared" si="23"/>
        <v>0.99741538461538459</v>
      </c>
    </row>
    <row r="69" spans="1:19" ht="15.5" x14ac:dyDescent="0.35">
      <c r="A69" s="3" t="s">
        <v>174</v>
      </c>
      <c r="B69" s="16" t="s">
        <v>2722</v>
      </c>
      <c r="C69" s="17" t="s">
        <v>1034</v>
      </c>
      <c r="D69" s="17" t="str">
        <f t="shared" si="16"/>
        <v>26/03/65</v>
      </c>
      <c r="E69" s="3" t="s">
        <v>3542</v>
      </c>
      <c r="F69" s="6">
        <v>10483.744000000001</v>
      </c>
      <c r="G69" s="68" t="str">
        <f t="shared" si="12"/>
        <v>89</v>
      </c>
      <c r="H69">
        <f t="shared" si="17"/>
        <v>57</v>
      </c>
      <c r="I69">
        <f t="shared" si="13"/>
        <v>8</v>
      </c>
      <c r="J69">
        <f t="shared" si="18"/>
        <v>141.97535328904314</v>
      </c>
      <c r="K69" s="69">
        <f t="shared" si="14"/>
        <v>16709.495188274272</v>
      </c>
      <c r="L69">
        <f t="shared" si="19"/>
        <v>16709.495188274272</v>
      </c>
      <c r="M69" s="69">
        <f t="shared" si="20"/>
        <v>306.48335725960311</v>
      </c>
      <c r="N69" s="69">
        <f t="shared" si="21"/>
        <v>1.8173357859385812</v>
      </c>
      <c r="O69">
        <f>_xlfn.XLOOKUP(N69,CBIA!$A$3:$A$24,CBIA!$C$3:$C$24,,-1)</f>
        <v>0.42670000000000002</v>
      </c>
      <c r="P69" s="70">
        <f>_xlfn.XLOOKUP(N69,CBIA!$A$3:$A$24,CBIA!$D$3:$D$24,,-1)</f>
        <v>1.6150000000000001E-2</v>
      </c>
      <c r="Q69">
        <f t="shared" si="15"/>
        <v>2132</v>
      </c>
      <c r="R69">
        <f t="shared" si="22"/>
        <v>15599.342034881005</v>
      </c>
      <c r="S69" s="77">
        <f t="shared" si="23"/>
        <v>0.93356153846153855</v>
      </c>
    </row>
    <row r="70" spans="1:19" ht="15.5" x14ac:dyDescent="0.35">
      <c r="A70" s="3" t="s">
        <v>179</v>
      </c>
      <c r="B70" s="16" t="s">
        <v>2727</v>
      </c>
      <c r="C70" s="17" t="s">
        <v>1038</v>
      </c>
      <c r="D70" s="17" t="str">
        <f t="shared" si="16"/>
        <v>14/03/78</v>
      </c>
      <c r="E70" s="3" t="s">
        <v>3545</v>
      </c>
      <c r="F70" s="6">
        <v>10128.368</v>
      </c>
      <c r="G70" s="68" t="str">
        <f t="shared" si="12"/>
        <v>96</v>
      </c>
      <c r="H70">
        <f t="shared" si="17"/>
        <v>44</v>
      </c>
      <c r="I70">
        <f t="shared" si="13"/>
        <v>21</v>
      </c>
      <c r="J70">
        <f t="shared" si="18"/>
        <v>236.39939945261867</v>
      </c>
      <c r="K70" s="69">
        <f t="shared" si="14"/>
        <v>34432.031185731037</v>
      </c>
      <c r="L70">
        <f t="shared" si="19"/>
        <v>34432.031185731037</v>
      </c>
      <c r="M70" s="69">
        <f t="shared" si="20"/>
        <v>577.92007975291654</v>
      </c>
      <c r="N70" s="69">
        <f t="shared" si="21"/>
        <v>1.9859742083168359</v>
      </c>
      <c r="O70">
        <f>_xlfn.XLOOKUP(N70,CBIA!$A$3:$A$24,CBIA!$C$3:$C$24,,-1)</f>
        <v>0.42670000000000002</v>
      </c>
      <c r="P70" s="70">
        <f>_xlfn.XLOOKUP(N70,CBIA!$A$3:$A$24,CBIA!$D$3:$D$24,,-1)</f>
        <v>1.6150000000000001E-2</v>
      </c>
      <c r="Q70">
        <f t="shared" si="15"/>
        <v>2444</v>
      </c>
      <c r="R70">
        <f t="shared" si="22"/>
        <v>35480.88382800408</v>
      </c>
      <c r="S70" s="77">
        <f t="shared" si="23"/>
        <v>1.0304615384615385</v>
      </c>
    </row>
    <row r="71" spans="1:19" ht="15.5" x14ac:dyDescent="0.35">
      <c r="A71" s="3" t="s">
        <v>183</v>
      </c>
      <c r="B71" s="16" t="s">
        <v>2731</v>
      </c>
      <c r="C71" s="17" t="s">
        <v>1042</v>
      </c>
      <c r="D71" s="17" t="str">
        <f t="shared" si="16"/>
        <v>27/05/65</v>
      </c>
      <c r="E71" s="3" t="s">
        <v>3546</v>
      </c>
      <c r="F71" s="6">
        <v>22138.191999999999</v>
      </c>
      <c r="G71" s="68" t="str">
        <f t="shared" si="12"/>
        <v>81</v>
      </c>
      <c r="H71">
        <f t="shared" si="17"/>
        <v>57</v>
      </c>
      <c r="I71">
        <f t="shared" si="13"/>
        <v>8</v>
      </c>
      <c r="J71">
        <f t="shared" si="18"/>
        <v>141.97535328904314</v>
      </c>
      <c r="K71" s="69">
        <f t="shared" si="14"/>
        <v>35284.914692794096</v>
      </c>
      <c r="L71">
        <f t="shared" si="19"/>
        <v>35284.914692794096</v>
      </c>
      <c r="M71" s="69">
        <f t="shared" si="20"/>
        <v>306.48335725960311</v>
      </c>
      <c r="N71" s="69">
        <f t="shared" si="21"/>
        <v>3.8376107388333032</v>
      </c>
      <c r="O71">
        <f>_xlfn.XLOOKUP(N71,CBIA!$A$3:$A$24,CBIA!$C$3:$C$24,,-1)</f>
        <v>0.20649999999999999</v>
      </c>
      <c r="P71" s="70">
        <f>_xlfn.XLOOKUP(N71,CBIA!$A$3:$A$24,CBIA!$D$3:$D$24,,-1)</f>
        <v>2.2349999999999998E-2</v>
      </c>
      <c r="Q71">
        <f t="shared" si="15"/>
        <v>2548</v>
      </c>
      <c r="R71">
        <f t="shared" si="22"/>
        <v>38345.745331183629</v>
      </c>
      <c r="S71" s="77">
        <f t="shared" si="23"/>
        <v>1.0867461538461538</v>
      </c>
    </row>
    <row r="72" spans="1:19" ht="15.5" x14ac:dyDescent="0.35">
      <c r="A72" s="3" t="s">
        <v>188</v>
      </c>
      <c r="B72" s="16" t="s">
        <v>2736</v>
      </c>
      <c r="C72" s="17" t="s">
        <v>1047</v>
      </c>
      <c r="D72" s="17" t="str">
        <f t="shared" si="16"/>
        <v>28/05/77</v>
      </c>
      <c r="E72" s="3" t="s">
        <v>3550</v>
      </c>
      <c r="F72" s="6">
        <v>17740.223999999998</v>
      </c>
      <c r="G72" s="68" t="str">
        <f t="shared" si="12"/>
        <v>94</v>
      </c>
      <c r="H72">
        <f t="shared" si="17"/>
        <v>45</v>
      </c>
      <c r="I72">
        <f t="shared" si="13"/>
        <v>20</v>
      </c>
      <c r="J72">
        <f t="shared" si="18"/>
        <v>227.30711485828712</v>
      </c>
      <c r="K72" s="69">
        <f t="shared" si="14"/>
        <v>56895.301675401694</v>
      </c>
      <c r="L72">
        <f t="shared" si="19"/>
        <v>56895.301675401694</v>
      </c>
      <c r="M72" s="69">
        <f t="shared" si="20"/>
        <v>550.40007595515863</v>
      </c>
      <c r="N72" s="69">
        <f t="shared" si="21"/>
        <v>3.4456936666579105</v>
      </c>
      <c r="O72">
        <f>_xlfn.XLOOKUP(N72,CBIA!$A$3:$A$24,CBIA!$C$3:$C$24,,-1)</f>
        <v>0.23699999999999999</v>
      </c>
      <c r="P72" s="70">
        <f>_xlfn.XLOOKUP(N72,CBIA!$A$3:$A$24,CBIA!$D$3:$D$24,,-1)</f>
        <v>2.1489999999999999E-2</v>
      </c>
      <c r="Q72">
        <f t="shared" si="15"/>
        <v>2496</v>
      </c>
      <c r="R72">
        <f t="shared" si="22"/>
        <v>60416.289302392266</v>
      </c>
      <c r="S72" s="77">
        <f t="shared" si="23"/>
        <v>1.0618853846153846</v>
      </c>
    </row>
    <row r="73" spans="1:19" ht="15.5" x14ac:dyDescent="0.35">
      <c r="A73" s="3" t="s">
        <v>192</v>
      </c>
      <c r="B73" s="16" t="s">
        <v>2740</v>
      </c>
      <c r="C73" s="17" t="s">
        <v>1051</v>
      </c>
      <c r="D73" s="17" t="str">
        <f t="shared" si="16"/>
        <v>30/07/78</v>
      </c>
      <c r="E73" s="3" t="s">
        <v>3552</v>
      </c>
      <c r="F73" s="6">
        <v>8475.52</v>
      </c>
      <c r="G73" s="68" t="str">
        <f t="shared" si="12"/>
        <v>97</v>
      </c>
      <c r="H73">
        <f t="shared" si="17"/>
        <v>44</v>
      </c>
      <c r="I73">
        <f t="shared" si="13"/>
        <v>21</v>
      </c>
      <c r="J73">
        <f t="shared" si="18"/>
        <v>236.39939945261867</v>
      </c>
      <c r="K73" s="69">
        <f t="shared" si="14"/>
        <v>28813.069287696409</v>
      </c>
      <c r="L73">
        <f t="shared" si="19"/>
        <v>28813.069287696409</v>
      </c>
      <c r="M73" s="69">
        <f t="shared" si="20"/>
        <v>577.92007975291654</v>
      </c>
      <c r="N73" s="69">
        <f t="shared" si="21"/>
        <v>1.6618831505799858</v>
      </c>
      <c r="O73">
        <f>_xlfn.XLOOKUP(N73,CBIA!$A$3:$A$24,CBIA!$C$3:$C$24,,-1)</f>
        <v>0.49229999999999996</v>
      </c>
      <c r="P73" s="70">
        <f>_xlfn.XLOOKUP(N73,CBIA!$A$3:$A$24,CBIA!$D$3:$D$24,,-1)</f>
        <v>1.43E-2</v>
      </c>
      <c r="Q73">
        <f t="shared" si="15"/>
        <v>2392</v>
      </c>
      <c r="R73">
        <f t="shared" si="22"/>
        <v>29176.113960721381</v>
      </c>
      <c r="S73" s="77">
        <f t="shared" si="23"/>
        <v>1.0125999999999999</v>
      </c>
    </row>
    <row r="74" spans="1:19" ht="15.5" x14ac:dyDescent="0.35">
      <c r="A74" s="3" t="s">
        <v>193</v>
      </c>
      <c r="B74" s="16" t="s">
        <v>2741</v>
      </c>
      <c r="C74" s="17" t="s">
        <v>1052</v>
      </c>
      <c r="D74" s="17" t="str">
        <f t="shared" si="16"/>
        <v>30/03/64</v>
      </c>
      <c r="E74" s="3" t="s">
        <v>3553</v>
      </c>
      <c r="F74" s="6">
        <v>10983.216</v>
      </c>
      <c r="G74" s="68" t="str">
        <f t="shared" si="12"/>
        <v>80</v>
      </c>
      <c r="H74">
        <f t="shared" si="17"/>
        <v>58</v>
      </c>
      <c r="I74">
        <f t="shared" si="13"/>
        <v>7</v>
      </c>
      <c r="J74">
        <f t="shared" si="18"/>
        <v>136.51476277792605</v>
      </c>
      <c r="K74" s="69">
        <f t="shared" si="14"/>
        <v>16514.695918638059</v>
      </c>
      <c r="L74">
        <f t="shared" si="19"/>
        <v>16514.695918638059</v>
      </c>
      <c r="M74" s="69">
        <f t="shared" si="20"/>
        <v>291.88891167581255</v>
      </c>
      <c r="N74" s="69">
        <f t="shared" si="21"/>
        <v>1.8859567524990655</v>
      </c>
      <c r="O74">
        <f>_xlfn.XLOOKUP(N74,CBIA!$A$3:$A$24,CBIA!$C$3:$C$24,,-1)</f>
        <v>0.42670000000000002</v>
      </c>
      <c r="P74" s="70">
        <f>_xlfn.XLOOKUP(N74,CBIA!$A$3:$A$24,CBIA!$D$3:$D$24,,-1)</f>
        <v>1.6150000000000001E-2</v>
      </c>
      <c r="Q74">
        <f t="shared" si="15"/>
        <v>2548</v>
      </c>
      <c r="R74">
        <f t="shared" si="22"/>
        <v>17551.183641716274</v>
      </c>
      <c r="S74" s="77">
        <f t="shared" si="23"/>
        <v>1.0627615384615385</v>
      </c>
    </row>
    <row r="75" spans="1:19" ht="15.5" x14ac:dyDescent="0.35">
      <c r="A75" s="3" t="s">
        <v>199</v>
      </c>
      <c r="B75" s="16" t="s">
        <v>2747</v>
      </c>
      <c r="C75" s="17" t="s">
        <v>1058</v>
      </c>
      <c r="D75" s="17" t="str">
        <f t="shared" si="16"/>
        <v>02/05/68</v>
      </c>
      <c r="E75" s="3" t="s">
        <v>3556</v>
      </c>
      <c r="F75" s="6">
        <v>26031.519999999997</v>
      </c>
      <c r="G75" s="68" t="str">
        <f t="shared" si="12"/>
        <v>92</v>
      </c>
      <c r="H75">
        <f t="shared" si="17"/>
        <v>54</v>
      </c>
      <c r="I75">
        <f t="shared" si="13"/>
        <v>11</v>
      </c>
      <c r="J75">
        <f t="shared" si="18"/>
        <v>159.70296380212622</v>
      </c>
      <c r="K75" s="69">
        <f t="shared" si="14"/>
        <v>49415.596887279804</v>
      </c>
      <c r="L75">
        <f t="shared" si="19"/>
        <v>49415.596887279804</v>
      </c>
      <c r="M75" s="69">
        <f t="shared" si="20"/>
        <v>354.79279644764813</v>
      </c>
      <c r="N75" s="69">
        <f t="shared" si="21"/>
        <v>4.6426719465607285</v>
      </c>
      <c r="O75">
        <f>_xlfn.XLOOKUP(N75,CBIA!$A$3:$A$24,CBIA!$C$3:$C$24,,-1)</f>
        <v>0.17300000000000001</v>
      </c>
      <c r="P75" s="70">
        <f>_xlfn.XLOOKUP(N75,CBIA!$A$3:$A$24,CBIA!$D$3:$D$24,,-1)</f>
        <v>2.3300000000000001E-2</v>
      </c>
      <c r="Q75">
        <f t="shared" si="15"/>
        <v>2132</v>
      </c>
      <c r="R75">
        <f t="shared" si="22"/>
        <v>44684.623665286854</v>
      </c>
      <c r="S75" s="77">
        <f t="shared" si="23"/>
        <v>0.90426153846153856</v>
      </c>
    </row>
    <row r="76" spans="1:19" ht="15.5" x14ac:dyDescent="0.35">
      <c r="A76" s="3" t="s">
        <v>200</v>
      </c>
      <c r="B76" s="16" t="s">
        <v>2748</v>
      </c>
      <c r="C76" s="17" t="s">
        <v>1059</v>
      </c>
      <c r="D76" s="17" t="str">
        <f t="shared" si="16"/>
        <v>16/12/73</v>
      </c>
      <c r="E76" s="3" t="s">
        <v>3557</v>
      </c>
      <c r="F76" s="6">
        <v>24121.791999999998</v>
      </c>
      <c r="G76" s="68" t="str">
        <f t="shared" si="12"/>
        <v>95</v>
      </c>
      <c r="H76">
        <f t="shared" si="17"/>
        <v>49</v>
      </c>
      <c r="I76">
        <f t="shared" si="13"/>
        <v>16</v>
      </c>
      <c r="J76">
        <f t="shared" si="18"/>
        <v>194.30307443173908</v>
      </c>
      <c r="K76" s="69">
        <f t="shared" si="14"/>
        <v>61277.834944837392</v>
      </c>
      <c r="L76">
        <f t="shared" si="19"/>
        <v>61277.834944837392</v>
      </c>
      <c r="M76" s="69">
        <f t="shared" si="20"/>
        <v>452.8155046139488</v>
      </c>
      <c r="N76" s="69">
        <f t="shared" si="21"/>
        <v>4.5108757923443354</v>
      </c>
      <c r="O76">
        <f>_xlfn.XLOOKUP(N76,CBIA!$A$3:$A$24,CBIA!$C$3:$C$24,,-1)</f>
        <v>0.17300000000000001</v>
      </c>
      <c r="P76" s="70">
        <f>_xlfn.XLOOKUP(N76,CBIA!$A$3:$A$24,CBIA!$D$3:$D$24,,-1)</f>
        <v>2.3300000000000001E-2</v>
      </c>
      <c r="Q76">
        <f t="shared" si="15"/>
        <v>2236</v>
      </c>
      <c r="R76">
        <f t="shared" si="22"/>
        <v>58266.736409240315</v>
      </c>
      <c r="S76" s="77">
        <f t="shared" si="23"/>
        <v>0.95086153846153865</v>
      </c>
    </row>
    <row r="77" spans="1:19" ht="15.5" x14ac:dyDescent="0.35">
      <c r="A77" s="3" t="s">
        <v>206</v>
      </c>
      <c r="B77" s="16" t="s">
        <v>2754</v>
      </c>
      <c r="C77" s="17" t="s">
        <v>1065</v>
      </c>
      <c r="D77" s="17" t="str">
        <f t="shared" si="16"/>
        <v>17/12/73</v>
      </c>
      <c r="E77" s="3" t="s">
        <v>3562</v>
      </c>
      <c r="F77" s="6">
        <v>10568.56</v>
      </c>
      <c r="G77" s="68" t="str">
        <f t="shared" si="12"/>
        <v>97</v>
      </c>
      <c r="H77">
        <f t="shared" si="17"/>
        <v>49</v>
      </c>
      <c r="I77">
        <f t="shared" si="13"/>
        <v>16</v>
      </c>
      <c r="J77">
        <f t="shared" si="18"/>
        <v>194.30307443173908</v>
      </c>
      <c r="K77" s="69">
        <f t="shared" si="14"/>
        <v>26847.85920070162</v>
      </c>
      <c r="L77">
        <f t="shared" si="19"/>
        <v>26847.85920070162</v>
      </c>
      <c r="M77" s="69">
        <f t="shared" si="20"/>
        <v>452.8155046139488</v>
      </c>
      <c r="N77" s="69">
        <f t="shared" si="21"/>
        <v>1.9763648349151943</v>
      </c>
      <c r="O77">
        <f>_xlfn.XLOOKUP(N77,CBIA!$A$3:$A$24,CBIA!$C$3:$C$24,,-1)</f>
        <v>0.42670000000000002</v>
      </c>
      <c r="P77" s="70">
        <f>_xlfn.XLOOKUP(N77,CBIA!$A$3:$A$24,CBIA!$D$3:$D$24,,-1)</f>
        <v>1.6150000000000001E-2</v>
      </c>
      <c r="Q77">
        <f t="shared" si="15"/>
        <v>2132</v>
      </c>
      <c r="R77">
        <f t="shared" si="22"/>
        <v>25064.128739805776</v>
      </c>
      <c r="S77" s="77">
        <f t="shared" si="23"/>
        <v>0.93356153846153855</v>
      </c>
    </row>
    <row r="78" spans="1:19" ht="15.5" x14ac:dyDescent="0.35">
      <c r="A78" s="3" t="s">
        <v>208</v>
      </c>
      <c r="B78" s="16" t="s">
        <v>2756</v>
      </c>
      <c r="C78" s="17" t="s">
        <v>1067</v>
      </c>
      <c r="D78" s="17" t="str">
        <f t="shared" si="16"/>
        <v>18/09/66</v>
      </c>
      <c r="E78" s="3" t="s">
        <v>3564</v>
      </c>
      <c r="F78" s="6">
        <v>8574.9279999999999</v>
      </c>
      <c r="G78" s="68" t="str">
        <f t="shared" si="12"/>
        <v>86</v>
      </c>
      <c r="H78">
        <f t="shared" si="17"/>
        <v>56</v>
      </c>
      <c r="I78">
        <f t="shared" si="13"/>
        <v>9</v>
      </c>
      <c r="J78">
        <f t="shared" si="18"/>
        <v>147.65436742060487</v>
      </c>
      <c r="K78" s="69">
        <f t="shared" si="14"/>
        <v>14487.160430963042</v>
      </c>
      <c r="L78">
        <f t="shared" si="19"/>
        <v>14487.160430963042</v>
      </c>
      <c r="M78" s="69">
        <f t="shared" si="20"/>
        <v>321.80752512258329</v>
      </c>
      <c r="N78" s="69">
        <f t="shared" si="21"/>
        <v>1.5006030313145078</v>
      </c>
      <c r="O78">
        <f>_xlfn.XLOOKUP(N78,CBIA!$A$3:$A$24,CBIA!$C$3:$C$24,,-1)</f>
        <v>0.58179999999999998</v>
      </c>
      <c r="P78" s="70">
        <f>_xlfn.XLOOKUP(N78,CBIA!$A$3:$A$24,CBIA!$D$3:$D$24,,-1)</f>
        <v>1.1779999999999999E-2</v>
      </c>
      <c r="Q78">
        <f t="shared" si="15"/>
        <v>2340</v>
      </c>
      <c r="R78">
        <f t="shared" si="22"/>
        <v>14467.324165142185</v>
      </c>
      <c r="S78" s="77">
        <f t="shared" si="23"/>
        <v>0.99863076923076921</v>
      </c>
    </row>
    <row r="79" spans="1:19" ht="15.5" x14ac:dyDescent="0.35">
      <c r="A79" s="3" t="s">
        <v>209</v>
      </c>
      <c r="B79" s="16" t="s">
        <v>2757</v>
      </c>
      <c r="C79" s="17" t="s">
        <v>1068</v>
      </c>
      <c r="D79" s="17" t="str">
        <f t="shared" si="16"/>
        <v>11/08/62</v>
      </c>
      <c r="E79" s="3" t="s">
        <v>3565</v>
      </c>
      <c r="F79" s="6">
        <v>27496.495999999999</v>
      </c>
      <c r="G79" s="68" t="str">
        <f t="shared" si="12"/>
        <v>84</v>
      </c>
      <c r="H79">
        <f t="shared" si="17"/>
        <v>60</v>
      </c>
      <c r="I79">
        <f t="shared" si="13"/>
        <v>5</v>
      </c>
      <c r="J79">
        <f t="shared" si="18"/>
        <v>126.21557209497603</v>
      </c>
      <c r="K79" s="69">
        <f t="shared" si="14"/>
        <v>36796.5142415761</v>
      </c>
      <c r="L79">
        <f t="shared" si="19"/>
        <v>36796.5142415761</v>
      </c>
      <c r="M79" s="69">
        <f t="shared" si="20"/>
        <v>264.75184732500003</v>
      </c>
      <c r="N79" s="69">
        <f t="shared" si="21"/>
        <v>4.6328306567528248</v>
      </c>
      <c r="O79">
        <f>_xlfn.XLOOKUP(N79,CBIA!$A$3:$A$24,CBIA!$C$3:$C$24,,-1)</f>
        <v>0.17300000000000001</v>
      </c>
      <c r="P79" s="70">
        <f>_xlfn.XLOOKUP(N79,CBIA!$A$3:$A$24,CBIA!$D$3:$D$24,,-1)</f>
        <v>2.3300000000000001E-2</v>
      </c>
      <c r="Q79">
        <f t="shared" si="15"/>
        <v>2236</v>
      </c>
      <c r="R79">
        <f t="shared" si="22"/>
        <v>34988.390141766969</v>
      </c>
      <c r="S79" s="77">
        <f t="shared" si="23"/>
        <v>0.95086153846153865</v>
      </c>
    </row>
    <row r="80" spans="1:19" ht="15.5" x14ac:dyDescent="0.35">
      <c r="A80" s="3" t="s">
        <v>222</v>
      </c>
      <c r="B80" s="16" t="s">
        <v>2770</v>
      </c>
      <c r="C80" s="17" t="s">
        <v>1080</v>
      </c>
      <c r="D80" s="17" t="str">
        <f t="shared" si="16"/>
        <v>04/05/61</v>
      </c>
      <c r="E80" s="3" t="s">
        <v>3572</v>
      </c>
      <c r="F80" s="6">
        <v>6435.3759999999993</v>
      </c>
      <c r="G80" s="68" t="str">
        <f t="shared" si="12"/>
        <v>76</v>
      </c>
      <c r="H80">
        <f t="shared" si="17"/>
        <v>61</v>
      </c>
      <c r="I80">
        <f t="shared" si="13"/>
        <v>4</v>
      </c>
      <c r="J80">
        <f t="shared" si="18"/>
        <v>121.36112701440001</v>
      </c>
      <c r="K80" s="69">
        <f t="shared" si="14"/>
        <v>8124.5139289369608</v>
      </c>
      <c r="L80">
        <f t="shared" si="19"/>
        <v>8124.5139289369608</v>
      </c>
      <c r="M80" s="69">
        <f t="shared" si="20"/>
        <v>252.14461650000001</v>
      </c>
      <c r="N80" s="69">
        <f t="shared" si="21"/>
        <v>1.0740547814335959</v>
      </c>
      <c r="O80">
        <f>_xlfn.XLOOKUP(N80,CBIA!$A$3:$A$24,CBIA!$C$3:$C$24,,-1)</f>
        <v>0.77110000000000001</v>
      </c>
      <c r="P80" s="70">
        <f>_xlfn.XLOOKUP(N80,CBIA!$A$3:$A$24,CBIA!$D$3:$D$24,,-1)</f>
        <v>8.1399999999999997E-3</v>
      </c>
      <c r="Q80">
        <f t="shared" si="15"/>
        <v>2600</v>
      </c>
      <c r="R80">
        <f t="shared" si="22"/>
        <v>8935.5904040888363</v>
      </c>
      <c r="S80" s="77">
        <f t="shared" si="23"/>
        <v>1.0998307692307692</v>
      </c>
    </row>
    <row r="81" spans="1:19" ht="15.5" x14ac:dyDescent="0.35">
      <c r="A81" s="3" t="s">
        <v>226</v>
      </c>
      <c r="B81" s="16" t="s">
        <v>2774</v>
      </c>
      <c r="C81" s="17" t="s">
        <v>1084</v>
      </c>
      <c r="D81" s="17" t="str">
        <f t="shared" si="16"/>
        <v>27/10/60</v>
      </c>
      <c r="E81" s="3" t="s">
        <v>3574</v>
      </c>
      <c r="F81" s="6">
        <v>5857.4719999999998</v>
      </c>
      <c r="G81" s="68" t="str">
        <f t="shared" si="12"/>
        <v>78</v>
      </c>
      <c r="H81">
        <f t="shared" si="17"/>
        <v>62</v>
      </c>
      <c r="I81">
        <f t="shared" si="13"/>
        <v>3</v>
      </c>
      <c r="J81">
        <f t="shared" si="18"/>
        <v>116.69339136000001</v>
      </c>
      <c r="K81" s="69">
        <f t="shared" si="14"/>
        <v>6976.3428715520013</v>
      </c>
      <c r="L81">
        <f t="shared" si="19"/>
        <v>6976.3428715520013</v>
      </c>
      <c r="M81" s="69">
        <f t="shared" si="20"/>
        <v>240.13773000000003</v>
      </c>
      <c r="N81" s="69">
        <f t="shared" si="21"/>
        <v>0.96838078041741571</v>
      </c>
      <c r="O81">
        <f>_xlfn.XLOOKUP(N81,CBIA!$A$3:$A$24,CBIA!$C$3:$C$24,,-1)</f>
        <v>0.8</v>
      </c>
      <c r="P81" s="70">
        <f>_xlfn.XLOOKUP(N81,CBIA!$A$3:$A$24,CBIA!$D$3:$D$24,,-1)</f>
        <v>5.6299999999999996E-3</v>
      </c>
      <c r="Q81">
        <f t="shared" si="15"/>
        <v>2444</v>
      </c>
      <c r="R81">
        <f t="shared" si="22"/>
        <v>7049.4227463403058</v>
      </c>
      <c r="S81" s="77">
        <f t="shared" si="23"/>
        <v>1.0104753846153847</v>
      </c>
    </row>
    <row r="82" spans="1:19" ht="15.5" x14ac:dyDescent="0.35">
      <c r="A82" s="3" t="s">
        <v>228</v>
      </c>
      <c r="B82" s="16" t="s">
        <v>2776</v>
      </c>
      <c r="C82" s="17" t="s">
        <v>1086</v>
      </c>
      <c r="D82" s="17" t="str">
        <f t="shared" si="16"/>
        <v>07/02/72</v>
      </c>
      <c r="E82" s="3" t="s">
        <v>3576</v>
      </c>
      <c r="F82" s="6">
        <v>11023.343999999999</v>
      </c>
      <c r="G82" s="68" t="str">
        <f t="shared" si="12"/>
        <v>92</v>
      </c>
      <c r="H82">
        <f t="shared" si="17"/>
        <v>50</v>
      </c>
      <c r="I82">
        <f t="shared" si="13"/>
        <v>15</v>
      </c>
      <c r="J82">
        <f t="shared" si="18"/>
        <v>186.82987926128754</v>
      </c>
      <c r="K82" s="69">
        <f t="shared" si="14"/>
        <v>26418.085378556334</v>
      </c>
      <c r="L82">
        <f t="shared" si="19"/>
        <v>26418.085378556334</v>
      </c>
      <c r="M82" s="69">
        <f t="shared" si="20"/>
        <v>431.25286153709413</v>
      </c>
      <c r="N82" s="69">
        <f t="shared" si="21"/>
        <v>2.0419640644544055</v>
      </c>
      <c r="O82">
        <f>_xlfn.XLOOKUP(N82,CBIA!$A$3:$A$24,CBIA!$C$3:$C$24,,-1)</f>
        <v>0.3765</v>
      </c>
      <c r="P82" s="70">
        <f>_xlfn.XLOOKUP(N82,CBIA!$A$3:$A$24,CBIA!$D$3:$D$24,,-1)</f>
        <v>1.7559999999999999E-2</v>
      </c>
      <c r="Q82">
        <f t="shared" si="15"/>
        <v>2340</v>
      </c>
      <c r="R82">
        <f t="shared" si="22"/>
        <v>26361.388103013127</v>
      </c>
      <c r="S82" s="77">
        <f t="shared" si="23"/>
        <v>0.9978538461538462</v>
      </c>
    </row>
    <row r="83" spans="1:19" ht="15.5" x14ac:dyDescent="0.35">
      <c r="A83" s="3" t="s">
        <v>230</v>
      </c>
      <c r="B83" s="16" t="s">
        <v>2778</v>
      </c>
      <c r="C83" s="17" t="s">
        <v>1088</v>
      </c>
      <c r="D83" s="17" t="str">
        <f t="shared" si="16"/>
        <v>31/01/71</v>
      </c>
      <c r="E83" s="3" t="s">
        <v>3577</v>
      </c>
      <c r="F83" s="6">
        <v>24388.703999999998</v>
      </c>
      <c r="G83" s="68" t="str">
        <f t="shared" si="12"/>
        <v>91</v>
      </c>
      <c r="H83">
        <f t="shared" si="17"/>
        <v>51</v>
      </c>
      <c r="I83">
        <f t="shared" si="13"/>
        <v>14</v>
      </c>
      <c r="J83">
        <f t="shared" si="18"/>
        <v>179.64411467431495</v>
      </c>
      <c r="K83" s="69">
        <f t="shared" si="14"/>
        <v>55140.517349323789</v>
      </c>
      <c r="L83">
        <f t="shared" si="19"/>
        <v>55140.517349323789</v>
      </c>
      <c r="M83" s="69">
        <f t="shared" si="20"/>
        <v>410.71701098770859</v>
      </c>
      <c r="N83" s="69">
        <f t="shared" si="21"/>
        <v>4.4751427279754568</v>
      </c>
      <c r="O83">
        <f>_xlfn.XLOOKUP(N83,CBIA!$A$3:$A$24,CBIA!$C$3:$C$24,,-1)</f>
        <v>0.18289999999999998</v>
      </c>
      <c r="P83" s="70">
        <f>_xlfn.XLOOKUP(N83,CBIA!$A$3:$A$24,CBIA!$D$3:$D$24,,-1)</f>
        <v>2.3019999999999999E-2</v>
      </c>
      <c r="Q83">
        <f t="shared" si="15"/>
        <v>2340</v>
      </c>
      <c r="R83">
        <f t="shared" si="22"/>
        <v>55000.121108995896</v>
      </c>
      <c r="S83" s="77">
        <f t="shared" si="23"/>
        <v>0.99745384615384614</v>
      </c>
    </row>
    <row r="84" spans="1:19" ht="15.5" x14ac:dyDescent="0.35">
      <c r="A84" s="3" t="s">
        <v>233</v>
      </c>
      <c r="B84" s="16" t="s">
        <v>2781</v>
      </c>
      <c r="C84" s="17" t="s">
        <v>1091</v>
      </c>
      <c r="D84" s="17" t="str">
        <f t="shared" si="16"/>
        <v>09/11/75</v>
      </c>
      <c r="E84" s="3" t="s">
        <v>3578</v>
      </c>
      <c r="F84" s="6">
        <v>16398.671999999999</v>
      </c>
      <c r="G84" s="68" t="str">
        <f t="shared" si="12"/>
        <v>92</v>
      </c>
      <c r="H84">
        <f t="shared" si="17"/>
        <v>47</v>
      </c>
      <c r="I84">
        <f t="shared" si="13"/>
        <v>18</v>
      </c>
      <c r="J84">
        <f t="shared" si="18"/>
        <v>210.15820530536899</v>
      </c>
      <c r="K84" s="69">
        <f t="shared" si="14"/>
        <v>46807.371545375223</v>
      </c>
      <c r="L84">
        <f t="shared" si="19"/>
        <v>46807.371545375223</v>
      </c>
      <c r="M84" s="69">
        <f t="shared" si="20"/>
        <v>499.22909383687863</v>
      </c>
      <c r="N84" s="69">
        <f t="shared" si="21"/>
        <v>3.1253100779598775</v>
      </c>
      <c r="O84">
        <f>_xlfn.XLOOKUP(N84,CBIA!$A$3:$A$24,CBIA!$C$3:$C$24,,-1)</f>
        <v>0.25600000000000001</v>
      </c>
      <c r="P84" s="70">
        <f>_xlfn.XLOOKUP(N84,CBIA!$A$3:$A$24,CBIA!$D$3:$D$24,,-1)</f>
        <v>2.0959999999999999E-2</v>
      </c>
      <c r="Q84">
        <f t="shared" si="15"/>
        <v>2496</v>
      </c>
      <c r="R84">
        <f t="shared" si="22"/>
        <v>49641.161830073084</v>
      </c>
      <c r="S84" s="77">
        <f t="shared" si="23"/>
        <v>1.0605415384615386</v>
      </c>
    </row>
    <row r="85" spans="1:19" ht="15.5" x14ac:dyDescent="0.35">
      <c r="A85" s="3" t="s">
        <v>234</v>
      </c>
      <c r="B85" s="16" t="s">
        <v>2782</v>
      </c>
      <c r="C85" s="17" t="s">
        <v>1092</v>
      </c>
      <c r="D85" s="17" t="str">
        <f t="shared" si="16"/>
        <v>04/05/73</v>
      </c>
      <c r="E85" s="3" t="s">
        <v>3579</v>
      </c>
      <c r="F85" s="6">
        <v>8473.3919999999998</v>
      </c>
      <c r="G85" s="68" t="str">
        <f t="shared" si="12"/>
        <v>90</v>
      </c>
      <c r="H85">
        <f t="shared" si="17"/>
        <v>49</v>
      </c>
      <c r="I85">
        <f t="shared" si="13"/>
        <v>16</v>
      </c>
      <c r="J85">
        <f t="shared" si="18"/>
        <v>194.30307443173908</v>
      </c>
      <c r="K85" s="69">
        <f t="shared" si="14"/>
        <v>21525.395642202107</v>
      </c>
      <c r="L85">
        <f t="shared" si="19"/>
        <v>21525.395642202107</v>
      </c>
      <c r="M85" s="69">
        <f t="shared" si="20"/>
        <v>452.8155046139488</v>
      </c>
      <c r="N85" s="69">
        <f t="shared" si="21"/>
        <v>1.5845596733378746</v>
      </c>
      <c r="O85">
        <f>_xlfn.XLOOKUP(N85,CBIA!$A$3:$A$24,CBIA!$C$3:$C$24,,-1)</f>
        <v>0.49229999999999996</v>
      </c>
      <c r="P85" s="70">
        <f>_xlfn.XLOOKUP(N85,CBIA!$A$3:$A$24,CBIA!$D$3:$D$24,,-1)</f>
        <v>1.43E-2</v>
      </c>
      <c r="Q85">
        <f t="shared" si="15"/>
        <v>2496</v>
      </c>
      <c r="R85">
        <f t="shared" si="22"/>
        <v>22412.241942660832</v>
      </c>
      <c r="S85" s="77">
        <f t="shared" si="23"/>
        <v>1.0411999999999999</v>
      </c>
    </row>
    <row r="86" spans="1:19" ht="15.5" x14ac:dyDescent="0.35">
      <c r="A86" s="3" t="s">
        <v>3586</v>
      </c>
      <c r="B86" s="16" t="s">
        <v>3587</v>
      </c>
      <c r="C86" s="17" t="s">
        <v>3589</v>
      </c>
      <c r="D86" s="17" t="str">
        <f t="shared" si="16"/>
        <v>17/04/72</v>
      </c>
      <c r="E86" s="3" t="s">
        <v>3590</v>
      </c>
      <c r="F86" s="6">
        <v>5602.72</v>
      </c>
      <c r="G86" s="68" t="str">
        <f t="shared" si="12"/>
        <v>93</v>
      </c>
      <c r="H86">
        <f t="shared" si="17"/>
        <v>50</v>
      </c>
      <c r="I86">
        <f t="shared" si="13"/>
        <v>15</v>
      </c>
      <c r="J86">
        <f t="shared" si="18"/>
        <v>186.82987926128754</v>
      </c>
      <c r="K86" s="69">
        <f t="shared" si="14"/>
        <v>13427.244519643509</v>
      </c>
      <c r="L86">
        <f t="shared" si="19"/>
        <v>13427.244519643509</v>
      </c>
      <c r="M86" s="69">
        <f t="shared" si="20"/>
        <v>431.25286153709413</v>
      </c>
      <c r="N86" s="69">
        <f t="shared" si="21"/>
        <v>1.0378477622761286</v>
      </c>
      <c r="O86">
        <f>_xlfn.XLOOKUP(N86,CBIA!$A$3:$A$24,CBIA!$C$3:$C$24,,-1)</f>
        <v>0.77110000000000001</v>
      </c>
      <c r="P86" s="70">
        <f>_xlfn.XLOOKUP(N86,CBIA!$A$3:$A$24,CBIA!$D$3:$D$24,,-1)</f>
        <v>8.1399999999999997E-3</v>
      </c>
      <c r="Q86">
        <f t="shared" si="15"/>
        <v>2288</v>
      </c>
      <c r="R86">
        <f t="shared" si="22"/>
        <v>14111.910046349762</v>
      </c>
      <c r="S86" s="77">
        <f t="shared" si="23"/>
        <v>1.0509907692307692</v>
      </c>
    </row>
    <row r="87" spans="1:19" ht="15.5" x14ac:dyDescent="0.35">
      <c r="A87" s="3" t="s">
        <v>249</v>
      </c>
      <c r="B87" s="16" t="s">
        <v>2797</v>
      </c>
      <c r="C87" s="17" t="s">
        <v>1107</v>
      </c>
      <c r="D87" s="17" t="str">
        <f t="shared" si="16"/>
        <v>15/07/76</v>
      </c>
      <c r="E87" s="3" t="s">
        <v>3599</v>
      </c>
      <c r="F87" s="6">
        <v>10498.944</v>
      </c>
      <c r="G87" s="68" t="str">
        <f t="shared" si="12"/>
        <v>92</v>
      </c>
      <c r="H87">
        <f t="shared" si="17"/>
        <v>46</v>
      </c>
      <c r="I87">
        <f t="shared" si="13"/>
        <v>19</v>
      </c>
      <c r="J87">
        <f t="shared" si="18"/>
        <v>218.56453351758375</v>
      </c>
      <c r="K87" s="69">
        <f t="shared" si="14"/>
        <v>31765.599738845514</v>
      </c>
      <c r="L87">
        <f t="shared" si="19"/>
        <v>31765.599738845514</v>
      </c>
      <c r="M87" s="69">
        <f t="shared" si="20"/>
        <v>524.1905485287225</v>
      </c>
      <c r="N87" s="69">
        <f t="shared" si="21"/>
        <v>2.0199779023107758</v>
      </c>
      <c r="O87">
        <f>_xlfn.XLOOKUP(N87,CBIA!$A$3:$A$24,CBIA!$C$3:$C$24,,-1)</f>
        <v>0.3765</v>
      </c>
      <c r="P87" s="70">
        <f>_xlfn.XLOOKUP(N87,CBIA!$A$3:$A$24,CBIA!$D$3:$D$24,,-1)</f>
        <v>1.7559999999999999E-2</v>
      </c>
      <c r="Q87">
        <f t="shared" si="15"/>
        <v>2548</v>
      </c>
      <c r="R87">
        <f t="shared" si="22"/>
        <v>33928.64160044711</v>
      </c>
      <c r="S87" s="77">
        <f t="shared" si="23"/>
        <v>1.0680938461538461</v>
      </c>
    </row>
    <row r="88" spans="1:19" ht="15.5" x14ac:dyDescent="0.35">
      <c r="A88" s="3" t="s">
        <v>254</v>
      </c>
      <c r="B88" s="16" t="s">
        <v>2802</v>
      </c>
      <c r="C88" s="17" t="s">
        <v>1112</v>
      </c>
      <c r="D88" s="17" t="str">
        <f t="shared" si="16"/>
        <v>25/01/60</v>
      </c>
      <c r="E88" s="3" t="s">
        <v>3602</v>
      </c>
      <c r="F88" s="6">
        <v>18507.215999999997</v>
      </c>
      <c r="G88" s="68" t="str">
        <f t="shared" si="12"/>
        <v>78</v>
      </c>
      <c r="H88">
        <f t="shared" si="17"/>
        <v>62</v>
      </c>
      <c r="I88">
        <f t="shared" si="13"/>
        <v>3</v>
      </c>
      <c r="J88">
        <f t="shared" si="18"/>
        <v>116.69339136000001</v>
      </c>
      <c r="K88" s="69">
        <f t="shared" si="14"/>
        <v>22042.390371456</v>
      </c>
      <c r="L88">
        <f t="shared" si="19"/>
        <v>22042.390371456</v>
      </c>
      <c r="M88" s="69">
        <f t="shared" si="20"/>
        <v>240.13773000000003</v>
      </c>
      <c r="N88" s="69">
        <f t="shared" si="21"/>
        <v>3.0596872291380444</v>
      </c>
      <c r="O88">
        <f>_xlfn.XLOOKUP(N88,CBIA!$A$3:$A$24,CBIA!$C$3:$C$24,,-1)</f>
        <v>0.25600000000000001</v>
      </c>
      <c r="P88" s="70">
        <f>_xlfn.XLOOKUP(N88,CBIA!$A$3:$A$24,CBIA!$D$3:$D$24,,-1)</f>
        <v>2.0959999999999999E-2</v>
      </c>
      <c r="Q88">
        <f t="shared" si="15"/>
        <v>2444</v>
      </c>
      <c r="R88">
        <f t="shared" si="22"/>
        <v>22914.862093728032</v>
      </c>
      <c r="S88" s="77">
        <f t="shared" si="23"/>
        <v>1.0395815384615386</v>
      </c>
    </row>
    <row r="89" spans="1:19" ht="15.5" x14ac:dyDescent="0.35">
      <c r="A89" s="3" t="s">
        <v>255</v>
      </c>
      <c r="B89" s="16" t="s">
        <v>2803</v>
      </c>
      <c r="C89" s="17" t="s">
        <v>1113</v>
      </c>
      <c r="D89" s="17" t="str">
        <f t="shared" si="16"/>
        <v>15/09/64</v>
      </c>
      <c r="E89" s="3" t="s">
        <v>3603</v>
      </c>
      <c r="F89" s="6">
        <v>7381.12</v>
      </c>
      <c r="G89" s="68" t="str">
        <f t="shared" si="12"/>
        <v>88</v>
      </c>
      <c r="H89">
        <f t="shared" si="17"/>
        <v>58</v>
      </c>
      <c r="I89">
        <f t="shared" si="13"/>
        <v>7</v>
      </c>
      <c r="J89">
        <f t="shared" si="18"/>
        <v>136.51476277792605</v>
      </c>
      <c r="K89" s="69">
        <f t="shared" si="14"/>
        <v>11098.475377246314</v>
      </c>
      <c r="L89">
        <f t="shared" si="19"/>
        <v>11098.475377246314</v>
      </c>
      <c r="M89" s="69">
        <f t="shared" si="20"/>
        <v>291.88891167581255</v>
      </c>
      <c r="N89" s="69">
        <f t="shared" si="21"/>
        <v>1.2674314249128764</v>
      </c>
      <c r="O89">
        <f>_xlfn.XLOOKUP(N89,CBIA!$A$3:$A$24,CBIA!$C$3:$C$24,,-1)</f>
        <v>0.58179999999999998</v>
      </c>
      <c r="P89" s="70">
        <f>_xlfn.XLOOKUP(N89,CBIA!$A$3:$A$24,CBIA!$D$3:$D$24,,-1)</f>
        <v>1.1779999999999999E-2</v>
      </c>
      <c r="Q89">
        <f t="shared" si="15"/>
        <v>2132</v>
      </c>
      <c r="R89">
        <f t="shared" si="22"/>
        <v>10560.31884349239</v>
      </c>
      <c r="S89" s="77">
        <f t="shared" si="23"/>
        <v>0.95151076923076916</v>
      </c>
    </row>
    <row r="90" spans="1:19" ht="15.5" x14ac:dyDescent="0.35">
      <c r="A90" s="3" t="s">
        <v>257</v>
      </c>
      <c r="B90" s="16" t="s">
        <v>2805</v>
      </c>
      <c r="C90" s="17" t="s">
        <v>1115</v>
      </c>
      <c r="D90" s="17" t="str">
        <f t="shared" si="16"/>
        <v>18/01/69</v>
      </c>
      <c r="E90" s="3" t="s">
        <v>3605</v>
      </c>
      <c r="F90" s="6">
        <v>7870.5599999999986</v>
      </c>
      <c r="G90" s="68" t="str">
        <f t="shared" si="12"/>
        <v>87</v>
      </c>
      <c r="H90">
        <f t="shared" si="17"/>
        <v>53</v>
      </c>
      <c r="I90">
        <f t="shared" si="13"/>
        <v>12</v>
      </c>
      <c r="J90">
        <f t="shared" si="18"/>
        <v>166.0910823542113</v>
      </c>
      <c r="K90" s="69">
        <f t="shared" si="14"/>
        <v>15837.113063370018</v>
      </c>
      <c r="L90">
        <f t="shared" si="19"/>
        <v>15837.113063370018</v>
      </c>
      <c r="M90" s="69">
        <f t="shared" si="20"/>
        <v>372.53243627003047</v>
      </c>
      <c r="N90" s="69">
        <f t="shared" si="21"/>
        <v>1.4170679312239782</v>
      </c>
      <c r="O90">
        <f>_xlfn.XLOOKUP(N90,CBIA!$A$3:$A$24,CBIA!$C$3:$C$24,,-1)</f>
        <v>0.58179999999999998</v>
      </c>
      <c r="P90" s="70">
        <f>_xlfn.XLOOKUP(N90,CBIA!$A$3:$A$24,CBIA!$D$3:$D$24,,-1)</f>
        <v>1.1779999999999999E-2</v>
      </c>
      <c r="Q90">
        <f t="shared" si="15"/>
        <v>2444</v>
      </c>
      <c r="R90">
        <f t="shared" si="22"/>
        <v>16188.550784640862</v>
      </c>
      <c r="S90" s="77">
        <f t="shared" si="23"/>
        <v>1.0221907692307692</v>
      </c>
    </row>
    <row r="91" spans="1:19" ht="15.5" x14ac:dyDescent="0.35">
      <c r="A91" s="3" t="s">
        <v>264</v>
      </c>
      <c r="B91" s="16" t="s">
        <v>2812</v>
      </c>
      <c r="C91" s="17" t="s">
        <v>1122</v>
      </c>
      <c r="D91" s="17" t="str">
        <f t="shared" si="16"/>
        <v>16/12/71</v>
      </c>
      <c r="E91" s="3" t="s">
        <v>3610</v>
      </c>
      <c r="F91" s="6">
        <v>5632.2079999999996</v>
      </c>
      <c r="G91" s="68" t="str">
        <f t="shared" si="12"/>
        <v>89</v>
      </c>
      <c r="H91">
        <f t="shared" si="17"/>
        <v>51</v>
      </c>
      <c r="I91">
        <f t="shared" si="13"/>
        <v>14</v>
      </c>
      <c r="J91">
        <f t="shared" si="18"/>
        <v>179.64411467431495</v>
      </c>
      <c r="K91" s="69">
        <f t="shared" si="14"/>
        <v>12733.881346831724</v>
      </c>
      <c r="L91">
        <f t="shared" si="19"/>
        <v>12733.881346831724</v>
      </c>
      <c r="M91" s="69">
        <f t="shared" si="20"/>
        <v>410.71701098770859</v>
      </c>
      <c r="N91" s="69">
        <f t="shared" si="21"/>
        <v>1.0334675706279919</v>
      </c>
      <c r="O91">
        <f>_xlfn.XLOOKUP(N91,CBIA!$A$3:$A$24,CBIA!$C$3:$C$24,,-1)</f>
        <v>0.77110000000000001</v>
      </c>
      <c r="P91" s="70">
        <f>_xlfn.XLOOKUP(N91,CBIA!$A$3:$A$24,CBIA!$D$3:$D$24,,-1)</f>
        <v>8.1399999999999997E-3</v>
      </c>
      <c r="Q91">
        <f t="shared" si="15"/>
        <v>2444</v>
      </c>
      <c r="R91">
        <f t="shared" si="22"/>
        <v>13694.153134489648</v>
      </c>
      <c r="S91" s="77">
        <f t="shared" si="23"/>
        <v>1.0754107692307693</v>
      </c>
    </row>
    <row r="92" spans="1:19" ht="15.5" x14ac:dyDescent="0.35">
      <c r="A92" s="3" t="s">
        <v>266</v>
      </c>
      <c r="B92" s="16" t="s">
        <v>2814</v>
      </c>
      <c r="C92" s="17" t="s">
        <v>1124</v>
      </c>
      <c r="D92" s="17" t="str">
        <f t="shared" si="16"/>
        <v>13/08/62</v>
      </c>
      <c r="E92" s="3" t="s">
        <v>3612</v>
      </c>
      <c r="F92" s="6">
        <v>9079.8719999999994</v>
      </c>
      <c r="G92" s="68" t="str">
        <f t="shared" si="12"/>
        <v>80</v>
      </c>
      <c r="H92">
        <f t="shared" si="17"/>
        <v>60</v>
      </c>
      <c r="I92">
        <f t="shared" si="13"/>
        <v>5</v>
      </c>
      <c r="J92">
        <f t="shared" si="18"/>
        <v>126.21557209497603</v>
      </c>
      <c r="K92" s="69">
        <f t="shared" si="14"/>
        <v>12150.916951734071</v>
      </c>
      <c r="L92">
        <f t="shared" si="19"/>
        <v>12150.916951734071</v>
      </c>
      <c r="M92" s="69">
        <f t="shared" si="20"/>
        <v>264.75184732500003</v>
      </c>
      <c r="N92" s="69">
        <f t="shared" si="21"/>
        <v>1.5298498165363172</v>
      </c>
      <c r="O92">
        <f>_xlfn.XLOOKUP(N92,CBIA!$A$3:$A$24,CBIA!$C$3:$C$24,,-1)</f>
        <v>0.49229999999999996</v>
      </c>
      <c r="P92" s="70">
        <f>_xlfn.XLOOKUP(N92,CBIA!$A$3:$A$24,CBIA!$D$3:$D$24,,-1)</f>
        <v>1.43E-2</v>
      </c>
      <c r="Q92">
        <f t="shared" si="15"/>
        <v>2444</v>
      </c>
      <c r="R92">
        <f t="shared" si="22"/>
        <v>12477.776617735717</v>
      </c>
      <c r="S92" s="77">
        <f t="shared" si="23"/>
        <v>1.0268999999999999</v>
      </c>
    </row>
    <row r="93" spans="1:19" ht="15.5" x14ac:dyDescent="0.35">
      <c r="A93" s="3" t="s">
        <v>271</v>
      </c>
      <c r="B93" s="16" t="s">
        <v>2819</v>
      </c>
      <c r="C93" s="17" t="s">
        <v>1129</v>
      </c>
      <c r="D93" s="17" t="str">
        <f t="shared" si="16"/>
        <v>25/03/65</v>
      </c>
      <c r="E93" s="3" t="s">
        <v>3615</v>
      </c>
      <c r="F93" s="6">
        <v>22011.423999999999</v>
      </c>
      <c r="G93" s="68" t="str">
        <f t="shared" si="12"/>
        <v>92</v>
      </c>
      <c r="H93">
        <f t="shared" si="17"/>
        <v>57</v>
      </c>
      <c r="I93">
        <f t="shared" si="13"/>
        <v>8</v>
      </c>
      <c r="J93">
        <f t="shared" si="18"/>
        <v>141.97535328904314</v>
      </c>
      <c r="K93" s="69">
        <f t="shared" si="14"/>
        <v>35082.865760081972</v>
      </c>
      <c r="L93">
        <f t="shared" si="19"/>
        <v>35082.865760081972</v>
      </c>
      <c r="M93" s="69">
        <f t="shared" si="20"/>
        <v>306.48335725960311</v>
      </c>
      <c r="N93" s="69">
        <f t="shared" si="21"/>
        <v>3.8156357628216928</v>
      </c>
      <c r="O93">
        <f>_xlfn.XLOOKUP(N93,CBIA!$A$3:$A$24,CBIA!$C$3:$C$24,,-1)</f>
        <v>0.20649999999999999</v>
      </c>
      <c r="P93" s="70">
        <f>_xlfn.XLOOKUP(N93,CBIA!$A$3:$A$24,CBIA!$D$3:$D$24,,-1)</f>
        <v>2.2349999999999998E-2</v>
      </c>
      <c r="Q93">
        <f t="shared" si="15"/>
        <v>1976</v>
      </c>
      <c r="R93">
        <f t="shared" si="22"/>
        <v>29501.046883553852</v>
      </c>
      <c r="S93" s="77">
        <f t="shared" si="23"/>
        <v>0.84089615384615379</v>
      </c>
    </row>
    <row r="94" spans="1:19" ht="15.5" x14ac:dyDescent="0.35">
      <c r="A94" s="3" t="s">
        <v>283</v>
      </c>
      <c r="B94" s="16" t="s">
        <v>2831</v>
      </c>
      <c r="C94" s="17" t="s">
        <v>1141</v>
      </c>
      <c r="D94" s="17" t="str">
        <f t="shared" si="16"/>
        <v>28/05/66</v>
      </c>
      <c r="E94" s="3" t="s">
        <v>3622</v>
      </c>
      <c r="F94" s="6">
        <v>5632.2079999999996</v>
      </c>
      <c r="G94" s="68" t="str">
        <f t="shared" si="12"/>
        <v>97</v>
      </c>
      <c r="H94">
        <f t="shared" si="17"/>
        <v>56</v>
      </c>
      <c r="I94">
        <f t="shared" si="13"/>
        <v>9</v>
      </c>
      <c r="J94">
        <f t="shared" si="18"/>
        <v>147.65436742060487</v>
      </c>
      <c r="K94" s="69">
        <f t="shared" si="14"/>
        <v>9515.4969087266381</v>
      </c>
      <c r="L94">
        <f t="shared" si="19"/>
        <v>9515.4969087266381</v>
      </c>
      <c r="M94" s="69">
        <f t="shared" si="20"/>
        <v>321.80752512258329</v>
      </c>
      <c r="N94" s="69">
        <f t="shared" si="21"/>
        <v>0.98563024643400177</v>
      </c>
      <c r="O94">
        <f>_xlfn.XLOOKUP(N94,CBIA!$A$3:$A$24,CBIA!$C$3:$C$24,,-1)</f>
        <v>0.8</v>
      </c>
      <c r="P94" s="70">
        <f>_xlfn.XLOOKUP(N94,CBIA!$A$3:$A$24,CBIA!$D$3:$D$24,,-1)</f>
        <v>5.6299999999999996E-3</v>
      </c>
      <c r="Q94">
        <f t="shared" si="15"/>
        <v>1768</v>
      </c>
      <c r="R94">
        <f t="shared" si="22"/>
        <v>8918.7361799023492</v>
      </c>
      <c r="S94" s="77">
        <f t="shared" si="23"/>
        <v>0.93728538461538446</v>
      </c>
    </row>
    <row r="95" spans="1:19" ht="15.5" x14ac:dyDescent="0.35">
      <c r="A95" s="3" t="s">
        <v>286</v>
      </c>
      <c r="B95" s="16" t="s">
        <v>2834</v>
      </c>
      <c r="C95" s="17" t="s">
        <v>1144</v>
      </c>
      <c r="D95" s="17" t="str">
        <f t="shared" si="16"/>
        <v>19/08/63</v>
      </c>
      <c r="E95" s="3" t="s">
        <v>3623</v>
      </c>
      <c r="F95" s="6">
        <v>11811.311999999998</v>
      </c>
      <c r="G95" s="68" t="str">
        <f t="shared" si="12"/>
        <v>81</v>
      </c>
      <c r="H95">
        <f t="shared" si="17"/>
        <v>59</v>
      </c>
      <c r="I95">
        <f t="shared" si="13"/>
        <v>6</v>
      </c>
      <c r="J95">
        <f t="shared" si="18"/>
        <v>131.26419497877507</v>
      </c>
      <c r="K95" s="69">
        <f t="shared" si="14"/>
        <v>16754.571812818645</v>
      </c>
      <c r="L95">
        <f t="shared" si="19"/>
        <v>16754.571812818645</v>
      </c>
      <c r="M95" s="69">
        <f t="shared" si="20"/>
        <v>277.98943969124997</v>
      </c>
      <c r="N95" s="69">
        <f t="shared" si="21"/>
        <v>2.0090177803669058</v>
      </c>
      <c r="O95">
        <f>_xlfn.XLOOKUP(N95,CBIA!$A$3:$A$24,CBIA!$C$3:$C$24,,-1)</f>
        <v>0.42670000000000002</v>
      </c>
      <c r="P95" s="70">
        <f>_xlfn.XLOOKUP(N95,CBIA!$A$3:$A$24,CBIA!$D$3:$D$24,,-1)</f>
        <v>1.6150000000000001E-2</v>
      </c>
      <c r="Q95">
        <f t="shared" si="15"/>
        <v>2444</v>
      </c>
      <c r="R95">
        <f t="shared" si="22"/>
        <v>17264.941846501431</v>
      </c>
      <c r="S95" s="77">
        <f t="shared" si="23"/>
        <v>1.0304615384615385</v>
      </c>
    </row>
    <row r="96" spans="1:19" ht="15.5" x14ac:dyDescent="0.35">
      <c r="A96" s="3" t="s">
        <v>288</v>
      </c>
      <c r="B96" s="16" t="s">
        <v>2836</v>
      </c>
      <c r="C96" s="17" t="s">
        <v>1146</v>
      </c>
      <c r="D96" s="17" t="str">
        <f t="shared" si="16"/>
        <v>01/02/68</v>
      </c>
      <c r="E96" s="3" t="s">
        <v>3625</v>
      </c>
      <c r="F96" s="6">
        <v>10351.807999999999</v>
      </c>
      <c r="G96" s="68" t="str">
        <f t="shared" si="12"/>
        <v>85</v>
      </c>
      <c r="H96">
        <f t="shared" si="17"/>
        <v>54</v>
      </c>
      <c r="I96">
        <f t="shared" si="13"/>
        <v>11</v>
      </c>
      <c r="J96">
        <f t="shared" si="18"/>
        <v>159.70296380212622</v>
      </c>
      <c r="K96" s="69">
        <f t="shared" si="14"/>
        <v>19650.82220256513</v>
      </c>
      <c r="L96">
        <f t="shared" si="19"/>
        <v>19650.82220256513</v>
      </c>
      <c r="M96" s="69">
        <f t="shared" si="20"/>
        <v>354.79279644764813</v>
      </c>
      <c r="N96" s="69">
        <f t="shared" si="21"/>
        <v>1.8462252145776707</v>
      </c>
      <c r="O96">
        <f>_xlfn.XLOOKUP(N96,CBIA!$A$3:$A$24,CBIA!$C$3:$C$24,,-1)</f>
        <v>0.42670000000000002</v>
      </c>
      <c r="P96" s="70">
        <f>_xlfn.XLOOKUP(N96,CBIA!$A$3:$A$24,CBIA!$D$3:$D$24,,-1)</f>
        <v>1.6150000000000001E-2</v>
      </c>
      <c r="Q96">
        <f t="shared" si="15"/>
        <v>2496</v>
      </c>
      <c r="R96">
        <f t="shared" si="22"/>
        <v>20566.777257460853</v>
      </c>
      <c r="S96" s="77">
        <f t="shared" si="23"/>
        <v>1.0466115384615386</v>
      </c>
    </row>
    <row r="97" spans="1:19" ht="15.5" x14ac:dyDescent="0.35">
      <c r="A97" s="3" t="s">
        <v>290</v>
      </c>
      <c r="B97" s="16" t="s">
        <v>2838</v>
      </c>
      <c r="C97" s="17" t="s">
        <v>1148</v>
      </c>
      <c r="D97" s="17" t="str">
        <f t="shared" si="16"/>
        <v>23/07/76</v>
      </c>
      <c r="E97" s="3" t="s">
        <v>3626</v>
      </c>
      <c r="F97" s="6">
        <v>7207.5360000000001</v>
      </c>
      <c r="G97" s="68" t="str">
        <f t="shared" si="12"/>
        <v>97</v>
      </c>
      <c r="H97">
        <f t="shared" si="17"/>
        <v>46</v>
      </c>
      <c r="I97">
        <f t="shared" si="13"/>
        <v>19</v>
      </c>
      <c r="J97">
        <f t="shared" si="18"/>
        <v>218.56453351758375</v>
      </c>
      <c r="K97" s="69">
        <f t="shared" si="14"/>
        <v>21807.117332878399</v>
      </c>
      <c r="L97">
        <f t="shared" si="19"/>
        <v>21807.117332878399</v>
      </c>
      <c r="M97" s="69">
        <f t="shared" si="20"/>
        <v>524.1905485287225</v>
      </c>
      <c r="N97" s="69">
        <f t="shared" si="21"/>
        <v>1.3867169355422222</v>
      </c>
      <c r="O97">
        <f>_xlfn.XLOOKUP(N97,CBIA!$A$3:$A$24,CBIA!$C$3:$C$24,,-1)</f>
        <v>0.58179999999999998</v>
      </c>
      <c r="P97" s="70">
        <f>_xlfn.XLOOKUP(N97,CBIA!$A$3:$A$24,CBIA!$D$3:$D$24,,-1)</f>
        <v>1.1779999999999999E-2</v>
      </c>
      <c r="Q97">
        <f t="shared" si="15"/>
        <v>2288</v>
      </c>
      <c r="R97">
        <f t="shared" si="22"/>
        <v>21520.370514656686</v>
      </c>
      <c r="S97" s="77">
        <f t="shared" si="23"/>
        <v>0.98685076923076909</v>
      </c>
    </row>
    <row r="98" spans="1:19" ht="15.5" x14ac:dyDescent="0.35">
      <c r="A98" s="3" t="s">
        <v>300</v>
      </c>
      <c r="B98" s="16" t="s">
        <v>2848</v>
      </c>
      <c r="C98" s="17" t="s">
        <v>1158</v>
      </c>
      <c r="D98" s="17" t="str">
        <f t="shared" si="16"/>
        <v>26/10/76</v>
      </c>
      <c r="E98" s="3" t="s">
        <v>3630</v>
      </c>
      <c r="F98" s="6">
        <v>5632.2079999999996</v>
      </c>
      <c r="G98" s="68" t="str">
        <f t="shared" si="12"/>
        <v>93</v>
      </c>
      <c r="H98">
        <f t="shared" si="17"/>
        <v>46</v>
      </c>
      <c r="I98">
        <f t="shared" si="13"/>
        <v>19</v>
      </c>
      <c r="J98">
        <f t="shared" si="18"/>
        <v>218.56453351758375</v>
      </c>
      <c r="K98" s="69">
        <f t="shared" si="14"/>
        <v>17040.805720453754</v>
      </c>
      <c r="L98">
        <f t="shared" si="19"/>
        <v>17040.805720453754</v>
      </c>
      <c r="M98" s="69">
        <f t="shared" si="20"/>
        <v>524.1905485287225</v>
      </c>
      <c r="N98" s="69">
        <f t="shared" si="21"/>
        <v>1.0836266677122928</v>
      </c>
      <c r="O98">
        <f>_xlfn.XLOOKUP(N98,CBIA!$A$3:$A$24,CBIA!$C$3:$C$24,,-1)</f>
        <v>0.77110000000000001</v>
      </c>
      <c r="P98" s="70">
        <f>_xlfn.XLOOKUP(N98,CBIA!$A$3:$A$24,CBIA!$D$3:$D$24,,-1)</f>
        <v>8.1399999999999997E-3</v>
      </c>
      <c r="Q98">
        <f t="shared" si="15"/>
        <v>2496</v>
      </c>
      <c r="R98">
        <f t="shared" si="22"/>
        <v>18464.578146709759</v>
      </c>
      <c r="S98" s="77">
        <f t="shared" si="23"/>
        <v>1.0835507692307693</v>
      </c>
    </row>
    <row r="99" spans="1:19" ht="15.5" x14ac:dyDescent="0.35">
      <c r="A99" s="3" t="s">
        <v>301</v>
      </c>
      <c r="B99" s="16" t="s">
        <v>2849</v>
      </c>
      <c r="C99" s="17" t="s">
        <v>1159</v>
      </c>
      <c r="D99" s="17" t="str">
        <f t="shared" si="16"/>
        <v>07/05/73</v>
      </c>
      <c r="E99" s="3" t="s">
        <v>3631</v>
      </c>
      <c r="F99" s="6">
        <v>10260.304</v>
      </c>
      <c r="G99" s="68" t="str">
        <f t="shared" si="12"/>
        <v>93</v>
      </c>
      <c r="H99">
        <f t="shared" si="17"/>
        <v>49</v>
      </c>
      <c r="I99">
        <f t="shared" si="13"/>
        <v>16</v>
      </c>
      <c r="J99">
        <f t="shared" si="18"/>
        <v>194.30307443173908</v>
      </c>
      <c r="K99" s="69">
        <f t="shared" si="14"/>
        <v>26064.780551787153</v>
      </c>
      <c r="L99">
        <f t="shared" si="19"/>
        <v>26064.780551787153</v>
      </c>
      <c r="M99" s="69">
        <f t="shared" si="20"/>
        <v>452.8155046139488</v>
      </c>
      <c r="N99" s="69">
        <f t="shared" si="21"/>
        <v>1.9187196762037315</v>
      </c>
      <c r="O99">
        <f>_xlfn.XLOOKUP(N99,CBIA!$A$3:$A$24,CBIA!$C$3:$C$24,,-1)</f>
        <v>0.42670000000000002</v>
      </c>
      <c r="P99" s="70">
        <f>_xlfn.XLOOKUP(N99,CBIA!$A$3:$A$24,CBIA!$D$3:$D$24,,-1)</f>
        <v>1.6150000000000001E-2</v>
      </c>
      <c r="Q99">
        <f t="shared" si="15"/>
        <v>2340</v>
      </c>
      <c r="R99">
        <f t="shared" si="22"/>
        <v>26016.861455234255</v>
      </c>
      <c r="S99" s="77">
        <f t="shared" si="23"/>
        <v>0.99816153846153854</v>
      </c>
    </row>
    <row r="100" spans="1:19" ht="15.5" x14ac:dyDescent="0.35">
      <c r="A100" s="3" t="s">
        <v>316</v>
      </c>
      <c r="B100" s="16" t="s">
        <v>2864</v>
      </c>
      <c r="C100" s="17" t="s">
        <v>1174</v>
      </c>
      <c r="D100" s="17" t="str">
        <f t="shared" si="16"/>
        <v>16/05/66</v>
      </c>
      <c r="E100" s="3" t="s">
        <v>3637</v>
      </c>
      <c r="F100" s="6">
        <v>24388.703999999998</v>
      </c>
      <c r="G100" s="68" t="str">
        <f t="shared" si="12"/>
        <v>85</v>
      </c>
      <c r="H100">
        <f t="shared" si="17"/>
        <v>56</v>
      </c>
      <c r="I100">
        <f t="shared" si="13"/>
        <v>9</v>
      </c>
      <c r="J100">
        <f t="shared" si="18"/>
        <v>147.65436742060487</v>
      </c>
      <c r="K100" s="69">
        <f t="shared" si="14"/>
        <v>41204.202245344808</v>
      </c>
      <c r="L100">
        <f t="shared" si="19"/>
        <v>41204.202245344808</v>
      </c>
      <c r="M100" s="69">
        <f t="shared" si="20"/>
        <v>321.80752512258329</v>
      </c>
      <c r="N100" s="69">
        <f t="shared" si="21"/>
        <v>4.2679965537007734</v>
      </c>
      <c r="O100">
        <f>_xlfn.XLOOKUP(N100,CBIA!$A$3:$A$24,CBIA!$C$3:$C$24,,-1)</f>
        <v>0.18289999999999998</v>
      </c>
      <c r="P100" s="70">
        <f>_xlfn.XLOOKUP(N100,CBIA!$A$3:$A$24,CBIA!$D$3:$D$24,,-1)</f>
        <v>2.3019999999999999E-2</v>
      </c>
      <c r="Q100">
        <f t="shared" si="15"/>
        <v>2392</v>
      </c>
      <c r="R100">
        <f t="shared" si="22"/>
        <v>42047.810743007954</v>
      </c>
      <c r="S100" s="77">
        <f t="shared" si="23"/>
        <v>1.0204738461538461</v>
      </c>
    </row>
    <row r="101" spans="1:19" ht="15.5" x14ac:dyDescent="0.35">
      <c r="A101" s="3" t="s">
        <v>322</v>
      </c>
      <c r="B101" s="16" t="s">
        <v>2870</v>
      </c>
      <c r="C101" s="17" t="s">
        <v>1180</v>
      </c>
      <c r="D101" s="17" t="str">
        <f t="shared" si="16"/>
        <v>14/03/68</v>
      </c>
      <c r="E101" s="3" t="s">
        <v>3642</v>
      </c>
      <c r="F101" s="6">
        <v>10398.016</v>
      </c>
      <c r="G101" s="68" t="str">
        <f t="shared" si="12"/>
        <v>90</v>
      </c>
      <c r="H101">
        <f t="shared" si="17"/>
        <v>54</v>
      </c>
      <c r="I101">
        <f t="shared" si="13"/>
        <v>11</v>
      </c>
      <c r="J101">
        <f t="shared" si="18"/>
        <v>159.70296380212622</v>
      </c>
      <c r="K101" s="69">
        <f t="shared" si="14"/>
        <v>19738.538782348693</v>
      </c>
      <c r="L101">
        <f t="shared" si="19"/>
        <v>19738.538782348693</v>
      </c>
      <c r="M101" s="69">
        <f t="shared" si="20"/>
        <v>354.79279644764813</v>
      </c>
      <c r="N101" s="69">
        <f t="shared" si="21"/>
        <v>1.8544663232531027</v>
      </c>
      <c r="O101">
        <f>_xlfn.XLOOKUP(N101,CBIA!$A$3:$A$24,CBIA!$C$3:$C$24,,-1)</f>
        <v>0.42670000000000002</v>
      </c>
      <c r="P101" s="70">
        <f>_xlfn.XLOOKUP(N101,CBIA!$A$3:$A$24,CBIA!$D$3:$D$24,,-1)</f>
        <v>1.6150000000000001E-2</v>
      </c>
      <c r="Q101">
        <f t="shared" si="15"/>
        <v>2236</v>
      </c>
      <c r="R101">
        <f t="shared" si="22"/>
        <v>19064.695435302052</v>
      </c>
      <c r="S101" s="77">
        <f t="shared" si="23"/>
        <v>0.96586153846153855</v>
      </c>
    </row>
    <row r="102" spans="1:19" ht="15.5" x14ac:dyDescent="0.35">
      <c r="A102" s="3" t="s">
        <v>325</v>
      </c>
      <c r="B102" s="16" t="s">
        <v>2873</v>
      </c>
      <c r="C102" s="17" t="s">
        <v>1183</v>
      </c>
      <c r="D102" s="17" t="str">
        <f t="shared" si="16"/>
        <v>24/02/75</v>
      </c>
      <c r="E102" s="3" t="s">
        <v>3644</v>
      </c>
      <c r="F102" s="6">
        <v>19987.696</v>
      </c>
      <c r="G102" s="68" t="str">
        <f t="shared" si="12"/>
        <v>93</v>
      </c>
      <c r="H102">
        <f t="shared" si="17"/>
        <v>47</v>
      </c>
      <c r="I102">
        <f t="shared" si="13"/>
        <v>18</v>
      </c>
      <c r="J102">
        <f t="shared" si="18"/>
        <v>210.15820530536899</v>
      </c>
      <c r="K102" s="69">
        <f t="shared" si="14"/>
        <v>57051.663269319019</v>
      </c>
      <c r="L102">
        <f t="shared" si="19"/>
        <v>57051.663269319019</v>
      </c>
      <c r="M102" s="69">
        <f t="shared" si="20"/>
        <v>499.22909383687863</v>
      </c>
      <c r="N102" s="69">
        <f t="shared" si="21"/>
        <v>3.8093174705853214</v>
      </c>
      <c r="O102">
        <f>_xlfn.XLOOKUP(N102,CBIA!$A$3:$A$24,CBIA!$C$3:$C$24,,-1)</f>
        <v>0.20649999999999999</v>
      </c>
      <c r="P102" s="70">
        <f>_xlfn.XLOOKUP(N102,CBIA!$A$3:$A$24,CBIA!$D$3:$D$24,,-1)</f>
        <v>2.2349999999999998E-2</v>
      </c>
      <c r="Q102">
        <f t="shared" si="15"/>
        <v>2444</v>
      </c>
      <c r="R102">
        <f t="shared" si="22"/>
        <v>59450.466280319772</v>
      </c>
      <c r="S102" s="77">
        <f t="shared" si="23"/>
        <v>1.0420461538461538</v>
      </c>
    </row>
    <row r="103" spans="1:19" ht="15.5" x14ac:dyDescent="0.35">
      <c r="A103" s="3" t="s">
        <v>338</v>
      </c>
      <c r="B103" s="16" t="s">
        <v>2886</v>
      </c>
      <c r="C103" s="17" t="s">
        <v>1196</v>
      </c>
      <c r="D103" s="17" t="str">
        <f t="shared" si="16"/>
        <v>24/03/64</v>
      </c>
      <c r="E103" s="3" t="s">
        <v>3653</v>
      </c>
      <c r="F103" s="6">
        <v>10070</v>
      </c>
      <c r="G103" s="68" t="str">
        <f t="shared" si="12"/>
        <v>97</v>
      </c>
      <c r="H103">
        <f t="shared" si="17"/>
        <v>58</v>
      </c>
      <c r="I103">
        <f t="shared" si="13"/>
        <v>7</v>
      </c>
      <c r="J103">
        <f t="shared" si="18"/>
        <v>136.51476277792605</v>
      </c>
      <c r="K103" s="69">
        <f t="shared" si="14"/>
        <v>15141.556708043003</v>
      </c>
      <c r="L103">
        <f t="shared" si="19"/>
        <v>15141.556708043003</v>
      </c>
      <c r="M103" s="69">
        <f t="shared" si="20"/>
        <v>291.88891167581255</v>
      </c>
      <c r="N103" s="69">
        <f t="shared" si="21"/>
        <v>1.7291460440790374</v>
      </c>
      <c r="O103">
        <f>_xlfn.XLOOKUP(N103,CBIA!$A$3:$A$24,CBIA!$C$3:$C$24,,-1)</f>
        <v>0.49229999999999996</v>
      </c>
      <c r="P103" s="70">
        <f>_xlfn.XLOOKUP(N103,CBIA!$A$3:$A$24,CBIA!$D$3:$D$24,,-1)</f>
        <v>1.43E-2</v>
      </c>
      <c r="Q103">
        <f t="shared" si="15"/>
        <v>1664</v>
      </c>
      <c r="R103">
        <f t="shared" si="22"/>
        <v>12301.000669614135</v>
      </c>
      <c r="S103" s="77">
        <f t="shared" si="23"/>
        <v>0.81240000000000001</v>
      </c>
    </row>
    <row r="104" spans="1:19" ht="15.5" x14ac:dyDescent="0.35">
      <c r="A104" s="3" t="s">
        <v>339</v>
      </c>
      <c r="B104" s="16" t="s">
        <v>2887</v>
      </c>
      <c r="C104" s="17" t="s">
        <v>1197</v>
      </c>
      <c r="D104" s="17" t="str">
        <f t="shared" si="16"/>
        <v>29/10/61</v>
      </c>
      <c r="E104" s="3" t="s">
        <v>3654</v>
      </c>
      <c r="F104" s="6">
        <v>5632.2079999999996</v>
      </c>
      <c r="G104" s="68" t="str">
        <f t="shared" si="12"/>
        <v>82</v>
      </c>
      <c r="H104">
        <f t="shared" si="17"/>
        <v>61</v>
      </c>
      <c r="I104">
        <f t="shared" si="13"/>
        <v>4</v>
      </c>
      <c r="J104">
        <f t="shared" si="18"/>
        <v>121.36112701440001</v>
      </c>
      <c r="K104" s="69">
        <f t="shared" si="14"/>
        <v>7110.5328339276812</v>
      </c>
      <c r="L104">
        <f t="shared" si="19"/>
        <v>7110.5328339276812</v>
      </c>
      <c r="M104" s="69">
        <f t="shared" si="20"/>
        <v>252.14461650000001</v>
      </c>
      <c r="N104" s="69">
        <f t="shared" si="21"/>
        <v>0.94000722450849039</v>
      </c>
      <c r="O104">
        <f>_xlfn.XLOOKUP(N104,CBIA!$A$3:$A$24,CBIA!$C$3:$C$24,,-1)</f>
        <v>0.8</v>
      </c>
      <c r="P104" s="70">
        <f>_xlfn.XLOOKUP(N104,CBIA!$A$3:$A$24,CBIA!$D$3:$D$24,,-1)</f>
        <v>5.6299999999999996E-3</v>
      </c>
      <c r="Q104">
        <f t="shared" si="15"/>
        <v>2288</v>
      </c>
      <c r="R104">
        <f t="shared" si="22"/>
        <v>7064.9215006183558</v>
      </c>
      <c r="S104" s="77">
        <f t="shared" si="23"/>
        <v>0.99358538461538459</v>
      </c>
    </row>
    <row r="105" spans="1:19" ht="15.5" x14ac:dyDescent="0.35">
      <c r="A105" s="3" t="s">
        <v>341</v>
      </c>
      <c r="B105" s="16" t="s">
        <v>2889</v>
      </c>
      <c r="C105" s="17" t="s">
        <v>1199</v>
      </c>
      <c r="D105" s="17" t="str">
        <f t="shared" si="16"/>
        <v>13/10/78</v>
      </c>
      <c r="E105" s="3" t="s">
        <v>3655</v>
      </c>
      <c r="F105" s="6">
        <v>18811.823999999997</v>
      </c>
      <c r="G105" s="68" t="str">
        <f t="shared" si="12"/>
        <v>97</v>
      </c>
      <c r="H105">
        <f t="shared" si="17"/>
        <v>44</v>
      </c>
      <c r="I105">
        <f t="shared" si="13"/>
        <v>21</v>
      </c>
      <c r="J105">
        <f t="shared" si="18"/>
        <v>236.39939945261867</v>
      </c>
      <c r="K105" s="69">
        <f t="shared" si="14"/>
        <v>63951.99213027049</v>
      </c>
      <c r="L105">
        <f t="shared" si="19"/>
        <v>63951.99213027049</v>
      </c>
      <c r="M105" s="69">
        <f t="shared" si="20"/>
        <v>577.92007975291654</v>
      </c>
      <c r="N105" s="69">
        <f t="shared" si="21"/>
        <v>3.6886295280143502</v>
      </c>
      <c r="O105">
        <f>_xlfn.XLOOKUP(N105,CBIA!$A$3:$A$24,CBIA!$C$3:$C$24,,-1)</f>
        <v>0.22070000000000001</v>
      </c>
      <c r="P105" s="70">
        <f>_xlfn.XLOOKUP(N105,CBIA!$A$3:$A$24,CBIA!$D$3:$D$24,,-1)</f>
        <v>2.1949999999999997E-2</v>
      </c>
      <c r="Q105">
        <f t="shared" si="15"/>
        <v>2392</v>
      </c>
      <c r="R105">
        <f t="shared" si="22"/>
        <v>65188.971239590217</v>
      </c>
      <c r="S105" s="77">
        <f t="shared" si="23"/>
        <v>1.0193423076923076</v>
      </c>
    </row>
    <row r="106" spans="1:19" ht="15.5" x14ac:dyDescent="0.35">
      <c r="A106" s="3" t="s">
        <v>354</v>
      </c>
      <c r="B106" s="16" t="s">
        <v>2902</v>
      </c>
      <c r="C106" s="17" t="s">
        <v>1210</v>
      </c>
      <c r="D106" s="17" t="str">
        <f t="shared" si="16"/>
        <v>14/01/73</v>
      </c>
      <c r="E106" s="3" t="s">
        <v>3661</v>
      </c>
      <c r="F106" s="6">
        <v>5632.2079999999996</v>
      </c>
      <c r="G106" s="68" t="str">
        <f t="shared" si="12"/>
        <v>93</v>
      </c>
      <c r="H106">
        <f t="shared" si="17"/>
        <v>49</v>
      </c>
      <c r="I106">
        <f t="shared" si="13"/>
        <v>16</v>
      </c>
      <c r="J106">
        <f t="shared" si="18"/>
        <v>194.30307443173908</v>
      </c>
      <c r="K106" s="69">
        <f t="shared" si="14"/>
        <v>14307.789081300125</v>
      </c>
      <c r="L106">
        <f t="shared" si="19"/>
        <v>14307.789081300125</v>
      </c>
      <c r="M106" s="69">
        <f t="shared" si="20"/>
        <v>452.8155046139488</v>
      </c>
      <c r="N106" s="69">
        <f t="shared" si="21"/>
        <v>1.0532464057665412</v>
      </c>
      <c r="O106">
        <f>_xlfn.XLOOKUP(N106,CBIA!$A$3:$A$24,CBIA!$C$3:$C$24,,-1)</f>
        <v>0.77110000000000001</v>
      </c>
      <c r="P106" s="70">
        <f>_xlfn.XLOOKUP(N106,CBIA!$A$3:$A$24,CBIA!$D$3:$D$24,,-1)</f>
        <v>8.1399999999999997E-3</v>
      </c>
      <c r="Q106">
        <f t="shared" si="15"/>
        <v>2340</v>
      </c>
      <c r="R106">
        <f t="shared" si="22"/>
        <v>15153.819655669002</v>
      </c>
      <c r="S106" s="77">
        <f t="shared" si="23"/>
        <v>1.0591307692307692</v>
      </c>
    </row>
    <row r="107" spans="1:19" ht="15.5" x14ac:dyDescent="0.35">
      <c r="A107" s="3" t="s">
        <v>357</v>
      </c>
      <c r="B107" s="16" t="s">
        <v>2905</v>
      </c>
      <c r="C107" s="17" t="s">
        <v>1213</v>
      </c>
      <c r="D107" s="17" t="str">
        <f t="shared" si="16"/>
        <v>17/11/64</v>
      </c>
      <c r="E107" s="3" t="s">
        <v>3663</v>
      </c>
      <c r="F107" s="6">
        <v>16210.8</v>
      </c>
      <c r="G107" s="68" t="str">
        <f t="shared" si="12"/>
        <v>92</v>
      </c>
      <c r="H107">
        <f t="shared" si="17"/>
        <v>58</v>
      </c>
      <c r="I107">
        <f t="shared" si="13"/>
        <v>7</v>
      </c>
      <c r="J107">
        <f t="shared" si="18"/>
        <v>136.51476277792605</v>
      </c>
      <c r="K107" s="69">
        <f t="shared" si="14"/>
        <v>24375.049402457153</v>
      </c>
      <c r="L107">
        <f t="shared" si="19"/>
        <v>24375.049402457153</v>
      </c>
      <c r="M107" s="69">
        <f t="shared" si="20"/>
        <v>291.88891167581255</v>
      </c>
      <c r="N107" s="69">
        <f t="shared" si="21"/>
        <v>2.7835988769966691</v>
      </c>
      <c r="O107">
        <f>_xlfn.XLOOKUP(N107,CBIA!$A$3:$A$24,CBIA!$C$3:$C$24,,-1)</f>
        <v>0.27829999999999999</v>
      </c>
      <c r="P107" s="70">
        <f>_xlfn.XLOOKUP(N107,CBIA!$A$3:$A$24,CBIA!$D$3:$D$24,,-1)</f>
        <v>2.0330000000000001E-2</v>
      </c>
      <c r="Q107">
        <f t="shared" si="15"/>
        <v>1924</v>
      </c>
      <c r="R107">
        <f t="shared" si="22"/>
        <v>20353.878752495795</v>
      </c>
      <c r="S107" s="77">
        <f t="shared" si="23"/>
        <v>0.83502923076923086</v>
      </c>
    </row>
    <row r="108" spans="1:19" ht="15.5" x14ac:dyDescent="0.35">
      <c r="A108" s="3" t="s">
        <v>364</v>
      </c>
      <c r="B108" s="16" t="s">
        <v>2912</v>
      </c>
      <c r="C108" s="17" t="s">
        <v>1220</v>
      </c>
      <c r="D108" s="17" t="str">
        <f t="shared" si="16"/>
        <v>03/11/74</v>
      </c>
      <c r="E108" s="3" t="s">
        <v>3667</v>
      </c>
      <c r="F108" s="6">
        <v>11506.704</v>
      </c>
      <c r="G108" s="68" t="str">
        <f t="shared" si="12"/>
        <v>97</v>
      </c>
      <c r="H108">
        <f t="shared" si="17"/>
        <v>48</v>
      </c>
      <c r="I108">
        <f t="shared" si="13"/>
        <v>17</v>
      </c>
      <c r="J108">
        <f t="shared" si="18"/>
        <v>202.07519740900864</v>
      </c>
      <c r="K108" s="69">
        <f t="shared" si="14"/>
        <v>30984.93938507414</v>
      </c>
      <c r="L108">
        <f t="shared" si="19"/>
        <v>30984.93938507414</v>
      </c>
      <c r="M108" s="69">
        <f t="shared" si="20"/>
        <v>475.4562798446463</v>
      </c>
      <c r="N108" s="69">
        <f t="shared" si="21"/>
        <v>2.1722950282059132</v>
      </c>
      <c r="O108">
        <f>_xlfn.XLOOKUP(N108,CBIA!$A$3:$A$24,CBIA!$C$3:$C$24,,-1)</f>
        <v>0.3765</v>
      </c>
      <c r="P108" s="70">
        <f>_xlfn.XLOOKUP(N108,CBIA!$A$3:$A$24,CBIA!$D$3:$D$24,,-1)</f>
        <v>1.7559999999999999E-2</v>
      </c>
      <c r="Q108">
        <f t="shared" si="15"/>
        <v>2184</v>
      </c>
      <c r="R108">
        <f t="shared" si="22"/>
        <v>29286.154331434314</v>
      </c>
      <c r="S108" s="77">
        <f t="shared" si="23"/>
        <v>0.94517384615384614</v>
      </c>
    </row>
    <row r="109" spans="1:19" ht="15.5" x14ac:dyDescent="0.35">
      <c r="A109" s="3" t="s">
        <v>367</v>
      </c>
      <c r="B109" s="16" t="s">
        <v>2915</v>
      </c>
      <c r="C109" s="17" t="s">
        <v>1223</v>
      </c>
      <c r="D109" s="17" t="str">
        <f t="shared" si="16"/>
        <v>23/11/78</v>
      </c>
      <c r="E109" s="3" t="s">
        <v>3670</v>
      </c>
      <c r="F109" s="6">
        <v>8480.6880000000001</v>
      </c>
      <c r="G109" s="68" t="str">
        <f t="shared" si="12"/>
        <v>96</v>
      </c>
      <c r="H109">
        <f t="shared" si="17"/>
        <v>44</v>
      </c>
      <c r="I109">
        <f t="shared" si="13"/>
        <v>21</v>
      </c>
      <c r="J109">
        <f t="shared" si="18"/>
        <v>236.39939945261867</v>
      </c>
      <c r="K109" s="69">
        <f t="shared" si="14"/>
        <v>28830.63823238403</v>
      </c>
      <c r="L109">
        <f t="shared" si="19"/>
        <v>28830.63823238403</v>
      </c>
      <c r="M109" s="69">
        <f t="shared" si="20"/>
        <v>577.92007975291654</v>
      </c>
      <c r="N109" s="69">
        <f t="shared" si="21"/>
        <v>1.6628964939644857</v>
      </c>
      <c r="O109">
        <f>_xlfn.XLOOKUP(N109,CBIA!$A$3:$A$24,CBIA!$C$3:$C$24,,-1)</f>
        <v>0.49229999999999996</v>
      </c>
      <c r="P109" s="70">
        <f>_xlfn.XLOOKUP(N109,CBIA!$A$3:$A$24,CBIA!$D$3:$D$24,,-1)</f>
        <v>1.43E-2</v>
      </c>
      <c r="Q109">
        <f t="shared" si="15"/>
        <v>2444</v>
      </c>
      <c r="R109">
        <f t="shared" si="22"/>
        <v>29606.182400835158</v>
      </c>
      <c r="S109" s="77">
        <f t="shared" si="23"/>
        <v>1.0268999999999999</v>
      </c>
    </row>
    <row r="110" spans="1:19" ht="15.5" x14ac:dyDescent="0.35">
      <c r="A110" s="3" t="s">
        <v>369</v>
      </c>
      <c r="B110" s="16" t="s">
        <v>2917</v>
      </c>
      <c r="C110" s="17" t="s">
        <v>1225</v>
      </c>
      <c r="D110" s="17" t="str">
        <f t="shared" si="16"/>
        <v>29/03/62</v>
      </c>
      <c r="E110" s="3" t="s">
        <v>3671</v>
      </c>
      <c r="F110" s="6">
        <v>8583.44</v>
      </c>
      <c r="G110" s="68" t="str">
        <f t="shared" si="12"/>
        <v>82</v>
      </c>
      <c r="H110">
        <f t="shared" si="17"/>
        <v>60</v>
      </c>
      <c r="I110">
        <f t="shared" si="13"/>
        <v>5</v>
      </c>
      <c r="J110">
        <f t="shared" si="18"/>
        <v>126.21557209497603</v>
      </c>
      <c r="K110" s="69">
        <f t="shared" si="14"/>
        <v>11486.578951794949</v>
      </c>
      <c r="L110">
        <f t="shared" si="19"/>
        <v>11486.578951794949</v>
      </c>
      <c r="M110" s="69">
        <f t="shared" si="20"/>
        <v>264.75184732500003</v>
      </c>
      <c r="N110" s="69">
        <f t="shared" si="21"/>
        <v>1.446206962967153</v>
      </c>
      <c r="O110">
        <f>_xlfn.XLOOKUP(N110,CBIA!$A$3:$A$24,CBIA!$C$3:$C$24,,-1)</f>
        <v>0.58179999999999998</v>
      </c>
      <c r="P110" s="70">
        <f>_xlfn.XLOOKUP(N110,CBIA!$A$3:$A$24,CBIA!$D$3:$D$24,,-1)</f>
        <v>1.1779999999999999E-2</v>
      </c>
      <c r="Q110">
        <f t="shared" si="15"/>
        <v>2340</v>
      </c>
      <c r="R110">
        <f t="shared" si="22"/>
        <v>11470.851174460953</v>
      </c>
      <c r="S110" s="77">
        <f t="shared" si="23"/>
        <v>0.99863076923076932</v>
      </c>
    </row>
    <row r="111" spans="1:19" ht="15.5" x14ac:dyDescent="0.35">
      <c r="A111" s="3" t="s">
        <v>370</v>
      </c>
      <c r="B111" s="16" t="s">
        <v>2918</v>
      </c>
      <c r="C111" s="17" t="s">
        <v>1226</v>
      </c>
      <c r="D111" s="17" t="str">
        <f t="shared" si="16"/>
        <v>17/12/60</v>
      </c>
      <c r="E111" s="3" t="s">
        <v>3672</v>
      </c>
      <c r="F111" s="6">
        <v>7868.4319999999989</v>
      </c>
      <c r="G111" s="68" t="str">
        <f t="shared" si="12"/>
        <v>82</v>
      </c>
      <c r="H111">
        <f t="shared" si="17"/>
        <v>62</v>
      </c>
      <c r="I111">
        <f t="shared" si="13"/>
        <v>3</v>
      </c>
      <c r="J111">
        <f t="shared" si="18"/>
        <v>116.69339136000001</v>
      </c>
      <c r="K111" s="69">
        <f t="shared" si="14"/>
        <v>9371.4284069120004</v>
      </c>
      <c r="L111">
        <f t="shared" si="19"/>
        <v>9371.4284069120004</v>
      </c>
      <c r="M111" s="69">
        <f t="shared" si="20"/>
        <v>240.13773000000003</v>
      </c>
      <c r="N111" s="69">
        <f t="shared" si="21"/>
        <v>1.3008407587473514</v>
      </c>
      <c r="O111">
        <f>_xlfn.XLOOKUP(N111,CBIA!$A$3:$A$24,CBIA!$C$3:$C$24,,-1)</f>
        <v>0.58179999999999998</v>
      </c>
      <c r="P111" s="70">
        <f>_xlfn.XLOOKUP(N111,CBIA!$A$3:$A$24,CBIA!$D$3:$D$24,,-1)</f>
        <v>1.1779999999999999E-2</v>
      </c>
      <c r="Q111">
        <f t="shared" si="15"/>
        <v>2236</v>
      </c>
      <c r="R111">
        <f t="shared" si="22"/>
        <v>9137.8059055187659</v>
      </c>
      <c r="S111" s="77">
        <f t="shared" si="23"/>
        <v>0.97507076923076919</v>
      </c>
    </row>
    <row r="112" spans="1:19" ht="15.5" x14ac:dyDescent="0.35">
      <c r="A112" s="3" t="s">
        <v>376</v>
      </c>
      <c r="B112" s="16" t="s">
        <v>2924</v>
      </c>
      <c r="C112" s="17" t="s">
        <v>1231</v>
      </c>
      <c r="D112" s="17" t="str">
        <f t="shared" si="16"/>
        <v>13/03/69</v>
      </c>
      <c r="E112" s="3" t="s">
        <v>3676</v>
      </c>
      <c r="F112" s="6">
        <v>11867.856</v>
      </c>
      <c r="G112" s="68" t="str">
        <f t="shared" si="12"/>
        <v>90</v>
      </c>
      <c r="H112">
        <f t="shared" si="17"/>
        <v>53</v>
      </c>
      <c r="I112">
        <f t="shared" si="13"/>
        <v>12</v>
      </c>
      <c r="J112">
        <f t="shared" si="18"/>
        <v>166.0910823542113</v>
      </c>
      <c r="K112" s="69">
        <f t="shared" si="14"/>
        <v>23880.457971452386</v>
      </c>
      <c r="L112">
        <f t="shared" si="19"/>
        <v>23880.457971452386</v>
      </c>
      <c r="M112" s="69">
        <f t="shared" si="20"/>
        <v>372.53243627003047</v>
      </c>
      <c r="N112" s="69">
        <f t="shared" si="21"/>
        <v>2.1367676696428313</v>
      </c>
      <c r="O112">
        <f>_xlfn.XLOOKUP(N112,CBIA!$A$3:$A$24,CBIA!$C$3:$C$24,,-1)</f>
        <v>0.3765</v>
      </c>
      <c r="P112" s="70">
        <f>_xlfn.XLOOKUP(N112,CBIA!$A$3:$A$24,CBIA!$D$3:$D$24,,-1)</f>
        <v>1.7559999999999999E-2</v>
      </c>
      <c r="Q112">
        <f t="shared" si="15"/>
        <v>2288</v>
      </c>
      <c r="R112">
        <f t="shared" si="22"/>
        <v>23409.865992750336</v>
      </c>
      <c r="S112" s="77">
        <f t="shared" si="23"/>
        <v>0.98029384615384618</v>
      </c>
    </row>
    <row r="113" spans="1:19" ht="15.5" x14ac:dyDescent="0.35">
      <c r="A113" s="3" t="s">
        <v>380</v>
      </c>
      <c r="B113" s="16" t="s">
        <v>2928</v>
      </c>
      <c r="C113" s="17" t="s">
        <v>1235</v>
      </c>
      <c r="D113" s="17" t="str">
        <f t="shared" si="16"/>
        <v>10/10/74</v>
      </c>
      <c r="E113" s="3" t="s">
        <v>3677</v>
      </c>
      <c r="F113" s="6">
        <v>10070</v>
      </c>
      <c r="G113" s="68" t="str">
        <f t="shared" si="12"/>
        <v>92</v>
      </c>
      <c r="H113">
        <f t="shared" si="17"/>
        <v>48</v>
      </c>
      <c r="I113">
        <f t="shared" si="13"/>
        <v>17</v>
      </c>
      <c r="J113">
        <f t="shared" si="18"/>
        <v>202.07519740900864</v>
      </c>
      <c r="K113" s="69">
        <f t="shared" si="14"/>
        <v>27116.221952671818</v>
      </c>
      <c r="L113">
        <f t="shared" si="19"/>
        <v>27116.221952671818</v>
      </c>
      <c r="M113" s="69">
        <f t="shared" si="20"/>
        <v>475.4562798446463</v>
      </c>
      <c r="N113" s="69">
        <f t="shared" si="21"/>
        <v>1.9010666246419088</v>
      </c>
      <c r="O113">
        <f>_xlfn.XLOOKUP(N113,CBIA!$A$3:$A$24,CBIA!$C$3:$C$24,,-1)</f>
        <v>0.42670000000000002</v>
      </c>
      <c r="P113" s="70">
        <f>_xlfn.XLOOKUP(N113,CBIA!$A$3:$A$24,CBIA!$D$3:$D$24,,-1)</f>
        <v>1.6150000000000001E-2</v>
      </c>
      <c r="Q113">
        <f t="shared" si="15"/>
        <v>2444</v>
      </c>
      <c r="R113">
        <f t="shared" si="22"/>
        <v>27942.223790614746</v>
      </c>
      <c r="S113" s="77">
        <f t="shared" si="23"/>
        <v>1.0304615384615385</v>
      </c>
    </row>
    <row r="114" spans="1:19" ht="15.5" x14ac:dyDescent="0.35">
      <c r="A114" s="3" t="s">
        <v>383</v>
      </c>
      <c r="B114" s="16" t="s">
        <v>2931</v>
      </c>
      <c r="C114" s="17" t="s">
        <v>1238</v>
      </c>
      <c r="D114" s="17" t="str">
        <f t="shared" si="16"/>
        <v>05/12/80</v>
      </c>
      <c r="E114" s="3" t="s">
        <v>3679</v>
      </c>
      <c r="F114" s="6">
        <v>21688.880000000001</v>
      </c>
      <c r="G114" s="68" t="str">
        <f t="shared" si="12"/>
        <v>97</v>
      </c>
      <c r="H114">
        <f t="shared" si="17"/>
        <v>42</v>
      </c>
      <c r="I114">
        <f t="shared" si="13"/>
        <v>23</v>
      </c>
      <c r="J114">
        <f t="shared" si="18"/>
        <v>255.6895904479523</v>
      </c>
      <c r="K114" s="69">
        <f t="shared" si="14"/>
        <v>82846.092039898693</v>
      </c>
      <c r="L114">
        <f t="shared" si="19"/>
        <v>82846.092039898693</v>
      </c>
      <c r="M114" s="69">
        <f t="shared" si="20"/>
        <v>637.15688792759067</v>
      </c>
      <c r="N114" s="69">
        <f t="shared" si="21"/>
        <v>4.3341545130463848</v>
      </c>
      <c r="O114">
        <f>_xlfn.XLOOKUP(N114,CBIA!$A$3:$A$24,CBIA!$C$3:$C$24,,-1)</f>
        <v>0.18289999999999998</v>
      </c>
      <c r="P114" s="70">
        <f>_xlfn.XLOOKUP(N114,CBIA!$A$3:$A$24,CBIA!$D$3:$D$24,,-1)</f>
        <v>2.3019999999999999E-2</v>
      </c>
      <c r="Q114">
        <f t="shared" si="15"/>
        <v>2496</v>
      </c>
      <c r="R114">
        <f t="shared" si="22"/>
        <v>88356.504260287897</v>
      </c>
      <c r="S114" s="77">
        <f t="shared" si="23"/>
        <v>1.0665138461538461</v>
      </c>
    </row>
    <row r="115" spans="1:19" ht="15.5" x14ac:dyDescent="0.35">
      <c r="A115" s="3" t="s">
        <v>387</v>
      </c>
      <c r="B115" s="16" t="s">
        <v>2935</v>
      </c>
      <c r="C115" s="17" t="s">
        <v>1242</v>
      </c>
      <c r="D115" s="17" t="str">
        <f t="shared" si="16"/>
        <v>12/06/68</v>
      </c>
      <c r="E115" s="3" t="s">
        <v>3681</v>
      </c>
      <c r="F115" s="6">
        <v>26393.279999999999</v>
      </c>
      <c r="G115" s="68" t="str">
        <f t="shared" si="12"/>
        <v>90</v>
      </c>
      <c r="H115">
        <f t="shared" si="17"/>
        <v>54</v>
      </c>
      <c r="I115">
        <f t="shared" si="13"/>
        <v>11</v>
      </c>
      <c r="J115">
        <f t="shared" si="18"/>
        <v>159.70296380212622</v>
      </c>
      <c r="K115" s="69">
        <f t="shared" si="14"/>
        <v>50102.325373743231</v>
      </c>
      <c r="L115">
        <f t="shared" si="19"/>
        <v>50102.325373743231</v>
      </c>
      <c r="M115" s="69">
        <f t="shared" si="20"/>
        <v>354.79279644764813</v>
      </c>
      <c r="N115" s="69">
        <f t="shared" si="21"/>
        <v>4.7071911526381234</v>
      </c>
      <c r="O115">
        <f>_xlfn.XLOOKUP(N115,CBIA!$A$3:$A$24,CBIA!$C$3:$C$24,,-1)</f>
        <v>0.17300000000000001</v>
      </c>
      <c r="P115" s="70">
        <f>_xlfn.XLOOKUP(N115,CBIA!$A$3:$A$24,CBIA!$D$3:$D$24,,-1)</f>
        <v>2.3300000000000001E-2</v>
      </c>
      <c r="Q115">
        <f t="shared" si="15"/>
        <v>2236</v>
      </c>
      <c r="R115">
        <f t="shared" si="22"/>
        <v>47640.374185378074</v>
      </c>
      <c r="S115" s="77">
        <f t="shared" si="23"/>
        <v>0.95086153846153865</v>
      </c>
    </row>
    <row r="116" spans="1:19" ht="15.5" x14ac:dyDescent="0.35">
      <c r="A116" s="3" t="s">
        <v>389</v>
      </c>
      <c r="B116" s="16" t="s">
        <v>2937</v>
      </c>
      <c r="C116" s="17" t="s">
        <v>1208</v>
      </c>
      <c r="D116" s="17" t="str">
        <f t="shared" si="16"/>
        <v>27/07/70</v>
      </c>
      <c r="E116" s="3" t="s">
        <v>3682</v>
      </c>
      <c r="F116" s="6">
        <v>7557.44</v>
      </c>
      <c r="G116" s="68" t="str">
        <f t="shared" si="12"/>
        <v>91</v>
      </c>
      <c r="H116">
        <f t="shared" si="17"/>
        <v>52</v>
      </c>
      <c r="I116">
        <f t="shared" si="13"/>
        <v>13</v>
      </c>
      <c r="J116">
        <f t="shared" si="18"/>
        <v>172.73472564837977</v>
      </c>
      <c r="K116" s="69">
        <f t="shared" si="14"/>
        <v>16119.477350355406</v>
      </c>
      <c r="L116">
        <f t="shared" si="19"/>
        <v>16119.477350355406</v>
      </c>
      <c r="M116" s="69">
        <f t="shared" si="20"/>
        <v>391.15905808353205</v>
      </c>
      <c r="N116" s="69">
        <f t="shared" si="21"/>
        <v>1.373650694198598</v>
      </c>
      <c r="O116">
        <f>_xlfn.XLOOKUP(N116,CBIA!$A$3:$A$24,CBIA!$C$3:$C$24,,-1)</f>
        <v>0.58179999999999998</v>
      </c>
      <c r="P116" s="70">
        <f>_xlfn.XLOOKUP(N116,CBIA!$A$3:$A$24,CBIA!$D$3:$D$24,,-1)</f>
        <v>1.1779999999999999E-2</v>
      </c>
      <c r="Q116">
        <f t="shared" si="15"/>
        <v>2288</v>
      </c>
      <c r="R116">
        <f t="shared" si="22"/>
        <v>15907.518622796193</v>
      </c>
      <c r="S116" s="77">
        <f t="shared" si="23"/>
        <v>0.9868507692307692</v>
      </c>
    </row>
    <row r="117" spans="1:19" ht="15.5" x14ac:dyDescent="0.35">
      <c r="A117" s="3" t="s">
        <v>392</v>
      </c>
      <c r="B117" s="16" t="s">
        <v>2940</v>
      </c>
      <c r="C117" s="17" t="s">
        <v>1246</v>
      </c>
      <c r="D117" s="17" t="str">
        <f t="shared" si="16"/>
        <v>02/05/65</v>
      </c>
      <c r="E117" s="3" t="s">
        <v>3684</v>
      </c>
      <c r="F117" s="6">
        <v>26577.503999999997</v>
      </c>
      <c r="G117" s="68" t="str">
        <f t="shared" si="12"/>
        <v>84</v>
      </c>
      <c r="H117">
        <f t="shared" si="17"/>
        <v>57</v>
      </c>
      <c r="I117">
        <f t="shared" si="13"/>
        <v>8</v>
      </c>
      <c r="J117">
        <f t="shared" si="18"/>
        <v>141.97535328904314</v>
      </c>
      <c r="K117" s="69">
        <f t="shared" si="14"/>
        <v>42360.503576235758</v>
      </c>
      <c r="L117">
        <f t="shared" si="19"/>
        <v>42360.503576235758</v>
      </c>
      <c r="M117" s="69">
        <f t="shared" si="20"/>
        <v>306.48335725960311</v>
      </c>
      <c r="N117" s="69">
        <f t="shared" si="21"/>
        <v>4.6071564815132628</v>
      </c>
      <c r="O117">
        <f>_xlfn.XLOOKUP(N117,CBIA!$A$3:$A$24,CBIA!$C$3:$C$24,,-1)</f>
        <v>0.17300000000000001</v>
      </c>
      <c r="P117" s="70">
        <f>_xlfn.XLOOKUP(N117,CBIA!$A$3:$A$24,CBIA!$D$3:$D$24,,-1)</f>
        <v>2.3300000000000001E-2</v>
      </c>
      <c r="Q117">
        <f t="shared" si="15"/>
        <v>2392</v>
      </c>
      <c r="R117">
        <f t="shared" si="22"/>
        <v>43239.972800483913</v>
      </c>
      <c r="S117" s="77">
        <f t="shared" si="23"/>
        <v>1.0207615384615385</v>
      </c>
    </row>
    <row r="118" spans="1:19" ht="15.5" x14ac:dyDescent="0.35">
      <c r="A118" s="3" t="s">
        <v>398</v>
      </c>
      <c r="B118" s="16" t="s">
        <v>2946</v>
      </c>
      <c r="C118" s="17" t="s">
        <v>1252</v>
      </c>
      <c r="D118" s="17" t="str">
        <f t="shared" si="16"/>
        <v>15/10/72</v>
      </c>
      <c r="E118" s="3" t="s">
        <v>3687</v>
      </c>
      <c r="F118" s="6">
        <v>5632.2079999999996</v>
      </c>
      <c r="G118" s="68" t="str">
        <f t="shared" si="12"/>
        <v>88</v>
      </c>
      <c r="H118">
        <f t="shared" si="17"/>
        <v>50</v>
      </c>
      <c r="I118">
        <f t="shared" si="13"/>
        <v>15</v>
      </c>
      <c r="J118">
        <f t="shared" si="18"/>
        <v>186.82987926128754</v>
      </c>
      <c r="K118" s="69">
        <f t="shared" si="14"/>
        <v>13497.914227641631</v>
      </c>
      <c r="L118">
        <f t="shared" si="19"/>
        <v>13497.914227641631</v>
      </c>
      <c r="M118" s="69">
        <f t="shared" si="20"/>
        <v>431.25286153709413</v>
      </c>
      <c r="N118" s="69">
        <f t="shared" si="21"/>
        <v>1.0433101189196872</v>
      </c>
      <c r="O118">
        <f>_xlfn.XLOOKUP(N118,CBIA!$A$3:$A$24,CBIA!$C$3:$C$24,,-1)</f>
        <v>0.77110000000000001</v>
      </c>
      <c r="P118" s="70">
        <f>_xlfn.XLOOKUP(N118,CBIA!$A$3:$A$24,CBIA!$D$3:$D$24,,-1)</f>
        <v>8.1399999999999997E-3</v>
      </c>
      <c r="Q118">
        <f t="shared" si="15"/>
        <v>2548</v>
      </c>
      <c r="R118">
        <f t="shared" si="22"/>
        <v>14735.548366185036</v>
      </c>
      <c r="S118" s="77">
        <f t="shared" si="23"/>
        <v>1.0916907692307691</v>
      </c>
    </row>
    <row r="119" spans="1:19" ht="15.5" x14ac:dyDescent="0.35">
      <c r="A119" s="3" t="s">
        <v>399</v>
      </c>
      <c r="B119" s="16" t="s">
        <v>2947</v>
      </c>
      <c r="C119" s="17" t="s">
        <v>1253</v>
      </c>
      <c r="D119" s="17" t="str">
        <f t="shared" si="16"/>
        <v>24/01/62</v>
      </c>
      <c r="E119" s="3" t="s">
        <v>3688</v>
      </c>
      <c r="F119" s="6">
        <v>20095.311999999998</v>
      </c>
      <c r="G119" s="68" t="str">
        <f t="shared" si="12"/>
        <v>89</v>
      </c>
      <c r="H119">
        <f t="shared" si="17"/>
        <v>60</v>
      </c>
      <c r="I119">
        <f t="shared" si="13"/>
        <v>5</v>
      </c>
      <c r="J119">
        <f t="shared" si="18"/>
        <v>126.21557209497603</v>
      </c>
      <c r="K119" s="69">
        <f t="shared" si="14"/>
        <v>26892.06050825222</v>
      </c>
      <c r="L119">
        <f t="shared" si="19"/>
        <v>26892.06050825222</v>
      </c>
      <c r="M119" s="69">
        <f t="shared" si="20"/>
        <v>264.75184732500003</v>
      </c>
      <c r="N119" s="69">
        <f t="shared" si="21"/>
        <v>3.3858196873744539</v>
      </c>
      <c r="O119">
        <f>_xlfn.XLOOKUP(N119,CBIA!$A$3:$A$24,CBIA!$C$3:$C$24,,-1)</f>
        <v>0.23699999999999999</v>
      </c>
      <c r="P119" s="70">
        <f>_xlfn.XLOOKUP(N119,CBIA!$A$3:$A$24,CBIA!$D$3:$D$24,,-1)</f>
        <v>2.1489999999999999E-2</v>
      </c>
      <c r="Q119">
        <f t="shared" si="15"/>
        <v>1976</v>
      </c>
      <c r="R119">
        <f t="shared" si="22"/>
        <v>22777.182212682201</v>
      </c>
      <c r="S119" s="77">
        <f t="shared" si="23"/>
        <v>0.84698538461538453</v>
      </c>
    </row>
    <row r="120" spans="1:19" ht="15.5" x14ac:dyDescent="0.35">
      <c r="A120" s="3" t="s">
        <v>400</v>
      </c>
      <c r="B120" s="16" t="s">
        <v>2948</v>
      </c>
      <c r="C120" s="17" t="s">
        <v>1254</v>
      </c>
      <c r="D120" s="17" t="str">
        <f t="shared" si="16"/>
        <v>18/03/82</v>
      </c>
      <c r="E120" s="3" t="s">
        <v>3688</v>
      </c>
      <c r="F120" s="6">
        <v>18212.031999999999</v>
      </c>
      <c r="G120" s="68" t="str">
        <f t="shared" si="12"/>
        <v>96</v>
      </c>
      <c r="H120">
        <f t="shared" si="17"/>
        <v>40</v>
      </c>
      <c r="I120">
        <f t="shared" si="13"/>
        <v>25</v>
      </c>
      <c r="J120">
        <f t="shared" si="18"/>
        <v>276.55386102850531</v>
      </c>
      <c r="K120" s="69">
        <f t="shared" si="14"/>
        <v>78163.686887831442</v>
      </c>
      <c r="L120">
        <f t="shared" si="19"/>
        <v>78163.686887831442</v>
      </c>
      <c r="M120" s="69">
        <f t="shared" si="20"/>
        <v>702.46546894016853</v>
      </c>
      <c r="N120" s="69">
        <f t="shared" si="21"/>
        <v>3.7090168055168804</v>
      </c>
      <c r="O120">
        <f>_xlfn.XLOOKUP(N120,CBIA!$A$3:$A$24,CBIA!$C$3:$C$24,,-1)</f>
        <v>0.22070000000000001</v>
      </c>
      <c r="P120" s="70">
        <f>_xlfn.XLOOKUP(N120,CBIA!$A$3:$A$24,CBIA!$D$3:$D$24,,-1)</f>
        <v>2.1949999999999997E-2</v>
      </c>
      <c r="Q120">
        <f t="shared" si="15"/>
        <v>2652</v>
      </c>
      <c r="R120">
        <f t="shared" si="22"/>
        <v>88254.01760592057</v>
      </c>
      <c r="S120" s="77">
        <f t="shared" si="23"/>
        <v>1.1290923076923076</v>
      </c>
    </row>
    <row r="121" spans="1:19" ht="15.5" x14ac:dyDescent="0.35">
      <c r="A121" s="3" t="s">
        <v>404</v>
      </c>
      <c r="B121" s="16" t="s">
        <v>2952</v>
      </c>
      <c r="C121" s="17" t="s">
        <v>1258</v>
      </c>
      <c r="D121" s="17" t="str">
        <f t="shared" si="16"/>
        <v>08/07/70</v>
      </c>
      <c r="E121" s="3" t="s">
        <v>3691</v>
      </c>
      <c r="F121" s="6">
        <v>5632.2079999999996</v>
      </c>
      <c r="G121" s="68" t="str">
        <f t="shared" si="12"/>
        <v>89</v>
      </c>
      <c r="H121">
        <f t="shared" si="17"/>
        <v>52</v>
      </c>
      <c r="I121">
        <f t="shared" si="13"/>
        <v>13</v>
      </c>
      <c r="J121">
        <f t="shared" si="18"/>
        <v>172.73472564837977</v>
      </c>
      <c r="K121" s="69">
        <f t="shared" si="14"/>
        <v>12013.095610218608</v>
      </c>
      <c r="L121">
        <f t="shared" si="19"/>
        <v>12013.095610218608</v>
      </c>
      <c r="M121" s="69">
        <f t="shared" si="20"/>
        <v>391.15905808353205</v>
      </c>
      <c r="N121" s="69">
        <f t="shared" si="21"/>
        <v>1.0237178765654635</v>
      </c>
      <c r="O121">
        <f>_xlfn.XLOOKUP(N121,CBIA!$A$3:$A$24,CBIA!$C$3:$C$24,,-1)</f>
        <v>0.77110000000000001</v>
      </c>
      <c r="P121" s="70">
        <f>_xlfn.XLOOKUP(N121,CBIA!$A$3:$A$24,CBIA!$D$3:$D$24,,-1)</f>
        <v>8.1399999999999997E-3</v>
      </c>
      <c r="Q121">
        <f t="shared" si="15"/>
        <v>2392</v>
      </c>
      <c r="R121">
        <f t="shared" si="22"/>
        <v>12821.225792760792</v>
      </c>
      <c r="S121" s="77">
        <f t="shared" si="23"/>
        <v>1.0672707692307692</v>
      </c>
    </row>
    <row r="122" spans="1:19" ht="15.5" x14ac:dyDescent="0.35">
      <c r="A122" s="3" t="s">
        <v>412</v>
      </c>
      <c r="B122" s="16" t="s">
        <v>2960</v>
      </c>
      <c r="C122" s="17" t="s">
        <v>903</v>
      </c>
      <c r="D122" s="17" t="str">
        <f t="shared" si="16"/>
        <v>17/07/71</v>
      </c>
      <c r="E122" s="3" t="s">
        <v>3696</v>
      </c>
      <c r="F122" s="6">
        <v>10176.096</v>
      </c>
      <c r="G122" s="68" t="str">
        <f t="shared" si="12"/>
        <v>90</v>
      </c>
      <c r="H122">
        <f t="shared" si="17"/>
        <v>51</v>
      </c>
      <c r="I122">
        <f t="shared" si="13"/>
        <v>14</v>
      </c>
      <c r="J122">
        <f t="shared" si="18"/>
        <v>179.64411467431495</v>
      </c>
      <c r="K122" s="69">
        <f t="shared" si="14"/>
        <v>23007.175700536791</v>
      </c>
      <c r="L122">
        <f t="shared" si="19"/>
        <v>23007.175700536791</v>
      </c>
      <c r="M122" s="69">
        <f t="shared" si="20"/>
        <v>410.71701098770859</v>
      </c>
      <c r="N122" s="69">
        <f t="shared" si="21"/>
        <v>1.8672366524100719</v>
      </c>
      <c r="O122">
        <f>_xlfn.XLOOKUP(N122,CBIA!$A$3:$A$24,CBIA!$C$3:$C$24,,-1)</f>
        <v>0.42670000000000002</v>
      </c>
      <c r="P122" s="70">
        <f>_xlfn.XLOOKUP(N122,CBIA!$A$3:$A$24,CBIA!$D$3:$D$24,,-1)</f>
        <v>1.6150000000000001E-2</v>
      </c>
      <c r="Q122">
        <f t="shared" si="15"/>
        <v>2392</v>
      </c>
      <c r="R122">
        <f t="shared" si="22"/>
        <v>23336.443780466401</v>
      </c>
      <c r="S122" s="77">
        <f t="shared" si="23"/>
        <v>1.0143115384615387</v>
      </c>
    </row>
    <row r="123" spans="1:19" ht="15.5" x14ac:dyDescent="0.35">
      <c r="A123" s="3" t="s">
        <v>421</v>
      </c>
      <c r="B123" s="16" t="s">
        <v>2969</v>
      </c>
      <c r="C123" s="17" t="s">
        <v>1274</v>
      </c>
      <c r="D123" s="17" t="str">
        <f t="shared" si="16"/>
        <v>02/03/68</v>
      </c>
      <c r="E123" s="3" t="s">
        <v>3701</v>
      </c>
      <c r="F123" s="6">
        <v>11435.264000000001</v>
      </c>
      <c r="G123" s="68" t="str">
        <f t="shared" si="12"/>
        <v>86</v>
      </c>
      <c r="H123">
        <f t="shared" si="17"/>
        <v>54</v>
      </c>
      <c r="I123">
        <f t="shared" si="13"/>
        <v>11</v>
      </c>
      <c r="J123">
        <f t="shared" si="18"/>
        <v>159.70296380212622</v>
      </c>
      <c r="K123" s="69">
        <f t="shared" si="14"/>
        <v>21707.545165385</v>
      </c>
      <c r="L123">
        <f t="shared" si="19"/>
        <v>21707.545165385</v>
      </c>
      <c r="M123" s="69">
        <f t="shared" si="20"/>
        <v>354.79279644764813</v>
      </c>
      <c r="N123" s="69">
        <f t="shared" si="21"/>
        <v>2.0394575258884551</v>
      </c>
      <c r="O123">
        <f>_xlfn.XLOOKUP(N123,CBIA!$A$3:$A$24,CBIA!$C$3:$C$24,,-1)</f>
        <v>0.3765</v>
      </c>
      <c r="P123" s="70">
        <f>_xlfn.XLOOKUP(N123,CBIA!$A$3:$A$24,CBIA!$D$3:$D$24,,-1)</f>
        <v>1.7559999999999999E-2</v>
      </c>
      <c r="Q123">
        <f t="shared" si="15"/>
        <v>2444</v>
      </c>
      <c r="R123">
        <f t="shared" si="22"/>
        <v>22423.326420046073</v>
      </c>
      <c r="S123" s="77">
        <f t="shared" si="23"/>
        <v>1.0329738461538462</v>
      </c>
    </row>
    <row r="124" spans="1:19" ht="15.5" x14ac:dyDescent="0.35">
      <c r="A124" s="3" t="s">
        <v>423</v>
      </c>
      <c r="B124" s="16" t="s">
        <v>2971</v>
      </c>
      <c r="C124" s="17" t="s">
        <v>1276</v>
      </c>
      <c r="D124" s="17" t="str">
        <f t="shared" si="16"/>
        <v>19/03/70</v>
      </c>
      <c r="E124" s="3" t="s">
        <v>3702</v>
      </c>
      <c r="F124" s="6">
        <v>21461.488000000001</v>
      </c>
      <c r="G124" s="68" t="str">
        <f t="shared" si="12"/>
        <v>89</v>
      </c>
      <c r="H124">
        <f t="shared" si="17"/>
        <v>52</v>
      </c>
      <c r="I124">
        <f t="shared" si="13"/>
        <v>13</v>
      </c>
      <c r="J124">
        <f t="shared" si="18"/>
        <v>172.73472564837977</v>
      </c>
      <c r="K124" s="69">
        <f t="shared" si="14"/>
        <v>45775.814259977502</v>
      </c>
      <c r="L124">
        <f t="shared" si="19"/>
        <v>45775.814259977502</v>
      </c>
      <c r="M124" s="69">
        <f t="shared" si="20"/>
        <v>391.15905808353205</v>
      </c>
      <c r="N124" s="69">
        <f t="shared" si="21"/>
        <v>3.9008695920490117</v>
      </c>
      <c r="O124">
        <f>_xlfn.XLOOKUP(N124,CBIA!$A$3:$A$24,CBIA!$C$3:$C$24,,-1)</f>
        <v>0.20649999999999999</v>
      </c>
      <c r="P124" s="70">
        <f>_xlfn.XLOOKUP(N124,CBIA!$A$3:$A$24,CBIA!$D$3:$D$24,,-1)</f>
        <v>2.2349999999999998E-2</v>
      </c>
      <c r="Q124">
        <f t="shared" si="15"/>
        <v>2392</v>
      </c>
      <c r="R124">
        <f t="shared" si="22"/>
        <v>46677.421740074977</v>
      </c>
      <c r="S124" s="77">
        <f t="shared" si="23"/>
        <v>1.0196961538461538</v>
      </c>
    </row>
    <row r="125" spans="1:19" ht="15.5" x14ac:dyDescent="0.35">
      <c r="A125" s="3" t="s">
        <v>428</v>
      </c>
      <c r="B125" s="16" t="s">
        <v>2976</v>
      </c>
      <c r="C125" s="17" t="s">
        <v>1281</v>
      </c>
      <c r="D125" s="17" t="str">
        <f t="shared" si="16"/>
        <v>09/10/68</v>
      </c>
      <c r="E125" s="3" t="s">
        <v>3704</v>
      </c>
      <c r="F125" s="6">
        <v>69151.792000000001</v>
      </c>
      <c r="G125" s="68" t="str">
        <f t="shared" si="12"/>
        <v>89</v>
      </c>
      <c r="H125">
        <f t="shared" si="17"/>
        <v>54</v>
      </c>
      <c r="I125">
        <f t="shared" si="13"/>
        <v>11</v>
      </c>
      <c r="J125">
        <f t="shared" si="18"/>
        <v>159.70296380212622</v>
      </c>
      <c r="K125" s="69">
        <f t="shared" si="14"/>
        <v>131270.74705991126</v>
      </c>
      <c r="L125">
        <f t="shared" si="19"/>
        <v>121374.25248961592</v>
      </c>
      <c r="M125" s="69">
        <f t="shared" si="20"/>
        <v>354.79279644764813</v>
      </c>
      <c r="N125" s="69">
        <f t="shared" si="21"/>
        <v>11.403299212467283</v>
      </c>
      <c r="O125">
        <f>_xlfn.XLOOKUP(N125,CBIA!$A$3:$A$24,CBIA!$C$3:$C$24,,-1)</f>
        <v>0.13</v>
      </c>
      <c r="P125" s="70">
        <f>_xlfn.XLOOKUP(N125,CBIA!$A$3:$A$24,CBIA!$D$3:$D$24,,-1)</f>
        <v>2.4500000000000001E-2</v>
      </c>
      <c r="Q125">
        <f t="shared" si="15"/>
        <v>2288</v>
      </c>
      <c r="R125">
        <f t="shared" si="22"/>
        <v>118027.12406519076</v>
      </c>
      <c r="S125" s="77">
        <f t="shared" si="23"/>
        <v>0.89911215338268635</v>
      </c>
    </row>
    <row r="126" spans="1:19" ht="15.5" x14ac:dyDescent="0.35">
      <c r="A126" s="3" t="s">
        <v>432</v>
      </c>
      <c r="B126" s="16" t="s">
        <v>2980</v>
      </c>
      <c r="C126" s="17" t="s">
        <v>1285</v>
      </c>
      <c r="D126" s="17" t="str">
        <f t="shared" si="16"/>
        <v>27/03/65</v>
      </c>
      <c r="E126" s="3" t="s">
        <v>3706</v>
      </c>
      <c r="F126" s="6">
        <v>5632.2079999999996</v>
      </c>
      <c r="G126" s="68" t="str">
        <f t="shared" si="12"/>
        <v>89</v>
      </c>
      <c r="H126">
        <f t="shared" si="17"/>
        <v>57</v>
      </c>
      <c r="I126">
        <f t="shared" si="13"/>
        <v>8</v>
      </c>
      <c r="J126">
        <f t="shared" si="18"/>
        <v>141.97535328904314</v>
      </c>
      <c r="K126" s="69">
        <f t="shared" si="14"/>
        <v>8976.883876157206</v>
      </c>
      <c r="L126">
        <f t="shared" si="19"/>
        <v>8976.883876157206</v>
      </c>
      <c r="M126" s="69">
        <f t="shared" si="20"/>
        <v>306.48335725960311</v>
      </c>
      <c r="N126" s="69">
        <f t="shared" si="21"/>
        <v>0.97633184788273764</v>
      </c>
      <c r="O126">
        <f>_xlfn.XLOOKUP(N126,CBIA!$A$3:$A$24,CBIA!$C$3:$C$24,,-1)</f>
        <v>0.8</v>
      </c>
      <c r="P126" s="70">
        <f>_xlfn.XLOOKUP(N126,CBIA!$A$3:$A$24,CBIA!$D$3:$D$24,,-1)</f>
        <v>5.6299999999999996E-3</v>
      </c>
      <c r="Q126">
        <f t="shared" si="15"/>
        <v>2132</v>
      </c>
      <c r="R126">
        <f t="shared" si="22"/>
        <v>8767.6810500710071</v>
      </c>
      <c r="S126" s="77">
        <f t="shared" si="23"/>
        <v>0.97669538461538463</v>
      </c>
    </row>
    <row r="127" spans="1:19" ht="15.5" x14ac:dyDescent="0.35">
      <c r="A127" s="3" t="s">
        <v>441</v>
      </c>
      <c r="B127" s="16" t="s">
        <v>2989</v>
      </c>
      <c r="C127" s="17" t="s">
        <v>1294</v>
      </c>
      <c r="D127" s="17" t="str">
        <f t="shared" si="16"/>
        <v>21/01/73</v>
      </c>
      <c r="E127" s="3" t="s">
        <v>3713</v>
      </c>
      <c r="F127" s="6">
        <v>17592.175999999999</v>
      </c>
      <c r="G127" s="68" t="str">
        <f t="shared" si="12"/>
        <v>95</v>
      </c>
      <c r="H127">
        <f t="shared" si="17"/>
        <v>49</v>
      </c>
      <c r="I127">
        <f t="shared" si="13"/>
        <v>16</v>
      </c>
      <c r="J127">
        <f t="shared" si="18"/>
        <v>194.30307443173908</v>
      </c>
      <c r="K127" s="69">
        <f t="shared" si="14"/>
        <v>44690.313938886866</v>
      </c>
      <c r="L127">
        <f t="shared" si="19"/>
        <v>44690.313938886866</v>
      </c>
      <c r="M127" s="69">
        <f t="shared" si="20"/>
        <v>452.8155046139488</v>
      </c>
      <c r="N127" s="69">
        <f t="shared" si="21"/>
        <v>3.2898103446485654</v>
      </c>
      <c r="O127">
        <f>_xlfn.XLOOKUP(N127,CBIA!$A$3:$A$24,CBIA!$C$3:$C$24,,-1)</f>
        <v>0.23699999999999999</v>
      </c>
      <c r="P127" s="70">
        <f>_xlfn.XLOOKUP(N127,CBIA!$A$3:$A$24,CBIA!$D$3:$D$24,,-1)</f>
        <v>2.1489999999999999E-2</v>
      </c>
      <c r="Q127">
        <f t="shared" si="15"/>
        <v>2236</v>
      </c>
      <c r="R127">
        <f t="shared" si="22"/>
        <v>42654.016972843769</v>
      </c>
      <c r="S127" s="77">
        <f t="shared" si="23"/>
        <v>0.95443538461538457</v>
      </c>
    </row>
    <row r="128" spans="1:19" ht="15.5" x14ac:dyDescent="0.35">
      <c r="A128" s="3" t="s">
        <v>445</v>
      </c>
      <c r="B128" s="16" t="s">
        <v>2993</v>
      </c>
      <c r="C128" s="17" t="s">
        <v>1298</v>
      </c>
      <c r="D128" s="17" t="str">
        <f t="shared" si="16"/>
        <v>08/12/64</v>
      </c>
      <c r="E128" s="3" t="s">
        <v>3716</v>
      </c>
      <c r="F128" s="6">
        <v>5632.2079999999996</v>
      </c>
      <c r="G128" s="68" t="str">
        <f t="shared" si="12"/>
        <v>87</v>
      </c>
      <c r="H128">
        <f t="shared" si="17"/>
        <v>58</v>
      </c>
      <c r="I128">
        <f t="shared" si="13"/>
        <v>7</v>
      </c>
      <c r="J128">
        <f t="shared" si="18"/>
        <v>136.51476277792605</v>
      </c>
      <c r="K128" s="69">
        <f t="shared" si="14"/>
        <v>8468.7583737332134</v>
      </c>
      <c r="L128">
        <f t="shared" si="19"/>
        <v>8468.7583737332134</v>
      </c>
      <c r="M128" s="69">
        <f t="shared" si="20"/>
        <v>291.88891167581255</v>
      </c>
      <c r="N128" s="69">
        <f t="shared" si="21"/>
        <v>0.96712117007252285</v>
      </c>
      <c r="O128">
        <f>_xlfn.XLOOKUP(N128,CBIA!$A$3:$A$24,CBIA!$C$3:$C$24,,-1)</f>
        <v>0.8</v>
      </c>
      <c r="P128" s="70">
        <f>_xlfn.XLOOKUP(N128,CBIA!$A$3:$A$24,CBIA!$D$3:$D$24,,-1)</f>
        <v>5.6299999999999996E-3</v>
      </c>
      <c r="Q128">
        <f t="shared" si="15"/>
        <v>2184</v>
      </c>
      <c r="R128">
        <f t="shared" si="22"/>
        <v>8319.0763266922386</v>
      </c>
      <c r="S128" s="77">
        <f t="shared" si="23"/>
        <v>0.98232538461538466</v>
      </c>
    </row>
    <row r="129" spans="1:19" ht="15.5" x14ac:dyDescent="0.35">
      <c r="A129" s="3" t="s">
        <v>446</v>
      </c>
      <c r="B129" s="16" t="s">
        <v>2994</v>
      </c>
      <c r="C129" s="17" t="s">
        <v>1299</v>
      </c>
      <c r="D129" s="17" t="str">
        <f t="shared" si="16"/>
        <v>30/05/69</v>
      </c>
      <c r="E129" s="3" t="s">
        <v>3717</v>
      </c>
      <c r="F129" s="6">
        <v>22229.088</v>
      </c>
      <c r="G129" s="68" t="str">
        <f t="shared" si="12"/>
        <v>93</v>
      </c>
      <c r="H129">
        <f t="shared" si="17"/>
        <v>53</v>
      </c>
      <c r="I129">
        <f t="shared" si="13"/>
        <v>12</v>
      </c>
      <c r="J129">
        <f t="shared" si="18"/>
        <v>166.0910823542113</v>
      </c>
      <c r="K129" s="69">
        <f t="shared" si="14"/>
        <v>44729.292445722</v>
      </c>
      <c r="L129">
        <f t="shared" si="19"/>
        <v>44729.292445722</v>
      </c>
      <c r="M129" s="69">
        <f t="shared" si="20"/>
        <v>372.53243627003047</v>
      </c>
      <c r="N129" s="69">
        <f t="shared" si="21"/>
        <v>4.0022727410953935</v>
      </c>
      <c r="O129">
        <f>_xlfn.XLOOKUP(N129,CBIA!$A$3:$A$24,CBIA!$C$3:$C$24,,-1)</f>
        <v>0.20649999999999999</v>
      </c>
      <c r="P129" s="70">
        <f>_xlfn.XLOOKUP(N129,CBIA!$A$3:$A$24,CBIA!$D$3:$D$24,,-1)</f>
        <v>2.2349999999999998E-2</v>
      </c>
      <c r="Q129">
        <f t="shared" si="15"/>
        <v>2132</v>
      </c>
      <c r="R129">
        <f t="shared" si="22"/>
        <v>40611.789040353106</v>
      </c>
      <c r="S129" s="77">
        <f t="shared" si="23"/>
        <v>0.90794615384615363</v>
      </c>
    </row>
    <row r="130" spans="1:19" ht="15.5" x14ac:dyDescent="0.35">
      <c r="A130" s="3" t="s">
        <v>448</v>
      </c>
      <c r="B130" s="16" t="s">
        <v>2996</v>
      </c>
      <c r="C130" s="17" t="s">
        <v>1301</v>
      </c>
      <c r="D130" s="17" t="str">
        <f t="shared" si="16"/>
        <v>17/01/64</v>
      </c>
      <c r="E130" s="3" t="s">
        <v>3719</v>
      </c>
      <c r="F130" s="6">
        <v>5632.2079999999996</v>
      </c>
      <c r="G130" s="68" t="str">
        <f t="shared" ref="G130:G193" si="24">MID(B130,3,2)</f>
        <v>95</v>
      </c>
      <c r="H130">
        <f t="shared" si="17"/>
        <v>58</v>
      </c>
      <c r="I130">
        <f t="shared" ref="I130:I193" si="25">65-H130</f>
        <v>7</v>
      </c>
      <c r="J130">
        <f t="shared" si="18"/>
        <v>136.51476277792605</v>
      </c>
      <c r="K130" s="69">
        <f t="shared" ref="K130:K193" si="26">F130*(1+0.06)^I130</f>
        <v>8468.7583737332134</v>
      </c>
      <c r="L130">
        <f t="shared" si="19"/>
        <v>8468.7583737332134</v>
      </c>
      <c r="M130" s="69">
        <f t="shared" si="20"/>
        <v>291.88891167581255</v>
      </c>
      <c r="N130" s="69">
        <f t="shared" si="21"/>
        <v>0.96712117007252285</v>
      </c>
      <c r="O130">
        <f>_xlfn.XLOOKUP(N130,CBIA!$A$3:$A$24,CBIA!$C$3:$C$24,,-1)</f>
        <v>0.8</v>
      </c>
      <c r="P130" s="70">
        <f>_xlfn.XLOOKUP(N130,CBIA!$A$3:$A$24,CBIA!$D$3:$D$24,,-1)</f>
        <v>5.6299999999999996E-3</v>
      </c>
      <c r="Q130">
        <f t="shared" ref="Q130:Q193" si="27">(122-G130+I130)*52</f>
        <v>1768</v>
      </c>
      <c r="R130">
        <f t="shared" si="22"/>
        <v>7937.6434495392941</v>
      </c>
      <c r="S130" s="77">
        <f t="shared" si="23"/>
        <v>0.93728538461538458</v>
      </c>
    </row>
    <row r="131" spans="1:19" ht="15.5" x14ac:dyDescent="0.35">
      <c r="A131" s="3" t="s">
        <v>451</v>
      </c>
      <c r="B131" s="16" t="s">
        <v>2999</v>
      </c>
      <c r="C131" s="17" t="s">
        <v>1304</v>
      </c>
      <c r="D131" s="17" t="str">
        <f t="shared" ref="D131:D194" si="28">_xlfn.CONCAT(MID(C131,5,2),"/",MID(C131,3,2),"/",MID(C131,1,2))</f>
        <v>12/08/66</v>
      </c>
      <c r="E131" s="3" t="s">
        <v>3720</v>
      </c>
      <c r="F131" s="6">
        <v>16453.696</v>
      </c>
      <c r="G131" s="68" t="str">
        <f t="shared" si="24"/>
        <v>90</v>
      </c>
      <c r="H131">
        <f t="shared" ref="H131:H194" si="29">2022-YEAR(D131)</f>
        <v>56</v>
      </c>
      <c r="I131">
        <f t="shared" si="25"/>
        <v>9</v>
      </c>
      <c r="J131">
        <f t="shared" ref="J131:J194" si="30">103.74*(1+0.04)^I131</f>
        <v>147.65436742060487</v>
      </c>
      <c r="K131" s="69">
        <f t="shared" si="26"/>
        <v>27798.173189826772</v>
      </c>
      <c r="L131">
        <f t="shared" ref="L131:L194" si="31">MIN(K131,25*J131*30.4)</f>
        <v>27798.173189826772</v>
      </c>
      <c r="M131" s="69">
        <f t="shared" ref="M131:M194" si="32">207.44*(1+0.05)^I131</f>
        <v>321.80752512258329</v>
      </c>
      <c r="N131" s="69">
        <f t="shared" ref="N131:N194" si="33">L131/(M131*30)</f>
        <v>2.8793788232306317</v>
      </c>
      <c r="O131">
        <f>_xlfn.XLOOKUP(N131,CBIA!$A$3:$A$24,CBIA!$C$3:$C$24,,-1)</f>
        <v>0.27829999999999999</v>
      </c>
      <c r="P131" s="70">
        <f>_xlfn.XLOOKUP(N131,CBIA!$A$3:$A$24,CBIA!$D$3:$D$24,,-1)</f>
        <v>2.0330000000000001E-2</v>
      </c>
      <c r="Q131">
        <f t="shared" si="27"/>
        <v>2132</v>
      </c>
      <c r="R131">
        <f t="shared" ref="R131:R194" si="34">L131*(O131+P131*((Q131-500)/52))</f>
        <v>25472.834619287616</v>
      </c>
      <c r="S131" s="77">
        <f t="shared" ref="S131:S194" si="35">R131/K131</f>
        <v>0.9163492307692308</v>
      </c>
    </row>
    <row r="132" spans="1:19" ht="15.5" x14ac:dyDescent="0.35">
      <c r="A132" s="3" t="s">
        <v>456</v>
      </c>
      <c r="B132" s="16" t="s">
        <v>3004</v>
      </c>
      <c r="C132" s="17" t="s">
        <v>1309</v>
      </c>
      <c r="D132" s="17" t="str">
        <f t="shared" si="28"/>
        <v>01/04/71</v>
      </c>
      <c r="E132" s="3" t="s">
        <v>3722</v>
      </c>
      <c r="F132" s="6">
        <v>9238.8639999999996</v>
      </c>
      <c r="G132" s="68" t="str">
        <f t="shared" si="24"/>
        <v>90</v>
      </c>
      <c r="H132">
        <f t="shared" si="29"/>
        <v>51</v>
      </c>
      <c r="I132">
        <f t="shared" si="25"/>
        <v>14</v>
      </c>
      <c r="J132">
        <f t="shared" si="30"/>
        <v>179.64411467431495</v>
      </c>
      <c r="K132" s="69">
        <f t="shared" si="26"/>
        <v>20888.184164277161</v>
      </c>
      <c r="L132">
        <f t="shared" si="31"/>
        <v>20888.184164277161</v>
      </c>
      <c r="M132" s="69">
        <f t="shared" si="32"/>
        <v>410.71701098770859</v>
      </c>
      <c r="N132" s="69">
        <f t="shared" si="33"/>
        <v>1.695261668859249</v>
      </c>
      <c r="O132">
        <f>_xlfn.XLOOKUP(N132,CBIA!$A$3:$A$24,CBIA!$C$3:$C$24,,-1)</f>
        <v>0.49229999999999996</v>
      </c>
      <c r="P132" s="70">
        <f>_xlfn.XLOOKUP(N132,CBIA!$A$3:$A$24,CBIA!$D$3:$D$24,,-1)</f>
        <v>1.43E-2</v>
      </c>
      <c r="Q132">
        <f t="shared" si="27"/>
        <v>2392</v>
      </c>
      <c r="R132">
        <f t="shared" si="34"/>
        <v>21151.375284747053</v>
      </c>
      <c r="S132" s="77">
        <f t="shared" si="35"/>
        <v>1.0125999999999999</v>
      </c>
    </row>
    <row r="133" spans="1:19" ht="15.5" x14ac:dyDescent="0.35">
      <c r="A133" s="3" t="s">
        <v>458</v>
      </c>
      <c r="B133" s="16" t="s">
        <v>3006</v>
      </c>
      <c r="C133" s="17" t="s">
        <v>1311</v>
      </c>
      <c r="D133" s="17" t="str">
        <f t="shared" si="28"/>
        <v>14/11/67</v>
      </c>
      <c r="E133" s="3" t="s">
        <v>3724</v>
      </c>
      <c r="F133" s="6">
        <v>5632.2079999999996</v>
      </c>
      <c r="G133" s="68" t="str">
        <f t="shared" si="24"/>
        <v>88</v>
      </c>
      <c r="H133">
        <f t="shared" si="29"/>
        <v>55</v>
      </c>
      <c r="I133">
        <f t="shared" si="25"/>
        <v>10</v>
      </c>
      <c r="J133">
        <f t="shared" si="30"/>
        <v>153.56054211742907</v>
      </c>
      <c r="K133" s="69">
        <f t="shared" si="26"/>
        <v>10086.426723250237</v>
      </c>
      <c r="L133">
        <f t="shared" si="31"/>
        <v>10086.426723250237</v>
      </c>
      <c r="M133" s="69">
        <f t="shared" si="32"/>
        <v>337.89790137871245</v>
      </c>
      <c r="N133" s="69">
        <f t="shared" si="33"/>
        <v>0.99501720116194448</v>
      </c>
      <c r="O133">
        <f>_xlfn.XLOOKUP(N133,CBIA!$A$3:$A$24,CBIA!$C$3:$C$24,,-1)</f>
        <v>0.8</v>
      </c>
      <c r="P133" s="70">
        <f>_xlfn.XLOOKUP(N133,CBIA!$A$3:$A$24,CBIA!$D$3:$D$24,,-1)</f>
        <v>5.6299999999999996E-3</v>
      </c>
      <c r="Q133">
        <f t="shared" si="27"/>
        <v>2288</v>
      </c>
      <c r="R133">
        <f t="shared" si="34"/>
        <v>10021.726175215481</v>
      </c>
      <c r="S133" s="77">
        <f t="shared" si="35"/>
        <v>0.9935853846153847</v>
      </c>
    </row>
    <row r="134" spans="1:19" ht="15.5" x14ac:dyDescent="0.35">
      <c r="A134" s="3" t="s">
        <v>459</v>
      </c>
      <c r="B134" s="16" t="s">
        <v>3007</v>
      </c>
      <c r="C134" s="17" t="s">
        <v>1312</v>
      </c>
      <c r="D134" s="17" t="str">
        <f t="shared" si="28"/>
        <v>15/08/77</v>
      </c>
      <c r="E134" s="3" t="s">
        <v>3725</v>
      </c>
      <c r="F134" s="6">
        <v>8326.56</v>
      </c>
      <c r="G134" s="68" t="str">
        <f t="shared" si="24"/>
        <v>92</v>
      </c>
      <c r="H134">
        <f t="shared" si="29"/>
        <v>45</v>
      </c>
      <c r="I134">
        <f t="shared" si="25"/>
        <v>20</v>
      </c>
      <c r="J134">
        <f t="shared" si="30"/>
        <v>227.30711485828712</v>
      </c>
      <c r="K134" s="69">
        <f t="shared" si="26"/>
        <v>26704.405937508611</v>
      </c>
      <c r="L134">
        <f t="shared" si="31"/>
        <v>26704.405937508611</v>
      </c>
      <c r="M134" s="69">
        <f t="shared" si="32"/>
        <v>550.40007595515863</v>
      </c>
      <c r="N134" s="69">
        <f t="shared" si="33"/>
        <v>1.617272423225721</v>
      </c>
      <c r="O134">
        <f>_xlfn.XLOOKUP(N134,CBIA!$A$3:$A$24,CBIA!$C$3:$C$24,,-1)</f>
        <v>0.49229999999999996</v>
      </c>
      <c r="P134" s="70">
        <f>_xlfn.XLOOKUP(N134,CBIA!$A$3:$A$24,CBIA!$D$3:$D$24,,-1)</f>
        <v>1.43E-2</v>
      </c>
      <c r="Q134">
        <f t="shared" si="27"/>
        <v>2600</v>
      </c>
      <c r="R134">
        <f t="shared" si="34"/>
        <v>28568.373471946707</v>
      </c>
      <c r="S134" s="77">
        <f t="shared" si="35"/>
        <v>1.0697999999999999</v>
      </c>
    </row>
    <row r="135" spans="1:19" ht="15.5" x14ac:dyDescent="0.35">
      <c r="A135" s="3" t="s">
        <v>461</v>
      </c>
      <c r="B135" s="16" t="s">
        <v>3009</v>
      </c>
      <c r="C135" s="17" t="s">
        <v>1314</v>
      </c>
      <c r="D135" s="17" t="str">
        <f t="shared" si="28"/>
        <v>20/05/65</v>
      </c>
      <c r="E135" s="3" t="s">
        <v>3727</v>
      </c>
      <c r="F135" s="6">
        <v>20198.063999999998</v>
      </c>
      <c r="G135" s="68" t="str">
        <f t="shared" si="24"/>
        <v>86</v>
      </c>
      <c r="H135">
        <f t="shared" si="29"/>
        <v>57</v>
      </c>
      <c r="I135">
        <f t="shared" si="25"/>
        <v>8</v>
      </c>
      <c r="J135">
        <f t="shared" si="30"/>
        <v>141.97535328904314</v>
      </c>
      <c r="K135" s="69">
        <f t="shared" si="26"/>
        <v>32192.645415650721</v>
      </c>
      <c r="L135">
        <f t="shared" si="31"/>
        <v>32192.645415650721</v>
      </c>
      <c r="M135" s="69">
        <f t="shared" si="32"/>
        <v>306.48335725960311</v>
      </c>
      <c r="N135" s="69">
        <f t="shared" si="33"/>
        <v>3.5012934800656863</v>
      </c>
      <c r="O135">
        <f>_xlfn.XLOOKUP(N135,CBIA!$A$3:$A$24,CBIA!$C$3:$C$24,,-1)</f>
        <v>0.23699999999999999</v>
      </c>
      <c r="P135" s="70">
        <f>_xlfn.XLOOKUP(N135,CBIA!$A$3:$A$24,CBIA!$D$3:$D$24,,-1)</f>
        <v>2.1489999999999999E-2</v>
      </c>
      <c r="Q135">
        <f t="shared" si="27"/>
        <v>2288</v>
      </c>
      <c r="R135">
        <f t="shared" si="34"/>
        <v>31417.619859055627</v>
      </c>
      <c r="S135" s="77">
        <f t="shared" si="35"/>
        <v>0.97592538461538458</v>
      </c>
    </row>
    <row r="136" spans="1:19" ht="15.5" x14ac:dyDescent="0.35">
      <c r="A136" s="3" t="s">
        <v>462</v>
      </c>
      <c r="B136" s="16" t="s">
        <v>3010</v>
      </c>
      <c r="C136" s="17" t="s">
        <v>1315</v>
      </c>
      <c r="D136" s="17" t="str">
        <f t="shared" si="28"/>
        <v>21/09/70</v>
      </c>
      <c r="E136" s="3" t="s">
        <v>3728</v>
      </c>
      <c r="F136" s="6">
        <v>5891.52</v>
      </c>
      <c r="G136" s="68" t="str">
        <f t="shared" si="24"/>
        <v>90</v>
      </c>
      <c r="H136">
        <f t="shared" si="29"/>
        <v>52</v>
      </c>
      <c r="I136">
        <f t="shared" si="25"/>
        <v>13</v>
      </c>
      <c r="J136">
        <f t="shared" si="30"/>
        <v>172.73472564837977</v>
      </c>
      <c r="K136" s="69">
        <f t="shared" si="26"/>
        <v>12566.189503213507</v>
      </c>
      <c r="L136">
        <f t="shared" si="31"/>
        <v>12566.189503213507</v>
      </c>
      <c r="M136" s="69">
        <f t="shared" si="32"/>
        <v>391.15905808353205</v>
      </c>
      <c r="N136" s="69">
        <f t="shared" si="33"/>
        <v>1.0708507825248927</v>
      </c>
      <c r="O136">
        <f>_xlfn.XLOOKUP(N136,CBIA!$A$3:$A$24,CBIA!$C$3:$C$24,,-1)</f>
        <v>0.77110000000000001</v>
      </c>
      <c r="P136" s="70">
        <f>_xlfn.XLOOKUP(N136,CBIA!$A$3:$A$24,CBIA!$D$3:$D$24,,-1)</f>
        <v>8.1399999999999997E-3</v>
      </c>
      <c r="Q136">
        <f t="shared" si="27"/>
        <v>2340</v>
      </c>
      <c r="R136">
        <f t="shared" si="34"/>
        <v>13309.23795483814</v>
      </c>
      <c r="S136" s="77">
        <f t="shared" si="35"/>
        <v>1.0591307692307692</v>
      </c>
    </row>
    <row r="137" spans="1:19" ht="15.5" x14ac:dyDescent="0.35">
      <c r="A137" s="3" t="s">
        <v>472</v>
      </c>
      <c r="B137" s="16" t="s">
        <v>3020</v>
      </c>
      <c r="C137" s="17" t="s">
        <v>1325</v>
      </c>
      <c r="D137" s="17" t="str">
        <f t="shared" si="28"/>
        <v>15/06/71</v>
      </c>
      <c r="E137" s="3" t="s">
        <v>3734</v>
      </c>
      <c r="F137" s="6">
        <v>18133.903999999999</v>
      </c>
      <c r="G137" s="68" t="str">
        <f t="shared" si="24"/>
        <v>93</v>
      </c>
      <c r="H137">
        <f t="shared" si="29"/>
        <v>51</v>
      </c>
      <c r="I137">
        <f t="shared" si="25"/>
        <v>14</v>
      </c>
      <c r="J137">
        <f t="shared" si="30"/>
        <v>179.64411467431495</v>
      </c>
      <c r="K137" s="69">
        <f t="shared" si="26"/>
        <v>40999.015286871007</v>
      </c>
      <c r="L137">
        <f t="shared" si="31"/>
        <v>40999.015286871007</v>
      </c>
      <c r="M137" s="69">
        <f t="shared" si="32"/>
        <v>410.71701098770859</v>
      </c>
      <c r="N137" s="69">
        <f t="shared" si="33"/>
        <v>3.3274342341194121</v>
      </c>
      <c r="O137">
        <f>_xlfn.XLOOKUP(N137,CBIA!$A$3:$A$24,CBIA!$C$3:$C$24,,-1)</f>
        <v>0.23699999999999999</v>
      </c>
      <c r="P137" s="70">
        <f>_xlfn.XLOOKUP(N137,CBIA!$A$3:$A$24,CBIA!$D$3:$D$24,,-1)</f>
        <v>2.1489999999999999E-2</v>
      </c>
      <c r="Q137">
        <f t="shared" si="27"/>
        <v>2236</v>
      </c>
      <c r="R137">
        <f t="shared" si="34"/>
        <v>39130.910924176758</v>
      </c>
      <c r="S137" s="77">
        <f t="shared" si="35"/>
        <v>0.95443538461538446</v>
      </c>
    </row>
    <row r="138" spans="1:19" ht="15.5" x14ac:dyDescent="0.35">
      <c r="A138" s="3" t="s">
        <v>3735</v>
      </c>
      <c r="B138" s="16" t="s">
        <v>3736</v>
      </c>
      <c r="C138" s="17" t="s">
        <v>3738</v>
      </c>
      <c r="D138" s="17" t="str">
        <f t="shared" si="28"/>
        <v>20/09/74</v>
      </c>
      <c r="E138" s="3" t="s">
        <v>3739</v>
      </c>
      <c r="F138" s="6">
        <v>24573.232</v>
      </c>
      <c r="G138" s="68" t="str">
        <f t="shared" si="24"/>
        <v>92</v>
      </c>
      <c r="H138">
        <f t="shared" si="29"/>
        <v>48</v>
      </c>
      <c r="I138">
        <f t="shared" si="25"/>
        <v>17</v>
      </c>
      <c r="J138">
        <f t="shared" si="30"/>
        <v>202.07519740900864</v>
      </c>
      <c r="K138" s="69">
        <f t="shared" si="26"/>
        <v>66170.130387934216</v>
      </c>
      <c r="L138">
        <f t="shared" si="31"/>
        <v>66170.130387934216</v>
      </c>
      <c r="M138" s="69">
        <f t="shared" si="32"/>
        <v>475.4562798446463</v>
      </c>
      <c r="N138" s="69">
        <f t="shared" si="33"/>
        <v>4.6390616896506991</v>
      </c>
      <c r="O138">
        <f>_xlfn.XLOOKUP(N138,CBIA!$A$3:$A$24,CBIA!$C$3:$C$24,,-1)</f>
        <v>0.17300000000000001</v>
      </c>
      <c r="P138" s="70">
        <f>_xlfn.XLOOKUP(N138,CBIA!$A$3:$A$24,CBIA!$D$3:$D$24,,-1)</f>
        <v>2.3300000000000001E-2</v>
      </c>
      <c r="Q138">
        <f t="shared" si="27"/>
        <v>2444</v>
      </c>
      <c r="R138">
        <f t="shared" si="34"/>
        <v>69085.688133027201</v>
      </c>
      <c r="S138" s="77">
        <f t="shared" si="35"/>
        <v>1.0440615384615386</v>
      </c>
    </row>
    <row r="139" spans="1:19" ht="15.5" x14ac:dyDescent="0.35">
      <c r="A139" s="3" t="s">
        <v>475</v>
      </c>
      <c r="B139" s="16" t="s">
        <v>3023</v>
      </c>
      <c r="C139" s="17" t="s">
        <v>1328</v>
      </c>
      <c r="D139" s="17" t="str">
        <f t="shared" si="28"/>
        <v>08/12/78</v>
      </c>
      <c r="E139" s="3" t="s">
        <v>3740</v>
      </c>
      <c r="F139" s="6">
        <v>22559.232</v>
      </c>
      <c r="G139" s="68" t="str">
        <f t="shared" si="24"/>
        <v>97</v>
      </c>
      <c r="H139">
        <f t="shared" si="29"/>
        <v>44</v>
      </c>
      <c r="I139">
        <f t="shared" si="25"/>
        <v>21</v>
      </c>
      <c r="J139">
        <f t="shared" si="30"/>
        <v>236.39939945261867</v>
      </c>
      <c r="K139" s="69">
        <f t="shared" si="26"/>
        <v>76691.543963463962</v>
      </c>
      <c r="L139">
        <f t="shared" si="31"/>
        <v>76691.543963463962</v>
      </c>
      <c r="M139" s="69">
        <f t="shared" si="32"/>
        <v>577.92007975291654</v>
      </c>
      <c r="N139" s="69">
        <f t="shared" si="33"/>
        <v>4.4234226986456093</v>
      </c>
      <c r="O139">
        <f>_xlfn.XLOOKUP(N139,CBIA!$A$3:$A$24,CBIA!$C$3:$C$24,,-1)</f>
        <v>0.18289999999999998</v>
      </c>
      <c r="P139" s="70">
        <f>_xlfn.XLOOKUP(N139,CBIA!$A$3:$A$24,CBIA!$D$3:$D$24,,-1)</f>
        <v>2.3019999999999999E-2</v>
      </c>
      <c r="Q139">
        <f t="shared" si="27"/>
        <v>2392</v>
      </c>
      <c r="R139">
        <f t="shared" si="34"/>
        <v>78261.714835872845</v>
      </c>
      <c r="S139" s="77">
        <f t="shared" si="35"/>
        <v>1.0204738461538461</v>
      </c>
    </row>
    <row r="140" spans="1:19" ht="15.5" x14ac:dyDescent="0.35">
      <c r="A140" s="3" t="s">
        <v>476</v>
      </c>
      <c r="B140" s="16" t="s">
        <v>3024</v>
      </c>
      <c r="C140" s="17" t="s">
        <v>1329</v>
      </c>
      <c r="D140" s="17" t="str">
        <f t="shared" si="28"/>
        <v>14/07/65</v>
      </c>
      <c r="E140" s="3" t="s">
        <v>3740</v>
      </c>
      <c r="F140" s="6">
        <v>26770.239999999998</v>
      </c>
      <c r="G140" s="68" t="str">
        <f t="shared" si="24"/>
        <v>91</v>
      </c>
      <c r="H140">
        <f t="shared" si="29"/>
        <v>57</v>
      </c>
      <c r="I140">
        <f t="shared" si="25"/>
        <v>8</v>
      </c>
      <c r="J140">
        <f t="shared" si="30"/>
        <v>141.97535328904314</v>
      </c>
      <c r="K140" s="69">
        <f t="shared" si="26"/>
        <v>42667.695478728536</v>
      </c>
      <c r="L140">
        <f t="shared" si="31"/>
        <v>42667.695478728536</v>
      </c>
      <c r="M140" s="69">
        <f t="shared" si="32"/>
        <v>306.48335725960311</v>
      </c>
      <c r="N140" s="69">
        <f t="shared" si="33"/>
        <v>4.6405668766963828</v>
      </c>
      <c r="O140">
        <f>_xlfn.XLOOKUP(N140,CBIA!$A$3:$A$24,CBIA!$C$3:$C$24,,-1)</f>
        <v>0.17300000000000001</v>
      </c>
      <c r="P140" s="70">
        <f>_xlfn.XLOOKUP(N140,CBIA!$A$3:$A$24,CBIA!$D$3:$D$24,,-1)</f>
        <v>2.3300000000000001E-2</v>
      </c>
      <c r="Q140">
        <f t="shared" si="27"/>
        <v>2028</v>
      </c>
      <c r="R140">
        <f t="shared" si="34"/>
        <v>36594.441346894746</v>
      </c>
      <c r="S140" s="77">
        <f t="shared" si="35"/>
        <v>0.85766153846153848</v>
      </c>
    </row>
    <row r="141" spans="1:19" ht="15.5" x14ac:dyDescent="0.35">
      <c r="A141" s="3" t="s">
        <v>3743</v>
      </c>
      <c r="B141" s="16" t="s">
        <v>3744</v>
      </c>
      <c r="C141" s="17" t="s">
        <v>3746</v>
      </c>
      <c r="D141" s="17" t="str">
        <f t="shared" si="28"/>
        <v>03/07/76</v>
      </c>
      <c r="E141" s="3" t="s">
        <v>3747</v>
      </c>
      <c r="F141" s="6">
        <v>5827.0720000000001</v>
      </c>
      <c r="G141" s="68" t="str">
        <f t="shared" si="24"/>
        <v>93</v>
      </c>
      <c r="H141">
        <f t="shared" si="29"/>
        <v>46</v>
      </c>
      <c r="I141">
        <f t="shared" si="25"/>
        <v>19</v>
      </c>
      <c r="J141">
        <f t="shared" si="30"/>
        <v>218.56453351758375</v>
      </c>
      <c r="K141" s="69">
        <f t="shared" si="26"/>
        <v>17630.386141828552</v>
      </c>
      <c r="L141">
        <f t="shared" si="31"/>
        <v>17630.386141828552</v>
      </c>
      <c r="M141" s="69">
        <f t="shared" si="32"/>
        <v>524.1905485287225</v>
      </c>
      <c r="N141" s="69">
        <f t="shared" si="33"/>
        <v>1.1211181500895575</v>
      </c>
      <c r="O141">
        <f>_xlfn.XLOOKUP(N141,CBIA!$A$3:$A$24,CBIA!$C$3:$C$24,,-1)</f>
        <v>0.77110000000000001</v>
      </c>
      <c r="P141" s="70">
        <f>_xlfn.XLOOKUP(N141,CBIA!$A$3:$A$24,CBIA!$D$3:$D$24,,-1)</f>
        <v>8.1399999999999997E-3</v>
      </c>
      <c r="Q141">
        <f t="shared" si="27"/>
        <v>2496</v>
      </c>
      <c r="R141">
        <f t="shared" si="34"/>
        <v>19103.418465813822</v>
      </c>
      <c r="S141" s="77">
        <f t="shared" si="35"/>
        <v>1.0835507692307693</v>
      </c>
    </row>
    <row r="142" spans="1:19" ht="15.5" x14ac:dyDescent="0.35">
      <c r="A142" s="3" t="s">
        <v>489</v>
      </c>
      <c r="B142" s="16" t="s">
        <v>3037</v>
      </c>
      <c r="C142" s="17" t="s">
        <v>1342</v>
      </c>
      <c r="D142" s="17" t="str">
        <f t="shared" si="28"/>
        <v>17/03/68</v>
      </c>
      <c r="E142" s="3" t="s">
        <v>3751</v>
      </c>
      <c r="F142" s="6">
        <v>148845.64079765332</v>
      </c>
      <c r="G142" s="68" t="str">
        <f t="shared" si="24"/>
        <v>89</v>
      </c>
      <c r="H142">
        <f t="shared" si="29"/>
        <v>54</v>
      </c>
      <c r="I142">
        <f t="shared" si="25"/>
        <v>11</v>
      </c>
      <c r="J142">
        <f t="shared" si="30"/>
        <v>159.70296380212622</v>
      </c>
      <c r="K142" s="69">
        <f t="shared" si="26"/>
        <v>282553.46534069802</v>
      </c>
      <c r="L142">
        <f t="shared" si="31"/>
        <v>121374.25248961592</v>
      </c>
      <c r="M142" s="69">
        <f t="shared" si="32"/>
        <v>354.79279644764813</v>
      </c>
      <c r="N142" s="69">
        <f t="shared" si="33"/>
        <v>11.403299212467283</v>
      </c>
      <c r="O142">
        <f>_xlfn.XLOOKUP(N142,CBIA!$A$3:$A$24,CBIA!$C$3:$C$24,,-1)</f>
        <v>0.13</v>
      </c>
      <c r="P142" s="70">
        <f>_xlfn.XLOOKUP(N142,CBIA!$A$3:$A$24,CBIA!$D$3:$D$24,,-1)</f>
        <v>2.4500000000000001E-2</v>
      </c>
      <c r="Q142">
        <f t="shared" si="27"/>
        <v>2288</v>
      </c>
      <c r="R142">
        <f t="shared" si="34"/>
        <v>118027.12406519076</v>
      </c>
      <c r="S142" s="77">
        <f t="shared" si="35"/>
        <v>0.41771607339119243</v>
      </c>
    </row>
    <row r="143" spans="1:19" ht="15.5" x14ac:dyDescent="0.35">
      <c r="A143" s="3" t="s">
        <v>492</v>
      </c>
      <c r="B143" s="16" t="s">
        <v>3040</v>
      </c>
      <c r="C143" s="17" t="s">
        <v>1344</v>
      </c>
      <c r="D143" s="17" t="str">
        <f t="shared" si="28"/>
        <v>17/12/72</v>
      </c>
      <c r="E143" s="3" t="s">
        <v>3753</v>
      </c>
      <c r="F143" s="6">
        <v>5632.2079999999996</v>
      </c>
      <c r="G143" s="68" t="str">
        <f t="shared" si="24"/>
        <v>90</v>
      </c>
      <c r="H143">
        <f t="shared" si="29"/>
        <v>50</v>
      </c>
      <c r="I143">
        <f t="shared" si="25"/>
        <v>15</v>
      </c>
      <c r="J143">
        <f t="shared" si="30"/>
        <v>186.82987926128754</v>
      </c>
      <c r="K143" s="69">
        <f t="shared" si="26"/>
        <v>13497.914227641631</v>
      </c>
      <c r="L143">
        <f t="shared" si="31"/>
        <v>13497.914227641631</v>
      </c>
      <c r="M143" s="69">
        <f t="shared" si="32"/>
        <v>431.25286153709413</v>
      </c>
      <c r="N143" s="69">
        <f t="shared" si="33"/>
        <v>1.0433101189196872</v>
      </c>
      <c r="O143">
        <f>_xlfn.XLOOKUP(N143,CBIA!$A$3:$A$24,CBIA!$C$3:$C$24,,-1)</f>
        <v>0.77110000000000001</v>
      </c>
      <c r="P143" s="70">
        <f>_xlfn.XLOOKUP(N143,CBIA!$A$3:$A$24,CBIA!$D$3:$D$24,,-1)</f>
        <v>8.1399999999999997E-3</v>
      </c>
      <c r="Q143">
        <f t="shared" si="27"/>
        <v>2444</v>
      </c>
      <c r="R143">
        <f t="shared" si="34"/>
        <v>14515.802322559031</v>
      </c>
      <c r="S143" s="77">
        <f t="shared" si="35"/>
        <v>1.0754107692307693</v>
      </c>
    </row>
    <row r="144" spans="1:19" ht="15.5" x14ac:dyDescent="0.35">
      <c r="A144" s="3" t="s">
        <v>505</v>
      </c>
      <c r="B144" s="16" t="s">
        <v>3053</v>
      </c>
      <c r="C144" s="17" t="s">
        <v>1357</v>
      </c>
      <c r="D144" s="17" t="str">
        <f t="shared" si="28"/>
        <v>03/01/82</v>
      </c>
      <c r="E144" s="3" t="s">
        <v>3767</v>
      </c>
      <c r="F144" s="6">
        <v>19580.335999999999</v>
      </c>
      <c r="G144" s="68" t="str">
        <f t="shared" si="24"/>
        <v>96</v>
      </c>
      <c r="H144">
        <f t="shared" si="29"/>
        <v>40</v>
      </c>
      <c r="I144">
        <f t="shared" si="25"/>
        <v>25</v>
      </c>
      <c r="J144">
        <f t="shared" si="30"/>
        <v>276.55386102850531</v>
      </c>
      <c r="K144" s="69">
        <f t="shared" si="26"/>
        <v>84036.270761139327</v>
      </c>
      <c r="L144">
        <f t="shared" si="31"/>
        <v>84036.270761139327</v>
      </c>
      <c r="M144" s="69">
        <f t="shared" si="32"/>
        <v>702.46546894016853</v>
      </c>
      <c r="N144" s="69">
        <f t="shared" si="33"/>
        <v>3.9876821697692586</v>
      </c>
      <c r="O144">
        <f>_xlfn.XLOOKUP(N144,CBIA!$A$3:$A$24,CBIA!$C$3:$C$24,,-1)</f>
        <v>0.20649999999999999</v>
      </c>
      <c r="P144" s="70">
        <f>_xlfn.XLOOKUP(N144,CBIA!$A$3:$A$24,CBIA!$D$3:$D$24,,-1)</f>
        <v>2.2349999999999998E-2</v>
      </c>
      <c r="Q144">
        <f t="shared" si="27"/>
        <v>2652</v>
      </c>
      <c r="R144">
        <f t="shared" si="34"/>
        <v>95082.515336265074</v>
      </c>
      <c r="S144" s="77">
        <f t="shared" si="35"/>
        <v>1.1314461538461538</v>
      </c>
    </row>
    <row r="145" spans="1:19" ht="15.5" x14ac:dyDescent="0.35">
      <c r="A145" s="3" t="s">
        <v>509</v>
      </c>
      <c r="B145" s="16" t="s">
        <v>3057</v>
      </c>
      <c r="C145" s="17" t="s">
        <v>1361</v>
      </c>
      <c r="D145" s="17" t="str">
        <f t="shared" si="28"/>
        <v>22/08/70</v>
      </c>
      <c r="E145" s="3" t="s">
        <v>3769</v>
      </c>
      <c r="F145" s="6">
        <v>8563.0720000000001</v>
      </c>
      <c r="G145" s="68" t="str">
        <f t="shared" si="24"/>
        <v>89</v>
      </c>
      <c r="H145">
        <f t="shared" si="29"/>
        <v>52</v>
      </c>
      <c r="I145">
        <f t="shared" si="25"/>
        <v>13</v>
      </c>
      <c r="J145">
        <f t="shared" si="30"/>
        <v>172.73472564837977</v>
      </c>
      <c r="K145" s="69">
        <f t="shared" si="26"/>
        <v>18264.418262462234</v>
      </c>
      <c r="L145">
        <f t="shared" si="31"/>
        <v>18264.418262462234</v>
      </c>
      <c r="M145" s="69">
        <f t="shared" si="32"/>
        <v>391.15905808353205</v>
      </c>
      <c r="N145" s="69">
        <f t="shared" si="33"/>
        <v>1.5564357503695139</v>
      </c>
      <c r="O145">
        <f>_xlfn.XLOOKUP(N145,CBIA!$A$3:$A$24,CBIA!$C$3:$C$24,,-1)</f>
        <v>0.49229999999999996</v>
      </c>
      <c r="P145" s="70">
        <f>_xlfn.XLOOKUP(N145,CBIA!$A$3:$A$24,CBIA!$D$3:$D$24,,-1)</f>
        <v>1.43E-2</v>
      </c>
      <c r="Q145">
        <f t="shared" si="27"/>
        <v>2392</v>
      </c>
      <c r="R145">
        <f t="shared" si="34"/>
        <v>18494.549932569258</v>
      </c>
      <c r="S145" s="77">
        <f t="shared" si="35"/>
        <v>1.0125999999999999</v>
      </c>
    </row>
    <row r="146" spans="1:19" ht="15.5" x14ac:dyDescent="0.35">
      <c r="A146" s="3" t="s">
        <v>510</v>
      </c>
      <c r="B146" s="16" t="s">
        <v>3058</v>
      </c>
      <c r="C146" s="17" t="s">
        <v>1362</v>
      </c>
      <c r="D146" s="17" t="str">
        <f t="shared" si="28"/>
        <v>27/05/79</v>
      </c>
      <c r="E146" s="3" t="s">
        <v>3770</v>
      </c>
      <c r="F146" s="6">
        <v>5602.72</v>
      </c>
      <c r="G146" s="68" t="str">
        <f t="shared" si="24"/>
        <v>95</v>
      </c>
      <c r="H146">
        <f t="shared" si="29"/>
        <v>43</v>
      </c>
      <c r="I146">
        <f t="shared" si="25"/>
        <v>22</v>
      </c>
      <c r="J146">
        <f t="shared" si="30"/>
        <v>245.8553754307234</v>
      </c>
      <c r="K146" s="69">
        <f t="shared" si="26"/>
        <v>20189.611154611892</v>
      </c>
      <c r="L146">
        <f t="shared" si="31"/>
        <v>20189.611154611892</v>
      </c>
      <c r="M146" s="69">
        <f t="shared" si="32"/>
        <v>606.81608374056236</v>
      </c>
      <c r="N146" s="69">
        <f t="shared" si="33"/>
        <v>1.1090461451492961</v>
      </c>
      <c r="O146">
        <f>_xlfn.XLOOKUP(N146,CBIA!$A$3:$A$24,CBIA!$C$3:$C$24,,-1)</f>
        <v>0.77110000000000001</v>
      </c>
      <c r="P146" s="70">
        <f>_xlfn.XLOOKUP(N146,CBIA!$A$3:$A$24,CBIA!$D$3:$D$24,,-1)</f>
        <v>8.1399999999999997E-3</v>
      </c>
      <c r="Q146">
        <f t="shared" si="27"/>
        <v>2548</v>
      </c>
      <c r="R146">
        <f t="shared" si="34"/>
        <v>22040.812131848372</v>
      </c>
      <c r="S146" s="77">
        <f t="shared" si="35"/>
        <v>1.0916907692307691</v>
      </c>
    </row>
    <row r="147" spans="1:19" ht="15.5" x14ac:dyDescent="0.35">
      <c r="A147" s="3" t="s">
        <v>511</v>
      </c>
      <c r="B147" s="16" t="s">
        <v>3059</v>
      </c>
      <c r="C147" s="17" t="s">
        <v>1363</v>
      </c>
      <c r="D147" s="17" t="str">
        <f t="shared" si="28"/>
        <v>31/10/56</v>
      </c>
      <c r="E147" s="3" t="s">
        <v>3771</v>
      </c>
      <c r="F147" s="6">
        <v>18011.392</v>
      </c>
      <c r="G147" s="68" t="str">
        <f t="shared" si="24"/>
        <v>82</v>
      </c>
      <c r="H147">
        <f t="shared" si="29"/>
        <v>66</v>
      </c>
      <c r="I147">
        <f t="shared" si="25"/>
        <v>-1</v>
      </c>
      <c r="J147">
        <f t="shared" si="30"/>
        <v>99.749999999999986</v>
      </c>
      <c r="K147" s="69">
        <f t="shared" si="26"/>
        <v>16991.879245283017</v>
      </c>
      <c r="L147">
        <f t="shared" si="31"/>
        <v>16991.879245283017</v>
      </c>
      <c r="M147" s="69">
        <f t="shared" si="32"/>
        <v>197.56190476190474</v>
      </c>
      <c r="N147" s="69">
        <f t="shared" si="33"/>
        <v>2.8669291052106907</v>
      </c>
      <c r="O147">
        <f>_xlfn.XLOOKUP(N147,CBIA!$A$3:$A$24,CBIA!$C$3:$C$24,,-1)</f>
        <v>0.27829999999999999</v>
      </c>
      <c r="P147" s="70">
        <f>_xlfn.XLOOKUP(N147,CBIA!$A$3:$A$24,CBIA!$D$3:$D$24,,-1)</f>
        <v>2.0330000000000001E-2</v>
      </c>
      <c r="Q147">
        <f t="shared" si="27"/>
        <v>2028</v>
      </c>
      <c r="R147">
        <f t="shared" si="34"/>
        <v>14879.605665625542</v>
      </c>
      <c r="S147" s="77">
        <f t="shared" si="35"/>
        <v>0.87568923076923078</v>
      </c>
    </row>
    <row r="148" spans="1:19" ht="15.5" x14ac:dyDescent="0.35">
      <c r="A148" s="3" t="s">
        <v>515</v>
      </c>
      <c r="B148" s="16" t="s">
        <v>3063</v>
      </c>
      <c r="C148" s="17" t="s">
        <v>1367</v>
      </c>
      <c r="D148" s="17" t="str">
        <f t="shared" si="28"/>
        <v>04/07/69</v>
      </c>
      <c r="E148" s="3" t="s">
        <v>3773</v>
      </c>
      <c r="F148" s="6">
        <v>22202.335999999999</v>
      </c>
      <c r="G148" s="68" t="str">
        <f t="shared" si="24"/>
        <v>89</v>
      </c>
      <c r="H148">
        <f t="shared" si="29"/>
        <v>53</v>
      </c>
      <c r="I148">
        <f t="shared" si="25"/>
        <v>12</v>
      </c>
      <c r="J148">
        <f t="shared" si="30"/>
        <v>166.0910823542113</v>
      </c>
      <c r="K148" s="69">
        <f t="shared" si="26"/>
        <v>44675.46216570746</v>
      </c>
      <c r="L148">
        <f t="shared" si="31"/>
        <v>44675.46216570746</v>
      </c>
      <c r="M148" s="69">
        <f t="shared" si="32"/>
        <v>372.53243627003047</v>
      </c>
      <c r="N148" s="69">
        <f t="shared" si="33"/>
        <v>3.9974561332179239</v>
      </c>
      <c r="O148">
        <f>_xlfn.XLOOKUP(N148,CBIA!$A$3:$A$24,CBIA!$C$3:$C$24,,-1)</f>
        <v>0.20649999999999999</v>
      </c>
      <c r="P148" s="70">
        <f>_xlfn.XLOOKUP(N148,CBIA!$A$3:$A$24,CBIA!$D$3:$D$24,,-1)</f>
        <v>2.2349999999999998E-2</v>
      </c>
      <c r="Q148">
        <f t="shared" si="27"/>
        <v>2340</v>
      </c>
      <c r="R148">
        <f t="shared" si="34"/>
        <v>44556.900362267697</v>
      </c>
      <c r="S148" s="77">
        <f t="shared" si="35"/>
        <v>0.99734615384615377</v>
      </c>
    </row>
    <row r="149" spans="1:19" ht="15.5" x14ac:dyDescent="0.35">
      <c r="A149" s="3" t="s">
        <v>518</v>
      </c>
      <c r="B149" s="16" t="s">
        <v>3066</v>
      </c>
      <c r="C149" s="17" t="s">
        <v>1370</v>
      </c>
      <c r="D149" s="17" t="str">
        <f t="shared" si="28"/>
        <v>05/03/65</v>
      </c>
      <c r="E149" s="3" t="s">
        <v>3775</v>
      </c>
      <c r="F149" s="6">
        <v>10998.111999999999</v>
      </c>
      <c r="G149" s="68" t="str">
        <f t="shared" si="24"/>
        <v>81</v>
      </c>
      <c r="H149">
        <f t="shared" si="29"/>
        <v>57</v>
      </c>
      <c r="I149">
        <f t="shared" si="25"/>
        <v>8</v>
      </c>
      <c r="J149">
        <f t="shared" si="30"/>
        <v>141.97535328904314</v>
      </c>
      <c r="K149" s="69">
        <f t="shared" si="26"/>
        <v>17529.31963467455</v>
      </c>
      <c r="L149">
        <f t="shared" si="31"/>
        <v>17529.31963467455</v>
      </c>
      <c r="M149" s="69">
        <f t="shared" si="32"/>
        <v>306.48335725960311</v>
      </c>
      <c r="N149" s="69">
        <f t="shared" si="33"/>
        <v>1.9065004368058338</v>
      </c>
      <c r="O149">
        <f>_xlfn.XLOOKUP(N149,CBIA!$A$3:$A$24,CBIA!$C$3:$C$24,,-1)</f>
        <v>0.42670000000000002</v>
      </c>
      <c r="P149" s="70">
        <f>_xlfn.XLOOKUP(N149,CBIA!$A$3:$A$24,CBIA!$D$3:$D$24,,-1)</f>
        <v>1.6150000000000001E-2</v>
      </c>
      <c r="Q149">
        <f t="shared" si="27"/>
        <v>2548</v>
      </c>
      <c r="R149">
        <f t="shared" si="34"/>
        <v>18629.48670313078</v>
      </c>
      <c r="S149" s="77">
        <f t="shared" si="35"/>
        <v>1.0627615384615385</v>
      </c>
    </row>
    <row r="150" spans="1:19" ht="15.5" x14ac:dyDescent="0.35">
      <c r="A150" s="3" t="s">
        <v>524</v>
      </c>
      <c r="B150" s="16" t="s">
        <v>3072</v>
      </c>
      <c r="C150" s="17" t="s">
        <v>1376</v>
      </c>
      <c r="D150" s="17" t="str">
        <f t="shared" si="28"/>
        <v>23/07/71</v>
      </c>
      <c r="E150" s="3" t="s">
        <v>3780</v>
      </c>
      <c r="F150" s="6">
        <v>10888.975999999999</v>
      </c>
      <c r="G150" s="68" t="str">
        <f t="shared" si="24"/>
        <v>89</v>
      </c>
      <c r="H150">
        <f t="shared" si="29"/>
        <v>51</v>
      </c>
      <c r="I150">
        <f t="shared" si="25"/>
        <v>14</v>
      </c>
      <c r="J150">
        <f t="shared" si="30"/>
        <v>179.64411467431495</v>
      </c>
      <c r="K150" s="69">
        <f t="shared" si="26"/>
        <v>24618.928912515006</v>
      </c>
      <c r="L150">
        <f t="shared" si="31"/>
        <v>24618.928912515006</v>
      </c>
      <c r="M150" s="69">
        <f t="shared" si="32"/>
        <v>410.71701098770859</v>
      </c>
      <c r="N150" s="69">
        <f t="shared" si="33"/>
        <v>1.9980447407742239</v>
      </c>
      <c r="O150">
        <f>_xlfn.XLOOKUP(N150,CBIA!$A$3:$A$24,CBIA!$C$3:$C$24,,-1)</f>
        <v>0.42670000000000002</v>
      </c>
      <c r="P150" s="70">
        <f>_xlfn.XLOOKUP(N150,CBIA!$A$3:$A$24,CBIA!$D$3:$D$24,,-1)</f>
        <v>1.6150000000000001E-2</v>
      </c>
      <c r="Q150">
        <f t="shared" si="27"/>
        <v>2444</v>
      </c>
      <c r="R150">
        <f t="shared" si="34"/>
        <v>25368.859362465464</v>
      </c>
      <c r="S150" s="77">
        <f t="shared" si="35"/>
        <v>1.0304615384615385</v>
      </c>
    </row>
    <row r="151" spans="1:19" ht="15.5" x14ac:dyDescent="0.35">
      <c r="A151" s="3" t="s">
        <v>536</v>
      </c>
      <c r="B151" s="16" t="s">
        <v>3084</v>
      </c>
      <c r="C151" s="17" t="s">
        <v>1171</v>
      </c>
      <c r="D151" s="17" t="str">
        <f t="shared" si="28"/>
        <v>05/12/72</v>
      </c>
      <c r="E151" s="3" t="s">
        <v>3785</v>
      </c>
      <c r="F151" s="6">
        <v>19571.215999999997</v>
      </c>
      <c r="G151" s="68" t="str">
        <f t="shared" si="24"/>
        <v>96</v>
      </c>
      <c r="H151">
        <f t="shared" si="29"/>
        <v>50</v>
      </c>
      <c r="I151">
        <f t="shared" si="25"/>
        <v>15</v>
      </c>
      <c r="J151">
        <f t="shared" si="30"/>
        <v>186.82987926128754</v>
      </c>
      <c r="K151" s="69">
        <f t="shared" si="26"/>
        <v>46903.558053723784</v>
      </c>
      <c r="L151">
        <f t="shared" si="31"/>
        <v>46903.558053723784</v>
      </c>
      <c r="M151" s="69">
        <f t="shared" si="32"/>
        <v>431.25286153709413</v>
      </c>
      <c r="N151" s="69">
        <f t="shared" si="33"/>
        <v>3.6253717356253321</v>
      </c>
      <c r="O151">
        <f>_xlfn.XLOOKUP(N151,CBIA!$A$3:$A$24,CBIA!$C$3:$C$24,,-1)</f>
        <v>0.22070000000000001</v>
      </c>
      <c r="P151" s="70">
        <f>_xlfn.XLOOKUP(N151,CBIA!$A$3:$A$24,CBIA!$D$3:$D$24,,-1)</f>
        <v>2.1949999999999997E-2</v>
      </c>
      <c r="Q151">
        <f t="shared" si="27"/>
        <v>2132</v>
      </c>
      <c r="R151">
        <f t="shared" si="34"/>
        <v>42663.115609066735</v>
      </c>
      <c r="S151" s="77">
        <f t="shared" si="35"/>
        <v>0.90959230769230759</v>
      </c>
    </row>
    <row r="152" spans="1:19" ht="15.5" x14ac:dyDescent="0.35">
      <c r="A152" s="3" t="s">
        <v>540</v>
      </c>
      <c r="B152" s="16" t="s">
        <v>3088</v>
      </c>
      <c r="C152" s="17" t="s">
        <v>1390</v>
      </c>
      <c r="D152" s="17" t="str">
        <f t="shared" si="28"/>
        <v>11/05/70</v>
      </c>
      <c r="E152" s="3" t="s">
        <v>3787</v>
      </c>
      <c r="F152" s="6">
        <v>14385.888000000001</v>
      </c>
      <c r="G152" s="68" t="str">
        <f t="shared" si="24"/>
        <v>92</v>
      </c>
      <c r="H152">
        <f t="shared" si="29"/>
        <v>52</v>
      </c>
      <c r="I152">
        <f t="shared" si="25"/>
        <v>13</v>
      </c>
      <c r="J152">
        <f t="shared" si="30"/>
        <v>172.73472564837977</v>
      </c>
      <c r="K152" s="69">
        <f t="shared" si="26"/>
        <v>30684.067062490692</v>
      </c>
      <c r="L152">
        <f t="shared" si="31"/>
        <v>30684.067062490692</v>
      </c>
      <c r="M152" s="69">
        <f t="shared" si="32"/>
        <v>391.15905808353205</v>
      </c>
      <c r="N152" s="69">
        <f t="shared" si="33"/>
        <v>2.6147987993107829</v>
      </c>
      <c r="O152">
        <f>_xlfn.XLOOKUP(N152,CBIA!$A$3:$A$24,CBIA!$C$3:$C$24,,-1)</f>
        <v>0.30480000000000002</v>
      </c>
      <c r="P152" s="70">
        <f>_xlfn.XLOOKUP(N152,CBIA!$A$3:$A$24,CBIA!$D$3:$D$24,,-1)</f>
        <v>1.958E-2</v>
      </c>
      <c r="Q152">
        <f t="shared" si="27"/>
        <v>2236</v>
      </c>
      <c r="R152">
        <f t="shared" si="34"/>
        <v>29409.781360513964</v>
      </c>
      <c r="S152" s="77">
        <f t="shared" si="35"/>
        <v>0.95847076923076924</v>
      </c>
    </row>
    <row r="153" spans="1:19" ht="15.5" x14ac:dyDescent="0.35">
      <c r="A153" s="3" t="s">
        <v>545</v>
      </c>
      <c r="B153" s="16" t="s">
        <v>3093</v>
      </c>
      <c r="C153" s="17" t="s">
        <v>1395</v>
      </c>
      <c r="D153" s="17" t="str">
        <f t="shared" si="28"/>
        <v>25/11/71</v>
      </c>
      <c r="E153" s="3" t="s">
        <v>3790</v>
      </c>
      <c r="F153" s="6">
        <v>5632.2079999999996</v>
      </c>
      <c r="G153" s="68" t="str">
        <f t="shared" si="24"/>
        <v>96</v>
      </c>
      <c r="H153">
        <f t="shared" si="29"/>
        <v>51</v>
      </c>
      <c r="I153">
        <f t="shared" si="25"/>
        <v>14</v>
      </c>
      <c r="J153">
        <f t="shared" si="30"/>
        <v>179.64411467431495</v>
      </c>
      <c r="K153" s="69">
        <f t="shared" si="26"/>
        <v>12733.881346831724</v>
      </c>
      <c r="L153">
        <f t="shared" si="31"/>
        <v>12733.881346831724</v>
      </c>
      <c r="M153" s="69">
        <f t="shared" si="32"/>
        <v>410.71701098770859</v>
      </c>
      <c r="N153" s="69">
        <f t="shared" si="33"/>
        <v>1.0334675706279919</v>
      </c>
      <c r="O153">
        <f>_xlfn.XLOOKUP(N153,CBIA!$A$3:$A$24,CBIA!$C$3:$C$24,,-1)</f>
        <v>0.77110000000000001</v>
      </c>
      <c r="P153" s="70">
        <f>_xlfn.XLOOKUP(N153,CBIA!$A$3:$A$24,CBIA!$D$3:$D$24,,-1)</f>
        <v>8.1399999999999997E-3</v>
      </c>
      <c r="Q153">
        <f t="shared" si="27"/>
        <v>2080</v>
      </c>
      <c r="R153">
        <f t="shared" si="34"/>
        <v>12968.576575347177</v>
      </c>
      <c r="S153" s="77">
        <f t="shared" si="35"/>
        <v>1.0184307692307693</v>
      </c>
    </row>
    <row r="154" spans="1:19" ht="15.5" x14ac:dyDescent="0.35">
      <c r="A154" s="3" t="s">
        <v>552</v>
      </c>
      <c r="B154" s="16" t="s">
        <v>3100</v>
      </c>
      <c r="C154" s="17" t="s">
        <v>1402</v>
      </c>
      <c r="D154" s="17" t="str">
        <f t="shared" si="28"/>
        <v>24/06/74</v>
      </c>
      <c r="E154" s="3" t="s">
        <v>3794</v>
      </c>
      <c r="F154" s="6">
        <v>69206.207999999999</v>
      </c>
      <c r="G154" s="68" t="str">
        <f t="shared" si="24"/>
        <v>96</v>
      </c>
      <c r="H154">
        <f t="shared" si="29"/>
        <v>48</v>
      </c>
      <c r="I154">
        <f t="shared" si="25"/>
        <v>17</v>
      </c>
      <c r="J154">
        <f t="shared" si="30"/>
        <v>202.07519740900864</v>
      </c>
      <c r="K154" s="69">
        <f t="shared" si="26"/>
        <v>186356.59350851757</v>
      </c>
      <c r="L154">
        <f t="shared" si="31"/>
        <v>153577.15003084656</v>
      </c>
      <c r="M154" s="69">
        <f t="shared" si="32"/>
        <v>475.4562798446463</v>
      </c>
      <c r="N154" s="69">
        <f t="shared" si="33"/>
        <v>10.76700119732196</v>
      </c>
      <c r="O154">
        <f>_xlfn.XLOOKUP(N154,CBIA!$A$3:$A$24,CBIA!$C$3:$C$24,,-1)</f>
        <v>0.13</v>
      </c>
      <c r="P154" s="70">
        <f>_xlfn.XLOOKUP(N154,CBIA!$A$3:$A$24,CBIA!$D$3:$D$24,,-1)</f>
        <v>2.4500000000000001E-2</v>
      </c>
      <c r="Q154">
        <f t="shared" si="27"/>
        <v>2236</v>
      </c>
      <c r="R154">
        <f t="shared" si="34"/>
        <v>145579.32460231709</v>
      </c>
      <c r="S154" s="77">
        <f t="shared" si="35"/>
        <v>0.78118687330300052</v>
      </c>
    </row>
    <row r="155" spans="1:19" ht="15.5" x14ac:dyDescent="0.35">
      <c r="A155" s="3" t="s">
        <v>553</v>
      </c>
      <c r="B155" s="16" t="s">
        <v>3101</v>
      </c>
      <c r="C155" s="17" t="s">
        <v>1403</v>
      </c>
      <c r="D155" s="17" t="str">
        <f t="shared" si="28"/>
        <v>07/02/75</v>
      </c>
      <c r="E155" s="3" t="s">
        <v>3794</v>
      </c>
      <c r="F155" s="6">
        <v>80841.718733439993</v>
      </c>
      <c r="G155" s="68" t="str">
        <f t="shared" si="24"/>
        <v>93</v>
      </c>
      <c r="H155">
        <f t="shared" si="29"/>
        <v>47</v>
      </c>
      <c r="I155">
        <f t="shared" si="25"/>
        <v>18</v>
      </c>
      <c r="J155">
        <f t="shared" si="30"/>
        <v>210.15820530536899</v>
      </c>
      <c r="K155" s="69">
        <f t="shared" si="26"/>
        <v>230749.6829696238</v>
      </c>
      <c r="L155">
        <f t="shared" si="31"/>
        <v>159720.23603208043</v>
      </c>
      <c r="M155" s="69">
        <f t="shared" si="32"/>
        <v>499.22909383687863</v>
      </c>
      <c r="N155" s="69">
        <f t="shared" si="33"/>
        <v>10.664458328776037</v>
      </c>
      <c r="O155">
        <f>_xlfn.XLOOKUP(N155,CBIA!$A$3:$A$24,CBIA!$C$3:$C$24,,-1)</f>
        <v>0.13</v>
      </c>
      <c r="P155" s="70">
        <f>_xlfn.XLOOKUP(N155,CBIA!$A$3:$A$24,CBIA!$D$3:$D$24,,-1)</f>
        <v>2.4500000000000001E-2</v>
      </c>
      <c r="Q155">
        <f t="shared" si="27"/>
        <v>2444</v>
      </c>
      <c r="R155">
        <f t="shared" si="34"/>
        <v>167055.08071755368</v>
      </c>
      <c r="S155" s="77">
        <f t="shared" si="35"/>
        <v>0.72396667491649391</v>
      </c>
    </row>
    <row r="156" spans="1:19" ht="15.5" x14ac:dyDescent="0.35">
      <c r="A156" s="3" t="s">
        <v>561</v>
      </c>
      <c r="B156" s="16" t="s">
        <v>3109</v>
      </c>
      <c r="C156" s="17" t="s">
        <v>1411</v>
      </c>
      <c r="D156" s="17" t="str">
        <f t="shared" si="28"/>
        <v>11/11/64</v>
      </c>
      <c r="E156" s="3" t="s">
        <v>3797</v>
      </c>
      <c r="F156" s="6">
        <v>42313.152000000002</v>
      </c>
      <c r="G156" s="68" t="str">
        <f t="shared" si="24"/>
        <v>84</v>
      </c>
      <c r="H156">
        <f t="shared" si="29"/>
        <v>58</v>
      </c>
      <c r="I156">
        <f t="shared" si="25"/>
        <v>7</v>
      </c>
      <c r="J156">
        <f t="shared" si="30"/>
        <v>136.51476277792605</v>
      </c>
      <c r="K156" s="69">
        <f t="shared" si="26"/>
        <v>63623.335700500822</v>
      </c>
      <c r="L156">
        <f t="shared" si="31"/>
        <v>63623.335700500822</v>
      </c>
      <c r="M156" s="69">
        <f t="shared" si="32"/>
        <v>291.88891167581255</v>
      </c>
      <c r="N156" s="69">
        <f t="shared" si="33"/>
        <v>7.265702025155413</v>
      </c>
      <c r="O156">
        <f>_xlfn.XLOOKUP(N156,CBIA!$A$3:$A$24,CBIA!$C$3:$C$24,,-1)</f>
        <v>0.13</v>
      </c>
      <c r="P156" s="70">
        <f>_xlfn.XLOOKUP(N156,CBIA!$A$3:$A$24,CBIA!$D$3:$D$24,,-1)</f>
        <v>2.4500000000000001E-2</v>
      </c>
      <c r="Q156">
        <f t="shared" si="27"/>
        <v>2340</v>
      </c>
      <c r="R156">
        <f t="shared" si="34"/>
        <v>63427.571590653133</v>
      </c>
      <c r="S156" s="77">
        <f t="shared" si="35"/>
        <v>0.99692307692307702</v>
      </c>
    </row>
    <row r="157" spans="1:19" ht="15.5" x14ac:dyDescent="0.35">
      <c r="A157" s="3" t="s">
        <v>3799</v>
      </c>
      <c r="B157" s="16" t="s">
        <v>3800</v>
      </c>
      <c r="C157" s="17" t="s">
        <v>3802</v>
      </c>
      <c r="D157" s="17" t="str">
        <f t="shared" si="28"/>
        <v>16/05/75</v>
      </c>
      <c r="E157" s="3" t="s">
        <v>3803</v>
      </c>
      <c r="F157" s="6">
        <v>18825.807999999997</v>
      </c>
      <c r="G157" s="68" t="str">
        <f t="shared" si="24"/>
        <v>92</v>
      </c>
      <c r="H157">
        <f t="shared" si="29"/>
        <v>47</v>
      </c>
      <c r="I157">
        <f t="shared" si="25"/>
        <v>18</v>
      </c>
      <c r="J157">
        <f t="shared" si="30"/>
        <v>210.15820530536899</v>
      </c>
      <c r="K157" s="69">
        <f t="shared" si="26"/>
        <v>53735.240859619436</v>
      </c>
      <c r="L157">
        <f t="shared" si="31"/>
        <v>53735.240859619436</v>
      </c>
      <c r="M157" s="69">
        <f t="shared" si="32"/>
        <v>499.22909383687863</v>
      </c>
      <c r="N157" s="69">
        <f t="shared" si="33"/>
        <v>3.5878812301470315</v>
      </c>
      <c r="O157">
        <f>_xlfn.XLOOKUP(N157,CBIA!$A$3:$A$24,CBIA!$C$3:$C$24,,-1)</f>
        <v>0.22070000000000001</v>
      </c>
      <c r="P157" s="70">
        <f>_xlfn.XLOOKUP(N157,CBIA!$A$3:$A$24,CBIA!$D$3:$D$24,,-1)</f>
        <v>2.1949999999999997E-2</v>
      </c>
      <c r="Q157">
        <f t="shared" si="27"/>
        <v>2496</v>
      </c>
      <c r="R157">
        <f t="shared" si="34"/>
        <v>57133.581495983752</v>
      </c>
      <c r="S157" s="77">
        <f t="shared" si="35"/>
        <v>1.0632423076923077</v>
      </c>
    </row>
    <row r="158" spans="1:19" ht="15.5" x14ac:dyDescent="0.35">
      <c r="A158" s="3" t="s">
        <v>3804</v>
      </c>
      <c r="B158" s="16" t="s">
        <v>3805</v>
      </c>
      <c r="C158" s="17" t="s">
        <v>3807</v>
      </c>
      <c r="D158" s="17" t="str">
        <f t="shared" si="28"/>
        <v>11/01/80</v>
      </c>
      <c r="E158" s="3" t="s">
        <v>3808</v>
      </c>
      <c r="F158" s="6">
        <v>18843.439999999999</v>
      </c>
      <c r="G158" s="68" t="str">
        <f t="shared" si="24"/>
        <v>95</v>
      </c>
      <c r="H158">
        <f t="shared" si="29"/>
        <v>42</v>
      </c>
      <c r="I158">
        <f t="shared" si="25"/>
        <v>23</v>
      </c>
      <c r="J158">
        <f t="shared" si="30"/>
        <v>255.6895904479523</v>
      </c>
      <c r="K158" s="69">
        <f t="shared" si="26"/>
        <v>71977.223562872241</v>
      </c>
      <c r="L158">
        <f t="shared" si="31"/>
        <v>71977.223562872241</v>
      </c>
      <c r="M158" s="69">
        <f t="shared" si="32"/>
        <v>637.15688792759067</v>
      </c>
      <c r="N158" s="69">
        <f t="shared" si="33"/>
        <v>3.7655416285819627</v>
      </c>
      <c r="O158">
        <f>_xlfn.XLOOKUP(N158,CBIA!$A$3:$A$24,CBIA!$C$3:$C$24,,-1)</f>
        <v>0.20649999999999999</v>
      </c>
      <c r="P158" s="70">
        <f>_xlfn.XLOOKUP(N158,CBIA!$A$3:$A$24,CBIA!$D$3:$D$24,,-1)</f>
        <v>2.2349999999999998E-2</v>
      </c>
      <c r="Q158">
        <f t="shared" si="27"/>
        <v>2600</v>
      </c>
      <c r="R158">
        <f t="shared" si="34"/>
        <v>79829.661818106368</v>
      </c>
      <c r="S158" s="77">
        <f t="shared" si="35"/>
        <v>1.1090961538461539</v>
      </c>
    </row>
    <row r="159" spans="1:19" ht="15.5" x14ac:dyDescent="0.35">
      <c r="A159" s="3" t="s">
        <v>3814</v>
      </c>
      <c r="B159" s="16" t="s">
        <v>3815</v>
      </c>
      <c r="C159" s="17" t="s">
        <v>3817</v>
      </c>
      <c r="D159" s="17" t="str">
        <f t="shared" si="28"/>
        <v>22/03/77</v>
      </c>
      <c r="E159" s="3" t="s">
        <v>3818</v>
      </c>
      <c r="F159" s="6">
        <v>20541.583999999999</v>
      </c>
      <c r="G159" s="68" t="str">
        <f t="shared" si="24"/>
        <v>96</v>
      </c>
      <c r="H159">
        <f t="shared" si="29"/>
        <v>45</v>
      </c>
      <c r="I159">
        <f t="shared" si="25"/>
        <v>20</v>
      </c>
      <c r="J159">
        <f t="shared" si="30"/>
        <v>227.30711485828712</v>
      </c>
      <c r="K159" s="69">
        <f t="shared" si="26"/>
        <v>65879.642701839883</v>
      </c>
      <c r="L159">
        <f t="shared" si="31"/>
        <v>65879.642701839883</v>
      </c>
      <c r="M159" s="69">
        <f t="shared" si="32"/>
        <v>550.40007595515863</v>
      </c>
      <c r="N159" s="69">
        <f t="shared" si="33"/>
        <v>3.9898033921060678</v>
      </c>
      <c r="O159">
        <f>_xlfn.XLOOKUP(N159,CBIA!$A$3:$A$24,CBIA!$C$3:$C$24,,-1)</f>
        <v>0.20649999999999999</v>
      </c>
      <c r="P159" s="70">
        <f>_xlfn.XLOOKUP(N159,CBIA!$A$3:$A$24,CBIA!$D$3:$D$24,,-1)</f>
        <v>2.2349999999999998E-2</v>
      </c>
      <c r="Q159">
        <f t="shared" si="27"/>
        <v>2392</v>
      </c>
      <c r="R159">
        <f t="shared" si="34"/>
        <v>67177.218279824956</v>
      </c>
      <c r="S159" s="77">
        <f t="shared" si="35"/>
        <v>1.0196961538461538</v>
      </c>
    </row>
    <row r="160" spans="1:19" ht="15.5" x14ac:dyDescent="0.35">
      <c r="A160" s="3" t="s">
        <v>3819</v>
      </c>
      <c r="B160" s="16" t="s">
        <v>3820</v>
      </c>
      <c r="C160" s="17" t="s">
        <v>3822</v>
      </c>
      <c r="D160" s="17" t="str">
        <f t="shared" si="28"/>
        <v>30/10/78</v>
      </c>
      <c r="E160" s="3" t="s">
        <v>3823</v>
      </c>
      <c r="F160" s="6">
        <v>19697.68</v>
      </c>
      <c r="G160" s="68" t="str">
        <f t="shared" si="24"/>
        <v>94</v>
      </c>
      <c r="H160">
        <f t="shared" si="29"/>
        <v>44</v>
      </c>
      <c r="I160">
        <f t="shared" si="25"/>
        <v>21</v>
      </c>
      <c r="J160">
        <f t="shared" si="30"/>
        <v>236.39939945261867</v>
      </c>
      <c r="K160" s="69">
        <f t="shared" si="26"/>
        <v>66963.515943195438</v>
      </c>
      <c r="L160">
        <f t="shared" si="31"/>
        <v>66963.515943195438</v>
      </c>
      <c r="M160" s="69">
        <f t="shared" si="32"/>
        <v>577.92007975291654</v>
      </c>
      <c r="N160" s="69">
        <f t="shared" si="33"/>
        <v>3.8623285058045256</v>
      </c>
      <c r="O160">
        <f>_xlfn.XLOOKUP(N160,CBIA!$A$3:$A$24,CBIA!$C$3:$C$24,,-1)</f>
        <v>0.20649999999999999</v>
      </c>
      <c r="P160" s="70">
        <f>_xlfn.XLOOKUP(N160,CBIA!$A$3:$A$24,CBIA!$D$3:$D$24,,-1)</f>
        <v>2.2349999999999998E-2</v>
      </c>
      <c r="Q160">
        <f t="shared" si="27"/>
        <v>2548</v>
      </c>
      <c r="R160">
        <f t="shared" si="34"/>
        <v>72772.343399283243</v>
      </c>
      <c r="S160" s="77">
        <f t="shared" si="35"/>
        <v>1.0867461538461538</v>
      </c>
    </row>
    <row r="161" spans="1:19" ht="15.5" x14ac:dyDescent="0.35">
      <c r="A161" s="3" t="s">
        <v>569</v>
      </c>
      <c r="B161" s="16" t="s">
        <v>3117</v>
      </c>
      <c r="C161" s="17" t="s">
        <v>1419</v>
      </c>
      <c r="D161" s="17" t="str">
        <f t="shared" si="28"/>
        <v>05/08/69</v>
      </c>
      <c r="E161" s="3" t="s">
        <v>3824</v>
      </c>
      <c r="F161" s="6">
        <v>18636.111999999997</v>
      </c>
      <c r="G161" s="68" t="str">
        <f t="shared" si="24"/>
        <v>92</v>
      </c>
      <c r="H161">
        <f t="shared" si="29"/>
        <v>53</v>
      </c>
      <c r="I161">
        <f t="shared" si="25"/>
        <v>12</v>
      </c>
      <c r="J161">
        <f t="shared" si="30"/>
        <v>166.0910823542113</v>
      </c>
      <c r="K161" s="69">
        <f t="shared" si="26"/>
        <v>37499.518815132185</v>
      </c>
      <c r="L161">
        <f t="shared" si="31"/>
        <v>37499.518815132185</v>
      </c>
      <c r="M161" s="69">
        <f t="shared" si="32"/>
        <v>372.53243627003047</v>
      </c>
      <c r="N161" s="69">
        <f t="shared" si="33"/>
        <v>3.3553694626428561</v>
      </c>
      <c r="O161">
        <f>_xlfn.XLOOKUP(N161,CBIA!$A$3:$A$24,CBIA!$C$3:$C$24,,-1)</f>
        <v>0.23699999999999999</v>
      </c>
      <c r="P161" s="70">
        <f>_xlfn.XLOOKUP(N161,CBIA!$A$3:$A$24,CBIA!$D$3:$D$24,,-1)</f>
        <v>2.1489999999999999E-2</v>
      </c>
      <c r="Q161">
        <f t="shared" si="27"/>
        <v>2184</v>
      </c>
      <c r="R161">
        <f t="shared" si="34"/>
        <v>34985.003003875347</v>
      </c>
      <c r="S161" s="77">
        <f t="shared" si="35"/>
        <v>0.93294538461538457</v>
      </c>
    </row>
    <row r="162" spans="1:19" ht="15.5" x14ac:dyDescent="0.35">
      <c r="A162" s="3" t="s">
        <v>570</v>
      </c>
      <c r="B162" s="16" t="s">
        <v>3118</v>
      </c>
      <c r="C162" s="17" t="s">
        <v>1420</v>
      </c>
      <c r="D162" s="17" t="str">
        <f t="shared" si="28"/>
        <v>20/06/74</v>
      </c>
      <c r="E162" s="3" t="s">
        <v>3825</v>
      </c>
      <c r="F162" s="6">
        <v>21014</v>
      </c>
      <c r="G162" s="68" t="str">
        <f t="shared" si="24"/>
        <v>96</v>
      </c>
      <c r="H162">
        <f t="shared" si="29"/>
        <v>48</v>
      </c>
      <c r="I162">
        <f t="shared" si="25"/>
        <v>17</v>
      </c>
      <c r="J162">
        <f t="shared" si="30"/>
        <v>202.07519740900864</v>
      </c>
      <c r="K162" s="69">
        <f t="shared" si="26"/>
        <v>56585.92732010383</v>
      </c>
      <c r="L162">
        <f t="shared" si="31"/>
        <v>56585.92732010383</v>
      </c>
      <c r="M162" s="69">
        <f t="shared" si="32"/>
        <v>475.4562798446463</v>
      </c>
      <c r="N162" s="69">
        <f t="shared" si="33"/>
        <v>3.9671314846300962</v>
      </c>
      <c r="O162">
        <f>_xlfn.XLOOKUP(N162,CBIA!$A$3:$A$24,CBIA!$C$3:$C$24,,-1)</f>
        <v>0.20649999999999999</v>
      </c>
      <c r="P162" s="70">
        <f>_xlfn.XLOOKUP(N162,CBIA!$A$3:$A$24,CBIA!$D$3:$D$24,,-1)</f>
        <v>2.2349999999999998E-2</v>
      </c>
      <c r="Q162">
        <f t="shared" si="27"/>
        <v>2236</v>
      </c>
      <c r="R162">
        <f t="shared" si="34"/>
        <v>53906.366023314913</v>
      </c>
      <c r="S162" s="77">
        <f t="shared" si="35"/>
        <v>0.95264615384615381</v>
      </c>
    </row>
    <row r="163" spans="1:19" ht="15.5" x14ac:dyDescent="0.35">
      <c r="A163" s="3" t="s">
        <v>575</v>
      </c>
      <c r="B163" s="16" t="s">
        <v>3123</v>
      </c>
      <c r="C163" s="17" t="s">
        <v>1425</v>
      </c>
      <c r="D163" s="17" t="str">
        <f t="shared" si="28"/>
        <v>20/07/76</v>
      </c>
      <c r="E163" s="3" t="s">
        <v>3828</v>
      </c>
      <c r="F163" s="6">
        <v>14178.255999999999</v>
      </c>
      <c r="G163" s="68" t="str">
        <f t="shared" si="24"/>
        <v>92</v>
      </c>
      <c r="H163">
        <f t="shared" si="29"/>
        <v>46</v>
      </c>
      <c r="I163">
        <f t="shared" si="25"/>
        <v>19</v>
      </c>
      <c r="J163">
        <f t="shared" si="30"/>
        <v>218.56453351758375</v>
      </c>
      <c r="K163" s="69">
        <f t="shared" si="26"/>
        <v>42897.724294070416</v>
      </c>
      <c r="L163">
        <f t="shared" si="31"/>
        <v>42897.724294070416</v>
      </c>
      <c r="M163" s="69">
        <f t="shared" si="32"/>
        <v>524.1905485287225</v>
      </c>
      <c r="N163" s="69">
        <f t="shared" si="33"/>
        <v>2.7278708995214349</v>
      </c>
      <c r="O163">
        <f>_xlfn.XLOOKUP(N163,CBIA!$A$3:$A$24,CBIA!$C$3:$C$24,,-1)</f>
        <v>0.30480000000000002</v>
      </c>
      <c r="P163" s="70">
        <f>_xlfn.XLOOKUP(N163,CBIA!$A$3:$A$24,CBIA!$D$3:$D$24,,-1)</f>
        <v>1.958E-2</v>
      </c>
      <c r="Q163">
        <f t="shared" si="27"/>
        <v>2548</v>
      </c>
      <c r="R163">
        <f t="shared" si="34"/>
        <v>46155.839452454522</v>
      </c>
      <c r="S163" s="77">
        <f t="shared" si="35"/>
        <v>1.0759507692307693</v>
      </c>
    </row>
    <row r="164" spans="1:19" ht="15.5" x14ac:dyDescent="0.35">
      <c r="A164" s="3" t="s">
        <v>578</v>
      </c>
      <c r="B164" s="16" t="s">
        <v>3126</v>
      </c>
      <c r="C164" s="17" t="s">
        <v>1428</v>
      </c>
      <c r="D164" s="17" t="str">
        <f t="shared" si="28"/>
        <v>05/07/63</v>
      </c>
      <c r="E164" s="3" t="s">
        <v>3830</v>
      </c>
      <c r="F164" s="6">
        <v>8725.1039999999994</v>
      </c>
      <c r="G164" s="68" t="str">
        <f t="shared" si="24"/>
        <v>81</v>
      </c>
      <c r="H164">
        <f t="shared" si="29"/>
        <v>59</v>
      </c>
      <c r="I164">
        <f t="shared" si="25"/>
        <v>6</v>
      </c>
      <c r="J164">
        <f t="shared" si="30"/>
        <v>131.26419497877507</v>
      </c>
      <c r="K164" s="69">
        <f t="shared" si="26"/>
        <v>12376.726780421279</v>
      </c>
      <c r="L164">
        <f t="shared" si="31"/>
        <v>12376.726780421279</v>
      </c>
      <c r="M164" s="69">
        <f t="shared" si="32"/>
        <v>277.98943969124997</v>
      </c>
      <c r="N164" s="69">
        <f t="shared" si="33"/>
        <v>1.4840763728492152</v>
      </c>
      <c r="O164">
        <f>_xlfn.XLOOKUP(N164,CBIA!$A$3:$A$24,CBIA!$C$3:$C$24,,-1)</f>
        <v>0.58179999999999998</v>
      </c>
      <c r="P164" s="70">
        <f>_xlfn.XLOOKUP(N164,CBIA!$A$3:$A$24,CBIA!$D$3:$D$24,,-1)</f>
        <v>1.1779999999999999E-2</v>
      </c>
      <c r="Q164">
        <f t="shared" si="27"/>
        <v>2444</v>
      </c>
      <c r="R164">
        <f t="shared" si="34"/>
        <v>12651.375868237888</v>
      </c>
      <c r="S164" s="77">
        <f t="shared" si="35"/>
        <v>1.0221907692307692</v>
      </c>
    </row>
    <row r="165" spans="1:19" ht="15.5" x14ac:dyDescent="0.35">
      <c r="A165" s="3" t="s">
        <v>579</v>
      </c>
      <c r="B165" s="16" t="s">
        <v>3127</v>
      </c>
      <c r="C165" s="17" t="s">
        <v>1429</v>
      </c>
      <c r="D165" s="17" t="str">
        <f t="shared" si="28"/>
        <v>24/02/80</v>
      </c>
      <c r="E165" s="3" t="s">
        <v>3831</v>
      </c>
      <c r="F165" s="6">
        <v>49270.191999999995</v>
      </c>
      <c r="G165" s="68" t="str">
        <f t="shared" si="24"/>
        <v>97</v>
      </c>
      <c r="H165">
        <f t="shared" si="29"/>
        <v>42</v>
      </c>
      <c r="I165">
        <f t="shared" si="25"/>
        <v>23</v>
      </c>
      <c r="J165">
        <f t="shared" si="30"/>
        <v>255.6895904479523</v>
      </c>
      <c r="K165" s="69">
        <f t="shared" si="26"/>
        <v>188199.79921763961</v>
      </c>
      <c r="L165">
        <f t="shared" si="31"/>
        <v>188199.79921763961</v>
      </c>
      <c r="M165" s="69">
        <f t="shared" si="32"/>
        <v>637.15688792759067</v>
      </c>
      <c r="N165" s="69">
        <f t="shared" si="33"/>
        <v>9.8458115410045064</v>
      </c>
      <c r="O165">
        <f>_xlfn.XLOOKUP(N165,CBIA!$A$3:$A$24,CBIA!$C$3:$C$24,,-1)</f>
        <v>0.13</v>
      </c>
      <c r="P165" s="70">
        <f>_xlfn.XLOOKUP(N165,CBIA!$A$3:$A$24,CBIA!$D$3:$D$24,,-1)</f>
        <v>2.4500000000000001E-2</v>
      </c>
      <c r="Q165">
        <f t="shared" si="27"/>
        <v>2496</v>
      </c>
      <c r="R165">
        <f t="shared" si="34"/>
        <v>201453.40815485112</v>
      </c>
      <c r="S165" s="77">
        <f t="shared" si="35"/>
        <v>1.0704230769230771</v>
      </c>
    </row>
    <row r="166" spans="1:19" ht="15.5" x14ac:dyDescent="0.35">
      <c r="A166" s="3" t="s">
        <v>583</v>
      </c>
      <c r="B166" s="16" t="s">
        <v>3131</v>
      </c>
      <c r="C166" s="17" t="s">
        <v>1432</v>
      </c>
      <c r="D166" s="17" t="str">
        <f t="shared" si="28"/>
        <v>24/06/75</v>
      </c>
      <c r="E166" s="3" t="s">
        <v>3833</v>
      </c>
      <c r="F166" s="6">
        <v>55429.231999999996</v>
      </c>
      <c r="G166" s="68" t="str">
        <f t="shared" si="24"/>
        <v>94</v>
      </c>
      <c r="H166">
        <f t="shared" si="29"/>
        <v>47</v>
      </c>
      <c r="I166">
        <f t="shared" si="25"/>
        <v>18</v>
      </c>
      <c r="J166">
        <f t="shared" si="30"/>
        <v>210.15820530536899</v>
      </c>
      <c r="K166" s="69">
        <f t="shared" si="26"/>
        <v>158213.82711348831</v>
      </c>
      <c r="L166">
        <f t="shared" si="31"/>
        <v>158213.82711348831</v>
      </c>
      <c r="M166" s="69">
        <f t="shared" si="32"/>
        <v>499.22909383687863</v>
      </c>
      <c r="N166" s="69">
        <f t="shared" si="33"/>
        <v>10.563875988444437</v>
      </c>
      <c r="O166">
        <f>_xlfn.XLOOKUP(N166,CBIA!$A$3:$A$24,CBIA!$C$3:$C$24,,-1)</f>
        <v>0.13</v>
      </c>
      <c r="P166" s="70">
        <f>_xlfn.XLOOKUP(N166,CBIA!$A$3:$A$24,CBIA!$D$3:$D$24,,-1)</f>
        <v>2.4500000000000001E-2</v>
      </c>
      <c r="Q166">
        <f t="shared" si="27"/>
        <v>2392</v>
      </c>
      <c r="R166">
        <f t="shared" si="34"/>
        <v>161603.25410203499</v>
      </c>
      <c r="S166" s="77">
        <f t="shared" si="35"/>
        <v>1.021423076923077</v>
      </c>
    </row>
    <row r="167" spans="1:19" ht="15.5" x14ac:dyDescent="0.35">
      <c r="A167" s="3" t="s">
        <v>584</v>
      </c>
      <c r="B167" s="16" t="s">
        <v>3132</v>
      </c>
      <c r="C167" s="17" t="s">
        <v>1433</v>
      </c>
      <c r="D167" s="17" t="str">
        <f t="shared" si="28"/>
        <v>14/06/71</v>
      </c>
      <c r="E167" s="3" t="s">
        <v>3834</v>
      </c>
      <c r="F167" s="6">
        <v>39618.191999999995</v>
      </c>
      <c r="G167" s="68" t="str">
        <f t="shared" si="24"/>
        <v>97</v>
      </c>
      <c r="H167">
        <f t="shared" si="29"/>
        <v>51</v>
      </c>
      <c r="I167">
        <f t="shared" si="25"/>
        <v>14</v>
      </c>
      <c r="J167">
        <f t="shared" si="30"/>
        <v>179.64411467431495</v>
      </c>
      <c r="K167" s="69">
        <f t="shared" si="26"/>
        <v>89572.927012638349</v>
      </c>
      <c r="L167">
        <f t="shared" si="31"/>
        <v>89572.927012638349</v>
      </c>
      <c r="M167" s="69">
        <f t="shared" si="32"/>
        <v>410.71701098770859</v>
      </c>
      <c r="N167" s="69">
        <f t="shared" si="33"/>
        <v>7.2696385926999403</v>
      </c>
      <c r="O167">
        <f>_xlfn.XLOOKUP(N167,CBIA!$A$3:$A$24,CBIA!$C$3:$C$24,,-1)</f>
        <v>0.13</v>
      </c>
      <c r="P167" s="70">
        <f>_xlfn.XLOOKUP(N167,CBIA!$A$3:$A$24,CBIA!$D$3:$D$24,,-1)</f>
        <v>2.4500000000000001E-2</v>
      </c>
      <c r="Q167">
        <f t="shared" si="27"/>
        <v>2028</v>
      </c>
      <c r="R167">
        <f t="shared" si="34"/>
        <v>76130.097735587769</v>
      </c>
      <c r="S167" s="77">
        <f t="shared" si="35"/>
        <v>0.84992307692307678</v>
      </c>
    </row>
    <row r="168" spans="1:19" ht="15.5" x14ac:dyDescent="0.35">
      <c r="A168" s="3" t="s">
        <v>587</v>
      </c>
      <c r="B168" s="16" t="s">
        <v>3135</v>
      </c>
      <c r="C168" s="17" t="s">
        <v>1436</v>
      </c>
      <c r="D168" s="17" t="str">
        <f t="shared" si="28"/>
        <v>23/12/78</v>
      </c>
      <c r="E168" s="3" t="s">
        <v>3835</v>
      </c>
      <c r="F168" s="6">
        <v>33129.311999999998</v>
      </c>
      <c r="G168" s="68" t="str">
        <f t="shared" si="24"/>
        <v>97</v>
      </c>
      <c r="H168">
        <f t="shared" si="29"/>
        <v>44</v>
      </c>
      <c r="I168">
        <f t="shared" si="25"/>
        <v>21</v>
      </c>
      <c r="J168">
        <f t="shared" si="30"/>
        <v>236.39939945261867</v>
      </c>
      <c r="K168" s="69">
        <f t="shared" si="26"/>
        <v>112625.2031863192</v>
      </c>
      <c r="L168">
        <f t="shared" si="31"/>
        <v>112625.2031863192</v>
      </c>
      <c r="M168" s="69">
        <f t="shared" si="32"/>
        <v>577.92007975291654</v>
      </c>
      <c r="N168" s="69">
        <f t="shared" si="33"/>
        <v>6.4960079621200029</v>
      </c>
      <c r="O168">
        <f>_xlfn.XLOOKUP(N168,CBIA!$A$3:$A$24,CBIA!$C$3:$C$24,,-1)</f>
        <v>0.13</v>
      </c>
      <c r="P168" s="70">
        <f>_xlfn.XLOOKUP(N168,CBIA!$A$3:$A$24,CBIA!$D$3:$D$24,,-1)</f>
        <v>2.4500000000000001E-2</v>
      </c>
      <c r="Q168">
        <f t="shared" si="27"/>
        <v>2392</v>
      </c>
      <c r="R168">
        <f t="shared" si="34"/>
        <v>115037.98157765689</v>
      </c>
      <c r="S168" s="77">
        <f t="shared" si="35"/>
        <v>1.021423076923077</v>
      </c>
    </row>
    <row r="169" spans="1:19" ht="15.5" x14ac:dyDescent="0.35">
      <c r="A169" s="3" t="s">
        <v>599</v>
      </c>
      <c r="B169" s="16" t="s">
        <v>3147</v>
      </c>
      <c r="C169" s="17" t="s">
        <v>1448</v>
      </c>
      <c r="D169" s="17" t="str">
        <f t="shared" si="28"/>
        <v>06/09/79</v>
      </c>
      <c r="E169" s="3" t="s">
        <v>3839</v>
      </c>
      <c r="F169" s="6">
        <v>5624.6080000000002</v>
      </c>
      <c r="G169" s="68" t="str">
        <f t="shared" si="24"/>
        <v>96</v>
      </c>
      <c r="H169">
        <f t="shared" si="29"/>
        <v>43</v>
      </c>
      <c r="I169">
        <f t="shared" si="25"/>
        <v>22</v>
      </c>
      <c r="J169">
        <f t="shared" si="30"/>
        <v>245.8553754307234</v>
      </c>
      <c r="K169" s="69">
        <f t="shared" si="26"/>
        <v>20268.485381585961</v>
      </c>
      <c r="L169">
        <f t="shared" si="31"/>
        <v>20268.485381585961</v>
      </c>
      <c r="M169" s="69">
        <f t="shared" si="32"/>
        <v>606.81608374056236</v>
      </c>
      <c r="N169" s="69">
        <f t="shared" si="33"/>
        <v>1.1133788267798306</v>
      </c>
      <c r="O169">
        <f>_xlfn.XLOOKUP(N169,CBIA!$A$3:$A$24,CBIA!$C$3:$C$24,,-1)</f>
        <v>0.77110000000000001</v>
      </c>
      <c r="P169" s="70">
        <f>_xlfn.XLOOKUP(N169,CBIA!$A$3:$A$24,CBIA!$D$3:$D$24,,-1)</f>
        <v>8.1399999999999997E-3</v>
      </c>
      <c r="Q169">
        <f t="shared" si="27"/>
        <v>2496</v>
      </c>
      <c r="R169">
        <f t="shared" si="34"/>
        <v>21961.93292636007</v>
      </c>
      <c r="S169" s="77">
        <f t="shared" si="35"/>
        <v>1.0835507692307693</v>
      </c>
    </row>
    <row r="170" spans="1:19" ht="15.5" x14ac:dyDescent="0.35">
      <c r="A170" s="3" t="s">
        <v>623</v>
      </c>
      <c r="B170" s="16" t="s">
        <v>3171</v>
      </c>
      <c r="C170" s="17" t="s">
        <v>1472</v>
      </c>
      <c r="D170" s="17" t="str">
        <f t="shared" si="28"/>
        <v>19/07/74</v>
      </c>
      <c r="E170" s="3" t="s">
        <v>3851</v>
      </c>
      <c r="F170" s="6">
        <v>30183.248</v>
      </c>
      <c r="G170" s="68" t="str">
        <f t="shared" si="24"/>
        <v>92</v>
      </c>
      <c r="H170">
        <f t="shared" si="29"/>
        <v>48</v>
      </c>
      <c r="I170">
        <f t="shared" si="25"/>
        <v>17</v>
      </c>
      <c r="J170">
        <f t="shared" si="30"/>
        <v>202.07519740900864</v>
      </c>
      <c r="K170" s="69">
        <f t="shared" si="26"/>
        <v>81276.62880045062</v>
      </c>
      <c r="L170">
        <f t="shared" si="31"/>
        <v>81276.62880045062</v>
      </c>
      <c r="M170" s="69">
        <f t="shared" si="32"/>
        <v>475.4562798446463</v>
      </c>
      <c r="N170" s="69">
        <f t="shared" si="33"/>
        <v>5.6981494931568664</v>
      </c>
      <c r="O170">
        <f>_xlfn.XLOOKUP(N170,CBIA!$A$3:$A$24,CBIA!$C$3:$C$24,,-1)</f>
        <v>0.14219999999999999</v>
      </c>
      <c r="P170" s="70">
        <f>_xlfn.XLOOKUP(N170,CBIA!$A$3:$A$24,CBIA!$D$3:$D$24,,-1)</f>
        <v>2.4160000000000001E-2</v>
      </c>
      <c r="Q170">
        <f t="shared" si="27"/>
        <v>2444</v>
      </c>
      <c r="R170">
        <f t="shared" si="34"/>
        <v>84967.588075730178</v>
      </c>
      <c r="S170" s="77">
        <f t="shared" si="35"/>
        <v>1.0454123076923079</v>
      </c>
    </row>
    <row r="171" spans="1:19" ht="15.5" x14ac:dyDescent="0.35">
      <c r="A171" s="3" t="s">
        <v>625</v>
      </c>
      <c r="B171" s="16" t="s">
        <v>3173</v>
      </c>
      <c r="C171" s="17" t="s">
        <v>1474</v>
      </c>
      <c r="D171" s="17" t="str">
        <f t="shared" si="28"/>
        <v>27/03/63</v>
      </c>
      <c r="E171" s="3" t="s">
        <v>3852</v>
      </c>
      <c r="F171" s="6">
        <v>10919.679999999998</v>
      </c>
      <c r="G171" s="68" t="str">
        <f t="shared" si="24"/>
        <v>89</v>
      </c>
      <c r="H171">
        <f t="shared" si="29"/>
        <v>59</v>
      </c>
      <c r="I171">
        <f t="shared" si="25"/>
        <v>6</v>
      </c>
      <c r="J171">
        <f t="shared" si="30"/>
        <v>131.26419497877507</v>
      </c>
      <c r="K171" s="69">
        <f t="shared" si="26"/>
        <v>15489.774779719603</v>
      </c>
      <c r="L171">
        <f t="shared" si="31"/>
        <v>15489.774779719603</v>
      </c>
      <c r="M171" s="69">
        <f t="shared" si="32"/>
        <v>277.98943969124997</v>
      </c>
      <c r="N171" s="69">
        <f t="shared" si="33"/>
        <v>1.8573576987820566</v>
      </c>
      <c r="O171">
        <f>_xlfn.XLOOKUP(N171,CBIA!$A$3:$A$24,CBIA!$C$3:$C$24,,-1)</f>
        <v>0.42670000000000002</v>
      </c>
      <c r="P171" s="70">
        <f>_xlfn.XLOOKUP(N171,CBIA!$A$3:$A$24,CBIA!$D$3:$D$24,,-1)</f>
        <v>1.6150000000000001E-2</v>
      </c>
      <c r="Q171">
        <f t="shared" si="27"/>
        <v>2028</v>
      </c>
      <c r="R171">
        <f t="shared" si="34"/>
        <v>13960.338248392829</v>
      </c>
      <c r="S171" s="77">
        <f t="shared" si="35"/>
        <v>0.90126153846153856</v>
      </c>
    </row>
    <row r="172" spans="1:19" ht="15.5" x14ac:dyDescent="0.35">
      <c r="A172" s="3" t="s">
        <v>626</v>
      </c>
      <c r="B172" s="16" t="s">
        <v>3174</v>
      </c>
      <c r="C172" s="17" t="s">
        <v>1475</v>
      </c>
      <c r="D172" s="17" t="str">
        <f t="shared" si="28"/>
        <v>31/10/77</v>
      </c>
      <c r="E172" s="3" t="s">
        <v>3851</v>
      </c>
      <c r="F172" s="6">
        <v>42256.911999999997</v>
      </c>
      <c r="G172" s="68" t="str">
        <f t="shared" si="24"/>
        <v>95</v>
      </c>
      <c r="H172">
        <f t="shared" si="29"/>
        <v>45</v>
      </c>
      <c r="I172">
        <f t="shared" si="25"/>
        <v>20</v>
      </c>
      <c r="J172">
        <f t="shared" si="30"/>
        <v>227.30711485828712</v>
      </c>
      <c r="K172" s="69">
        <f t="shared" si="26"/>
        <v>135523.64142137676</v>
      </c>
      <c r="L172">
        <f t="shared" si="31"/>
        <v>135523.64142137676</v>
      </c>
      <c r="M172" s="69">
        <f t="shared" si="32"/>
        <v>550.40007595515863</v>
      </c>
      <c r="N172" s="69">
        <f t="shared" si="33"/>
        <v>8.2075837402572063</v>
      </c>
      <c r="O172">
        <f>_xlfn.XLOOKUP(N172,CBIA!$A$3:$A$24,CBIA!$C$3:$C$24,,-1)</f>
        <v>0.13</v>
      </c>
      <c r="P172" s="70">
        <f>_xlfn.XLOOKUP(N172,CBIA!$A$3:$A$24,CBIA!$D$3:$D$24,,-1)</f>
        <v>2.4500000000000001E-2</v>
      </c>
      <c r="Q172">
        <f t="shared" si="27"/>
        <v>2444</v>
      </c>
      <c r="R172">
        <f t="shared" si="34"/>
        <v>141747.30403126613</v>
      </c>
      <c r="S172" s="77">
        <f t="shared" si="35"/>
        <v>1.045923076923077</v>
      </c>
    </row>
    <row r="173" spans="1:19" ht="15.5" x14ac:dyDescent="0.35">
      <c r="A173" s="3" t="s">
        <v>628</v>
      </c>
      <c r="B173" s="16" t="s">
        <v>3176</v>
      </c>
      <c r="C173" s="17" t="s">
        <v>1477</v>
      </c>
      <c r="D173" s="17" t="str">
        <f t="shared" si="28"/>
        <v>15/10/78</v>
      </c>
      <c r="E173" s="3" t="s">
        <v>3852</v>
      </c>
      <c r="F173" s="6">
        <v>17868.207999999999</v>
      </c>
      <c r="G173" s="68" t="str">
        <f t="shared" si="24"/>
        <v>97</v>
      </c>
      <c r="H173">
        <f t="shared" si="29"/>
        <v>44</v>
      </c>
      <c r="I173">
        <f t="shared" si="25"/>
        <v>21</v>
      </c>
      <c r="J173">
        <f t="shared" si="30"/>
        <v>236.39939945261867</v>
      </c>
      <c r="K173" s="69">
        <f t="shared" si="26"/>
        <v>60744.109523778039</v>
      </c>
      <c r="L173">
        <f t="shared" si="31"/>
        <v>60744.109523778039</v>
      </c>
      <c r="M173" s="69">
        <f t="shared" si="32"/>
        <v>577.92007975291654</v>
      </c>
      <c r="N173" s="69">
        <f t="shared" si="33"/>
        <v>3.5036049476915285</v>
      </c>
      <c r="O173">
        <f>_xlfn.XLOOKUP(N173,CBIA!$A$3:$A$24,CBIA!$C$3:$C$24,,-1)</f>
        <v>0.23699999999999999</v>
      </c>
      <c r="P173" s="70">
        <f>_xlfn.XLOOKUP(N173,CBIA!$A$3:$A$24,CBIA!$D$3:$D$24,,-1)</f>
        <v>2.1489999999999999E-2</v>
      </c>
      <c r="Q173">
        <f t="shared" si="27"/>
        <v>2392</v>
      </c>
      <c r="R173">
        <f t="shared" si="34"/>
        <v>61892.500277444109</v>
      </c>
      <c r="S173" s="77">
        <f t="shared" si="35"/>
        <v>1.0189053846153846</v>
      </c>
    </row>
    <row r="174" spans="1:19" ht="15.5" x14ac:dyDescent="0.35">
      <c r="A174" s="3" t="s">
        <v>637</v>
      </c>
      <c r="B174" s="16" t="s">
        <v>3185</v>
      </c>
      <c r="C174" s="17" t="s">
        <v>1486</v>
      </c>
      <c r="D174" s="17" t="str">
        <f t="shared" si="28"/>
        <v>17/06/80</v>
      </c>
      <c r="E174" s="3" t="s">
        <v>3855</v>
      </c>
      <c r="F174" s="6">
        <v>10820.271999999999</v>
      </c>
      <c r="G174" s="68" t="str">
        <f t="shared" si="24"/>
        <v>96</v>
      </c>
      <c r="H174">
        <f t="shared" si="29"/>
        <v>42</v>
      </c>
      <c r="I174">
        <f t="shared" si="25"/>
        <v>23</v>
      </c>
      <c r="J174">
        <f t="shared" si="30"/>
        <v>255.6895904479523</v>
      </c>
      <c r="K174" s="69">
        <f t="shared" si="26"/>
        <v>41330.730310128441</v>
      </c>
      <c r="L174">
        <f t="shared" si="31"/>
        <v>41330.730310128441</v>
      </c>
      <c r="M174" s="69">
        <f t="shared" si="32"/>
        <v>637.15688792759067</v>
      </c>
      <c r="N174" s="69">
        <f t="shared" si="33"/>
        <v>2.1622476919596321</v>
      </c>
      <c r="O174">
        <f>_xlfn.XLOOKUP(N174,CBIA!$A$3:$A$24,CBIA!$C$3:$C$24,,-1)</f>
        <v>0.3765</v>
      </c>
      <c r="P174" s="70">
        <f>_xlfn.XLOOKUP(N174,CBIA!$A$3:$A$24,CBIA!$D$3:$D$24,,-1)</f>
        <v>1.7559999999999999E-2</v>
      </c>
      <c r="Q174">
        <f t="shared" si="27"/>
        <v>2548</v>
      </c>
      <c r="R174">
        <f t="shared" si="34"/>
        <v>44145.098701292431</v>
      </c>
      <c r="S174" s="77">
        <f t="shared" si="35"/>
        <v>1.0680938461538461</v>
      </c>
    </row>
    <row r="175" spans="1:19" ht="15.5" x14ac:dyDescent="0.35">
      <c r="A175" s="3" t="s">
        <v>649</v>
      </c>
      <c r="B175" s="16" t="s">
        <v>3197</v>
      </c>
      <c r="C175" s="17" t="s">
        <v>1496</v>
      </c>
      <c r="D175" s="17" t="str">
        <f t="shared" si="28"/>
        <v>19/12/74</v>
      </c>
      <c r="E175" s="3" t="s">
        <v>3556</v>
      </c>
      <c r="F175" s="6">
        <v>13261.088</v>
      </c>
      <c r="G175" s="68" t="str">
        <f t="shared" si="24"/>
        <v>93</v>
      </c>
      <c r="H175">
        <f t="shared" si="29"/>
        <v>48</v>
      </c>
      <c r="I175">
        <f t="shared" si="25"/>
        <v>17</v>
      </c>
      <c r="J175">
        <f t="shared" si="30"/>
        <v>202.07519740900864</v>
      </c>
      <c r="K175" s="69">
        <f t="shared" si="26"/>
        <v>35709.096876058866</v>
      </c>
      <c r="L175">
        <f t="shared" si="31"/>
        <v>35709.096876058866</v>
      </c>
      <c r="M175" s="69">
        <f t="shared" si="32"/>
        <v>475.4562798446463</v>
      </c>
      <c r="N175" s="69">
        <f t="shared" si="33"/>
        <v>2.5034967034001308</v>
      </c>
      <c r="O175">
        <f>_xlfn.XLOOKUP(N175,CBIA!$A$3:$A$24,CBIA!$C$3:$C$24,,-1)</f>
        <v>0.33679999999999999</v>
      </c>
      <c r="P175" s="70">
        <f>_xlfn.XLOOKUP(N175,CBIA!$A$3:$A$24,CBIA!$D$3:$D$24,,-1)</f>
        <v>1.8680000000000002E-2</v>
      </c>
      <c r="Q175">
        <f t="shared" si="27"/>
        <v>2392</v>
      </c>
      <c r="R175">
        <f t="shared" si="34"/>
        <v>36297.033421855151</v>
      </c>
      <c r="S175" s="77">
        <f t="shared" si="35"/>
        <v>1.0164646153846155</v>
      </c>
    </row>
    <row r="176" spans="1:19" ht="15.5" x14ac:dyDescent="0.35">
      <c r="A176" s="3" t="s">
        <v>651</v>
      </c>
      <c r="B176" s="16" t="s">
        <v>3199</v>
      </c>
      <c r="C176" s="17" t="s">
        <v>1497</v>
      </c>
      <c r="D176" s="17" t="str">
        <f t="shared" si="28"/>
        <v>14/07/81</v>
      </c>
      <c r="E176" s="3" t="s">
        <v>3861</v>
      </c>
      <c r="F176" s="6">
        <v>16682</v>
      </c>
      <c r="G176" s="68" t="str">
        <f t="shared" si="24"/>
        <v>96</v>
      </c>
      <c r="H176">
        <f t="shared" si="29"/>
        <v>41</v>
      </c>
      <c r="I176">
        <f t="shared" si="25"/>
        <v>24</v>
      </c>
      <c r="J176">
        <f t="shared" si="30"/>
        <v>265.91717406587043</v>
      </c>
      <c r="K176" s="69">
        <f t="shared" si="26"/>
        <v>67544.327685623459</v>
      </c>
      <c r="L176">
        <f t="shared" si="31"/>
        <v>67544.327685623459</v>
      </c>
      <c r="M176" s="69">
        <f t="shared" si="32"/>
        <v>669.01473232397007</v>
      </c>
      <c r="N176" s="69">
        <f t="shared" si="33"/>
        <v>3.365363243496565</v>
      </c>
      <c r="O176">
        <f>_xlfn.XLOOKUP(N176,CBIA!$A$3:$A$24,CBIA!$C$3:$C$24,,-1)</f>
        <v>0.23699999999999999</v>
      </c>
      <c r="P176" s="70">
        <f>_xlfn.XLOOKUP(N176,CBIA!$A$3:$A$24,CBIA!$D$3:$D$24,,-1)</f>
        <v>2.1489999999999999E-2</v>
      </c>
      <c r="Q176">
        <f t="shared" si="27"/>
        <v>2600</v>
      </c>
      <c r="R176">
        <f t="shared" si="34"/>
        <v>74627.389586963938</v>
      </c>
      <c r="S176" s="77">
        <f t="shared" si="35"/>
        <v>1.1048653846153846</v>
      </c>
    </row>
    <row r="177" spans="1:19" ht="15.5" x14ac:dyDescent="0.35">
      <c r="A177" s="3" t="s">
        <v>652</v>
      </c>
      <c r="B177" s="16" t="s">
        <v>3200</v>
      </c>
      <c r="C177" s="17" t="s">
        <v>1498</v>
      </c>
      <c r="D177" s="17" t="str">
        <f t="shared" si="28"/>
        <v>08/12/71</v>
      </c>
      <c r="E177" s="3" t="s">
        <v>3862</v>
      </c>
      <c r="F177" s="6">
        <v>5624.6080000000002</v>
      </c>
      <c r="G177" s="68" t="str">
        <f t="shared" si="24"/>
        <v>90</v>
      </c>
      <c r="H177">
        <f t="shared" si="29"/>
        <v>51</v>
      </c>
      <c r="I177">
        <f t="shared" si="25"/>
        <v>14</v>
      </c>
      <c r="J177">
        <f t="shared" si="30"/>
        <v>179.64411467431495</v>
      </c>
      <c r="K177" s="69">
        <f t="shared" si="26"/>
        <v>12716.698476767991</v>
      </c>
      <c r="L177">
        <f t="shared" si="31"/>
        <v>12716.698476767991</v>
      </c>
      <c r="M177" s="69">
        <f t="shared" si="32"/>
        <v>410.71701098770859</v>
      </c>
      <c r="N177" s="69">
        <f t="shared" si="33"/>
        <v>1.0320730281081183</v>
      </c>
      <c r="O177">
        <f>_xlfn.XLOOKUP(N177,CBIA!$A$3:$A$24,CBIA!$C$3:$C$24,,-1)</f>
        <v>0.77110000000000001</v>
      </c>
      <c r="P177" s="70">
        <f>_xlfn.XLOOKUP(N177,CBIA!$A$3:$A$24,CBIA!$D$3:$D$24,,-1)</f>
        <v>8.1399999999999997E-3</v>
      </c>
      <c r="Q177">
        <f t="shared" si="27"/>
        <v>2392</v>
      </c>
      <c r="R177">
        <f t="shared" si="34"/>
        <v>13572.160565375925</v>
      </c>
      <c r="S177" s="77">
        <f t="shared" si="35"/>
        <v>1.0672707692307692</v>
      </c>
    </row>
    <row r="178" spans="1:19" ht="15.5" x14ac:dyDescent="0.35">
      <c r="A178" s="3" t="s">
        <v>681</v>
      </c>
      <c r="B178" s="16" t="s">
        <v>3229</v>
      </c>
      <c r="C178" s="17" t="s">
        <v>1168</v>
      </c>
      <c r="D178" s="17" t="str">
        <f t="shared" si="28"/>
        <v>26/08/66</v>
      </c>
      <c r="E178" s="3" t="s">
        <v>3878</v>
      </c>
      <c r="F178" s="6">
        <v>8547.8719999999994</v>
      </c>
      <c r="G178" s="68" t="str">
        <f t="shared" si="24"/>
        <v>84</v>
      </c>
      <c r="H178">
        <f t="shared" si="29"/>
        <v>56</v>
      </c>
      <c r="I178">
        <f t="shared" si="25"/>
        <v>9</v>
      </c>
      <c r="J178">
        <f t="shared" si="30"/>
        <v>147.65436742060487</v>
      </c>
      <c r="K178" s="69">
        <f t="shared" si="26"/>
        <v>14441.449888248266</v>
      </c>
      <c r="L178">
        <f t="shared" si="31"/>
        <v>14441.449888248266</v>
      </c>
      <c r="M178" s="69">
        <f t="shared" si="32"/>
        <v>321.80752512258329</v>
      </c>
      <c r="N178" s="69">
        <f t="shared" si="33"/>
        <v>1.4958682608750073</v>
      </c>
      <c r="O178">
        <f>_xlfn.XLOOKUP(N178,CBIA!$A$3:$A$24,CBIA!$C$3:$C$24,,-1)</f>
        <v>0.58179999999999998</v>
      </c>
      <c r="P178" s="70">
        <f>_xlfn.XLOOKUP(N178,CBIA!$A$3:$A$24,CBIA!$D$3:$D$24,,-1)</f>
        <v>1.1779999999999999E-2</v>
      </c>
      <c r="Q178">
        <f t="shared" si="27"/>
        <v>2444</v>
      </c>
      <c r="R178">
        <f t="shared" si="34"/>
        <v>14761.916770076101</v>
      </c>
      <c r="S178" s="77">
        <f t="shared" si="35"/>
        <v>1.0221907692307692</v>
      </c>
    </row>
    <row r="179" spans="1:19" ht="15.5" x14ac:dyDescent="0.35">
      <c r="A179" s="3" t="s">
        <v>684</v>
      </c>
      <c r="B179" s="16" t="s">
        <v>3232</v>
      </c>
      <c r="C179" s="17" t="s">
        <v>1527</v>
      </c>
      <c r="D179" s="17" t="str">
        <f t="shared" si="28"/>
        <v>07/11/68</v>
      </c>
      <c r="E179" s="3" t="s">
        <v>3879</v>
      </c>
      <c r="F179" s="6">
        <v>48656.415999999997</v>
      </c>
      <c r="G179" s="68" t="str">
        <f t="shared" si="24"/>
        <v>96</v>
      </c>
      <c r="H179">
        <f t="shared" si="29"/>
        <v>54</v>
      </c>
      <c r="I179">
        <f t="shared" si="25"/>
        <v>11</v>
      </c>
      <c r="J179">
        <f t="shared" si="30"/>
        <v>159.70296380212622</v>
      </c>
      <c r="K179" s="69">
        <f t="shared" si="26"/>
        <v>92364.404346568757</v>
      </c>
      <c r="L179">
        <f t="shared" si="31"/>
        <v>92364.404346568757</v>
      </c>
      <c r="M179" s="69">
        <f t="shared" si="32"/>
        <v>354.79279644764813</v>
      </c>
      <c r="N179" s="69">
        <f t="shared" si="33"/>
        <v>8.6777789995892913</v>
      </c>
      <c r="O179">
        <f>_xlfn.XLOOKUP(N179,CBIA!$A$3:$A$24,CBIA!$C$3:$C$24,,-1)</f>
        <v>0.13</v>
      </c>
      <c r="P179" s="70">
        <f>_xlfn.XLOOKUP(N179,CBIA!$A$3:$A$24,CBIA!$D$3:$D$24,,-1)</f>
        <v>2.4500000000000001E-2</v>
      </c>
      <c r="Q179">
        <f t="shared" si="27"/>
        <v>1924</v>
      </c>
      <c r="R179">
        <f t="shared" si="34"/>
        <v>73976.782927421067</v>
      </c>
      <c r="S179" s="77">
        <f t="shared" si="35"/>
        <v>0.80092307692307685</v>
      </c>
    </row>
    <row r="180" spans="1:19" ht="15.5" x14ac:dyDescent="0.35">
      <c r="A180" s="3" t="s">
        <v>692</v>
      </c>
      <c r="B180" s="16" t="s">
        <v>3240</v>
      </c>
      <c r="C180" s="17" t="s">
        <v>1534</v>
      </c>
      <c r="D180" s="17" t="str">
        <f t="shared" si="28"/>
        <v>18/01/65</v>
      </c>
      <c r="E180" s="3" t="s">
        <v>3886</v>
      </c>
      <c r="F180" s="6">
        <v>8677.3760000000002</v>
      </c>
      <c r="G180" s="68" t="str">
        <f t="shared" si="24"/>
        <v>81</v>
      </c>
      <c r="H180">
        <f t="shared" si="29"/>
        <v>57</v>
      </c>
      <c r="I180">
        <f t="shared" si="25"/>
        <v>8</v>
      </c>
      <c r="J180">
        <f t="shared" si="30"/>
        <v>141.97535328904314</v>
      </c>
      <c r="K180" s="69">
        <f t="shared" si="26"/>
        <v>13830.419029580144</v>
      </c>
      <c r="L180">
        <f t="shared" si="31"/>
        <v>13830.419029580144</v>
      </c>
      <c r="M180" s="69">
        <f t="shared" si="32"/>
        <v>306.48335725960311</v>
      </c>
      <c r="N180" s="69">
        <f t="shared" si="33"/>
        <v>1.5042055522191864</v>
      </c>
      <c r="O180">
        <f>_xlfn.XLOOKUP(N180,CBIA!$A$3:$A$24,CBIA!$C$3:$C$24,,-1)</f>
        <v>0.58179999999999998</v>
      </c>
      <c r="P180" s="70">
        <f>_xlfn.XLOOKUP(N180,CBIA!$A$3:$A$24,CBIA!$D$3:$D$24,,-1)</f>
        <v>1.1779999999999999E-2</v>
      </c>
      <c r="Q180">
        <f t="shared" si="27"/>
        <v>2548</v>
      </c>
      <c r="R180">
        <f t="shared" si="34"/>
        <v>14463.171338967304</v>
      </c>
      <c r="S180" s="77">
        <f t="shared" si="35"/>
        <v>1.0457507692307693</v>
      </c>
    </row>
    <row r="181" spans="1:19" ht="15.5" x14ac:dyDescent="0.35">
      <c r="A181" s="3" t="s">
        <v>701</v>
      </c>
      <c r="B181" s="16" t="s">
        <v>3249</v>
      </c>
      <c r="C181" s="17" t="s">
        <v>1543</v>
      </c>
      <c r="D181" s="17" t="str">
        <f t="shared" si="28"/>
        <v>02/12/76</v>
      </c>
      <c r="E181" s="3" t="s">
        <v>3899</v>
      </c>
      <c r="F181" s="6">
        <v>23885.887999999999</v>
      </c>
      <c r="G181" s="68" t="str">
        <f t="shared" si="24"/>
        <v>97</v>
      </c>
      <c r="H181">
        <f t="shared" si="29"/>
        <v>46</v>
      </c>
      <c r="I181">
        <f t="shared" si="25"/>
        <v>19</v>
      </c>
      <c r="J181">
        <f t="shared" si="30"/>
        <v>218.56453351758375</v>
      </c>
      <c r="K181" s="69">
        <f t="shared" si="26"/>
        <v>72269.130839720005</v>
      </c>
      <c r="L181">
        <f t="shared" si="31"/>
        <v>72269.130839720005</v>
      </c>
      <c r="M181" s="69">
        <f t="shared" si="32"/>
        <v>524.1905485287225</v>
      </c>
      <c r="N181" s="69">
        <f t="shared" si="33"/>
        <v>4.5956017992923988</v>
      </c>
      <c r="O181">
        <f>_xlfn.XLOOKUP(N181,CBIA!$A$3:$A$24,CBIA!$C$3:$C$24,,-1)</f>
        <v>0.17300000000000001</v>
      </c>
      <c r="P181" s="70">
        <f>_xlfn.XLOOKUP(N181,CBIA!$A$3:$A$24,CBIA!$D$3:$D$24,,-1)</f>
        <v>2.3300000000000001E-2</v>
      </c>
      <c r="Q181">
        <f t="shared" si="27"/>
        <v>2288</v>
      </c>
      <c r="R181">
        <f t="shared" si="34"/>
        <v>70401.807682099869</v>
      </c>
      <c r="S181" s="77">
        <f t="shared" si="35"/>
        <v>0.97416153846153863</v>
      </c>
    </row>
    <row r="182" spans="1:19" ht="15.5" x14ac:dyDescent="0.35">
      <c r="A182" s="3" t="s">
        <v>702</v>
      </c>
      <c r="B182" s="16" t="s">
        <v>3250</v>
      </c>
      <c r="C182" s="17" t="s">
        <v>1544</v>
      </c>
      <c r="D182" s="17" t="str">
        <f t="shared" si="28"/>
        <v>27/02/75</v>
      </c>
      <c r="E182" s="3" t="s">
        <v>3899</v>
      </c>
      <c r="F182" s="6">
        <v>18799.359999999997</v>
      </c>
      <c r="G182" s="68" t="str">
        <f t="shared" si="24"/>
        <v>94</v>
      </c>
      <c r="H182">
        <f t="shared" si="29"/>
        <v>47</v>
      </c>
      <c r="I182">
        <f t="shared" si="25"/>
        <v>18</v>
      </c>
      <c r="J182">
        <f t="shared" si="30"/>
        <v>210.15820530536899</v>
      </c>
      <c r="K182" s="69">
        <f t="shared" si="26"/>
        <v>53659.749297703194</v>
      </c>
      <c r="L182">
        <f t="shared" si="31"/>
        <v>53659.749297703194</v>
      </c>
      <c r="M182" s="69">
        <f t="shared" si="32"/>
        <v>499.22909383687863</v>
      </c>
      <c r="N182" s="69">
        <f t="shared" si="33"/>
        <v>3.5828406877822663</v>
      </c>
      <c r="O182">
        <f>_xlfn.XLOOKUP(N182,CBIA!$A$3:$A$24,CBIA!$C$3:$C$24,,-1)</f>
        <v>0.22070000000000001</v>
      </c>
      <c r="P182" s="70">
        <f>_xlfn.XLOOKUP(N182,CBIA!$A$3:$A$24,CBIA!$D$3:$D$24,,-1)</f>
        <v>2.1949999999999997E-2</v>
      </c>
      <c r="Q182">
        <f t="shared" si="27"/>
        <v>2392</v>
      </c>
      <c r="R182">
        <f t="shared" si="34"/>
        <v>54697.652679311454</v>
      </c>
      <c r="S182" s="77">
        <f t="shared" si="35"/>
        <v>1.0193423076923076</v>
      </c>
    </row>
    <row r="183" spans="1:19" ht="15.5" x14ac:dyDescent="0.35">
      <c r="A183" s="3" t="s">
        <v>706</v>
      </c>
      <c r="B183" s="16" t="s">
        <v>3254</v>
      </c>
      <c r="C183" s="17" t="s">
        <v>1548</v>
      </c>
      <c r="D183" s="17" t="str">
        <f t="shared" si="28"/>
        <v>02/05/71</v>
      </c>
      <c r="E183" s="3" t="s">
        <v>3898</v>
      </c>
      <c r="F183" s="6">
        <v>10049.023999999999</v>
      </c>
      <c r="G183" s="68" t="str">
        <f t="shared" si="24"/>
        <v>91</v>
      </c>
      <c r="H183">
        <f t="shared" si="29"/>
        <v>51</v>
      </c>
      <c r="I183">
        <f t="shared" si="25"/>
        <v>14</v>
      </c>
      <c r="J183">
        <f t="shared" si="30"/>
        <v>179.64411467431495</v>
      </c>
      <c r="K183" s="69">
        <f t="shared" si="26"/>
        <v>22719.878113071165</v>
      </c>
      <c r="L183">
        <f t="shared" si="31"/>
        <v>22719.878113071165</v>
      </c>
      <c r="M183" s="69">
        <f t="shared" si="32"/>
        <v>410.71701098770859</v>
      </c>
      <c r="N183" s="69">
        <f t="shared" si="33"/>
        <v>1.8439199014777838</v>
      </c>
      <c r="O183">
        <f>_xlfn.XLOOKUP(N183,CBIA!$A$3:$A$24,CBIA!$C$3:$C$24,,-1)</f>
        <v>0.42670000000000002</v>
      </c>
      <c r="P183" s="70">
        <f>_xlfn.XLOOKUP(N183,CBIA!$A$3:$A$24,CBIA!$D$3:$D$24,,-1)</f>
        <v>1.6150000000000001E-2</v>
      </c>
      <c r="Q183">
        <f t="shared" si="27"/>
        <v>2340</v>
      </c>
      <c r="R183">
        <f t="shared" si="34"/>
        <v>22678.108491001753</v>
      </c>
      <c r="S183" s="77">
        <f t="shared" si="35"/>
        <v>0.99816153846153854</v>
      </c>
    </row>
    <row r="184" spans="1:19" ht="15.5" x14ac:dyDescent="0.35">
      <c r="A184" s="3" t="s">
        <v>716</v>
      </c>
      <c r="B184" s="16" t="s">
        <v>3264</v>
      </c>
      <c r="C184" s="17" t="s">
        <v>1557</v>
      </c>
      <c r="D184" s="17" t="str">
        <f t="shared" si="28"/>
        <v>11/08/71</v>
      </c>
      <c r="E184" s="3" t="s">
        <v>3903</v>
      </c>
      <c r="F184" s="6">
        <v>22161.903999999999</v>
      </c>
      <c r="G184" s="68" t="str">
        <f t="shared" si="24"/>
        <v>90</v>
      </c>
      <c r="H184">
        <f t="shared" si="29"/>
        <v>51</v>
      </c>
      <c r="I184">
        <f t="shared" si="25"/>
        <v>14</v>
      </c>
      <c r="J184">
        <f t="shared" si="30"/>
        <v>179.64411467431495</v>
      </c>
      <c r="K184" s="69">
        <f t="shared" si="26"/>
        <v>50105.936420649836</v>
      </c>
      <c r="L184">
        <f t="shared" si="31"/>
        <v>50105.936420649836</v>
      </c>
      <c r="M184" s="69">
        <f t="shared" si="32"/>
        <v>410.71701098770859</v>
      </c>
      <c r="N184" s="69">
        <f t="shared" si="33"/>
        <v>4.0665417696524662</v>
      </c>
      <c r="O184">
        <f>_xlfn.XLOOKUP(N184,CBIA!$A$3:$A$24,CBIA!$C$3:$C$24,,-1)</f>
        <v>0.19390000000000002</v>
      </c>
      <c r="P184" s="70">
        <f>_xlfn.XLOOKUP(N184,CBIA!$A$3:$A$24,CBIA!$D$3:$D$24,,-1)</f>
        <v>2.2709999999999998E-2</v>
      </c>
      <c r="Q184">
        <f t="shared" si="27"/>
        <v>2392</v>
      </c>
      <c r="R184">
        <f t="shared" si="34"/>
        <v>51117.806535150849</v>
      </c>
      <c r="S184" s="77">
        <f t="shared" si="35"/>
        <v>1.0201946153846153</v>
      </c>
    </row>
    <row r="185" spans="1:19" ht="15.5" x14ac:dyDescent="0.35">
      <c r="A185" s="3" t="s">
        <v>722</v>
      </c>
      <c r="B185" s="16" t="s">
        <v>3270</v>
      </c>
      <c r="C185" s="17" t="s">
        <v>1562</v>
      </c>
      <c r="D185" s="17" t="str">
        <f t="shared" si="28"/>
        <v>05/03/69</v>
      </c>
      <c r="E185" s="3" t="s">
        <v>3915</v>
      </c>
      <c r="F185" s="6">
        <v>18691.439999999999</v>
      </c>
      <c r="G185" s="68" t="str">
        <f t="shared" si="24"/>
        <v>90</v>
      </c>
      <c r="H185">
        <f t="shared" si="29"/>
        <v>53</v>
      </c>
      <c r="I185">
        <f t="shared" si="25"/>
        <v>12</v>
      </c>
      <c r="J185">
        <f t="shared" si="30"/>
        <v>166.0910823542113</v>
      </c>
      <c r="K185" s="69">
        <f t="shared" si="26"/>
        <v>37610.849621525907</v>
      </c>
      <c r="L185">
        <f t="shared" si="31"/>
        <v>37610.849621525907</v>
      </c>
      <c r="M185" s="69">
        <f t="shared" si="32"/>
        <v>372.53243627003047</v>
      </c>
      <c r="N185" s="69">
        <f t="shared" si="33"/>
        <v>3.3653310834803523</v>
      </c>
      <c r="O185">
        <f>_xlfn.XLOOKUP(N185,CBIA!$A$3:$A$24,CBIA!$C$3:$C$24,,-1)</f>
        <v>0.23699999999999999</v>
      </c>
      <c r="P185" s="70">
        <f>_xlfn.XLOOKUP(N185,CBIA!$A$3:$A$24,CBIA!$D$3:$D$24,,-1)</f>
        <v>2.1489999999999999E-2</v>
      </c>
      <c r="Q185">
        <f t="shared" si="27"/>
        <v>2288</v>
      </c>
      <c r="R185">
        <f t="shared" si="34"/>
        <v>36705.382882599064</v>
      </c>
      <c r="S185" s="77">
        <f t="shared" si="35"/>
        <v>0.97592538461538458</v>
      </c>
    </row>
    <row r="186" spans="1:19" ht="15.5" x14ac:dyDescent="0.35">
      <c r="A186" s="3" t="s">
        <v>751</v>
      </c>
      <c r="B186" s="16" t="s">
        <v>3299</v>
      </c>
      <c r="C186" s="17" t="s">
        <v>1589</v>
      </c>
      <c r="D186" s="17" t="str">
        <f t="shared" si="28"/>
        <v>11/03/70</v>
      </c>
      <c r="E186" s="3" t="s">
        <v>3938</v>
      </c>
      <c r="F186" s="6">
        <v>5617.3119999999999</v>
      </c>
      <c r="G186" s="68" t="str">
        <f t="shared" si="24"/>
        <v>96</v>
      </c>
      <c r="H186">
        <f t="shared" si="29"/>
        <v>52</v>
      </c>
      <c r="I186">
        <f t="shared" si="25"/>
        <v>13</v>
      </c>
      <c r="J186">
        <f t="shared" si="30"/>
        <v>172.73472564837977</v>
      </c>
      <c r="K186" s="69">
        <f t="shared" si="26"/>
        <v>11981.323510855478</v>
      </c>
      <c r="L186">
        <f t="shared" si="31"/>
        <v>11981.323510855478</v>
      </c>
      <c r="M186" s="69">
        <f t="shared" si="32"/>
        <v>391.15905808353205</v>
      </c>
      <c r="N186" s="69">
        <f t="shared" si="33"/>
        <v>1.0210103591070674</v>
      </c>
      <c r="O186">
        <f>_xlfn.XLOOKUP(N186,CBIA!$A$3:$A$24,CBIA!$C$3:$C$24,,-1)</f>
        <v>0.77110000000000001</v>
      </c>
      <c r="P186" s="70">
        <f>_xlfn.XLOOKUP(N186,CBIA!$A$3:$A$24,CBIA!$D$3:$D$24,,-1)</f>
        <v>8.1399999999999997E-3</v>
      </c>
      <c r="Q186">
        <f t="shared" si="27"/>
        <v>2028</v>
      </c>
      <c r="R186">
        <f t="shared" si="34"/>
        <v>12104.620546184882</v>
      </c>
      <c r="S186" s="77">
        <f t="shared" si="35"/>
        <v>1.0102907692307692</v>
      </c>
    </row>
    <row r="187" spans="1:19" ht="15.5" x14ac:dyDescent="0.35">
      <c r="A187" s="3" t="s">
        <v>759</v>
      </c>
      <c r="B187" s="16" t="s">
        <v>3307</v>
      </c>
      <c r="C187" s="17" t="s">
        <v>1596</v>
      </c>
      <c r="D187" s="17" t="str">
        <f t="shared" si="28"/>
        <v>13/05/75</v>
      </c>
      <c r="E187" s="3" t="s">
        <v>3940</v>
      </c>
      <c r="F187" s="6">
        <v>22644.61</v>
      </c>
      <c r="G187" s="68" t="str">
        <f t="shared" si="24"/>
        <v>93</v>
      </c>
      <c r="H187">
        <f t="shared" si="29"/>
        <v>47</v>
      </c>
      <c r="I187">
        <f t="shared" si="25"/>
        <v>18</v>
      </c>
      <c r="J187">
        <f t="shared" si="30"/>
        <v>210.15820530536899</v>
      </c>
      <c r="K187" s="69">
        <f t="shared" si="26"/>
        <v>64635.396925441237</v>
      </c>
      <c r="L187">
        <f t="shared" si="31"/>
        <v>64635.396925441237</v>
      </c>
      <c r="M187" s="69">
        <f t="shared" si="32"/>
        <v>499.22909383687863</v>
      </c>
      <c r="N187" s="69">
        <f t="shared" si="33"/>
        <v>4.3156804309806933</v>
      </c>
      <c r="O187">
        <f>_xlfn.XLOOKUP(N187,CBIA!$A$3:$A$24,CBIA!$C$3:$C$24,,-1)</f>
        <v>0.18289999999999998</v>
      </c>
      <c r="P187" s="70">
        <f>_xlfn.XLOOKUP(N187,CBIA!$A$3:$A$24,CBIA!$D$3:$D$24,,-1)</f>
        <v>2.3019999999999999E-2</v>
      </c>
      <c r="Q187">
        <f t="shared" si="27"/>
        <v>2444</v>
      </c>
      <c r="R187">
        <f t="shared" si="34"/>
        <v>67446.638935409152</v>
      </c>
      <c r="S187" s="77">
        <f t="shared" si="35"/>
        <v>1.0434938461538461</v>
      </c>
    </row>
    <row r="188" spans="1:19" ht="15.5" x14ac:dyDescent="0.35">
      <c r="A188" s="3" t="s">
        <v>3944</v>
      </c>
      <c r="B188" s="16" t="s">
        <v>3945</v>
      </c>
      <c r="C188" s="17" t="s">
        <v>1072</v>
      </c>
      <c r="D188" s="17" t="str">
        <f t="shared" si="28"/>
        <v>14/07/74</v>
      </c>
      <c r="E188" s="3" t="s">
        <v>3947</v>
      </c>
      <c r="F188" s="6">
        <v>19355.68</v>
      </c>
      <c r="G188" s="68" t="str">
        <f t="shared" si="24"/>
        <v>93</v>
      </c>
      <c r="H188">
        <f t="shared" si="29"/>
        <v>48</v>
      </c>
      <c r="I188">
        <f t="shared" si="25"/>
        <v>17</v>
      </c>
      <c r="J188">
        <f t="shared" si="30"/>
        <v>202.07519740900864</v>
      </c>
      <c r="K188" s="69">
        <f t="shared" si="26"/>
        <v>52120.448354011009</v>
      </c>
      <c r="L188">
        <f t="shared" si="31"/>
        <v>52120.448354011009</v>
      </c>
      <c r="M188" s="69">
        <f t="shared" si="32"/>
        <v>475.4562798446463</v>
      </c>
      <c r="N188" s="69">
        <f t="shared" si="33"/>
        <v>3.654065267651331</v>
      </c>
      <c r="O188">
        <f>_xlfn.XLOOKUP(N188,CBIA!$A$3:$A$24,CBIA!$C$3:$C$24,,-1)</f>
        <v>0.22070000000000001</v>
      </c>
      <c r="P188" s="70">
        <f>_xlfn.XLOOKUP(N188,CBIA!$A$3:$A$24,CBIA!$D$3:$D$24,,-1)</f>
        <v>2.1949999999999997E-2</v>
      </c>
      <c r="Q188">
        <f t="shared" si="27"/>
        <v>2392</v>
      </c>
      <c r="R188">
        <f t="shared" si="34"/>
        <v>53128.578103135318</v>
      </c>
      <c r="S188" s="77">
        <f t="shared" si="35"/>
        <v>1.0193423076923076</v>
      </c>
    </row>
    <row r="189" spans="1:19" ht="15.5" x14ac:dyDescent="0.35">
      <c r="A189" s="3" t="s">
        <v>4097</v>
      </c>
      <c r="B189" s="16" t="s">
        <v>4098</v>
      </c>
      <c r="C189" s="17" t="s">
        <v>4100</v>
      </c>
      <c r="D189" s="17" t="str">
        <f t="shared" si="28"/>
        <v>07/06/63</v>
      </c>
      <c r="E189" s="3" t="s">
        <v>4101</v>
      </c>
      <c r="F189" s="6">
        <v>44097.935999999994</v>
      </c>
      <c r="G189" s="68" t="str">
        <f t="shared" si="24"/>
        <v>85</v>
      </c>
      <c r="H189">
        <f t="shared" si="29"/>
        <v>59</v>
      </c>
      <c r="I189">
        <f t="shared" si="25"/>
        <v>6</v>
      </c>
      <c r="J189">
        <f t="shared" si="30"/>
        <v>131.26419497877507</v>
      </c>
      <c r="K189" s="69">
        <f t="shared" si="26"/>
        <v>62553.765027041918</v>
      </c>
      <c r="L189">
        <f t="shared" si="31"/>
        <v>62553.765027041918</v>
      </c>
      <c r="M189" s="69">
        <f t="shared" si="32"/>
        <v>277.98943969124997</v>
      </c>
      <c r="N189" s="69">
        <f t="shared" si="33"/>
        <v>7.5007363704795749</v>
      </c>
      <c r="O189">
        <f>_xlfn.XLOOKUP(N189,CBIA!$A$3:$A$24,CBIA!$C$3:$C$24,,-1)</f>
        <v>0.13</v>
      </c>
      <c r="P189" s="70">
        <f>_xlfn.XLOOKUP(N189,CBIA!$A$3:$A$24,CBIA!$D$3:$D$24,,-1)</f>
        <v>2.4500000000000001E-2</v>
      </c>
      <c r="Q189">
        <f t="shared" si="27"/>
        <v>2236</v>
      </c>
      <c r="R189">
        <f t="shared" si="34"/>
        <v>59296.157417556737</v>
      </c>
      <c r="S189" s="77">
        <f t="shared" si="35"/>
        <v>0.94792307692307698</v>
      </c>
    </row>
    <row r="190" spans="1:19" ht="15.5" x14ac:dyDescent="0.35">
      <c r="A190" s="3" t="s">
        <v>4151</v>
      </c>
      <c r="B190" s="16" t="s">
        <v>4152</v>
      </c>
      <c r="C190" s="17" t="s">
        <v>4154</v>
      </c>
      <c r="D190" s="17" t="str">
        <f t="shared" si="28"/>
        <v>18/04/81</v>
      </c>
      <c r="E190" s="3" t="s">
        <v>4145</v>
      </c>
      <c r="F190" s="6">
        <v>9353.4719999999998</v>
      </c>
      <c r="G190" s="68" t="str">
        <f t="shared" si="24"/>
        <v>95</v>
      </c>
      <c r="H190">
        <f t="shared" si="29"/>
        <v>41</v>
      </c>
      <c r="I190">
        <f t="shared" si="25"/>
        <v>24</v>
      </c>
      <c r="J190">
        <f t="shared" si="30"/>
        <v>265.91717406587043</v>
      </c>
      <c r="K190" s="69">
        <f t="shared" si="26"/>
        <v>37871.596796925063</v>
      </c>
      <c r="L190">
        <f t="shared" si="31"/>
        <v>37871.596796925063</v>
      </c>
      <c r="M190" s="69">
        <f t="shared" si="32"/>
        <v>669.01473232397007</v>
      </c>
      <c r="N190" s="69">
        <f t="shared" si="33"/>
        <v>1.8869338729093819</v>
      </c>
      <c r="O190">
        <f>_xlfn.XLOOKUP(N190,CBIA!$A$3:$A$24,CBIA!$C$3:$C$24,,-1)</f>
        <v>0.42670000000000002</v>
      </c>
      <c r="P190" s="70">
        <f>_xlfn.XLOOKUP(N190,CBIA!$A$3:$A$24,CBIA!$D$3:$D$24,,-1)</f>
        <v>1.6150000000000001E-2</v>
      </c>
      <c r="Q190">
        <f t="shared" si="27"/>
        <v>2652</v>
      </c>
      <c r="R190">
        <f t="shared" si="34"/>
        <v>41471.729052435832</v>
      </c>
      <c r="S190" s="77">
        <f t="shared" si="35"/>
        <v>1.0950615384615385</v>
      </c>
    </row>
    <row r="191" spans="1:19" ht="15.5" x14ac:dyDescent="0.35">
      <c r="A191" s="3" t="s">
        <v>4169</v>
      </c>
      <c r="B191" s="16" t="s">
        <v>4170</v>
      </c>
      <c r="C191" s="17" t="s">
        <v>4172</v>
      </c>
      <c r="D191" s="17" t="str">
        <f t="shared" si="28"/>
        <v>13/11/79</v>
      </c>
      <c r="E191" s="3" t="s">
        <v>4173</v>
      </c>
      <c r="F191" s="6">
        <v>7946.8640000000005</v>
      </c>
      <c r="G191" s="68" t="str">
        <f t="shared" si="24"/>
        <v>97</v>
      </c>
      <c r="H191">
        <f t="shared" si="29"/>
        <v>43</v>
      </c>
      <c r="I191">
        <f t="shared" si="25"/>
        <v>22</v>
      </c>
      <c r="J191">
        <f t="shared" si="30"/>
        <v>245.8553754307234</v>
      </c>
      <c r="K191" s="69">
        <f t="shared" si="26"/>
        <v>28636.821768459551</v>
      </c>
      <c r="L191">
        <f t="shared" si="31"/>
        <v>28636.821768459551</v>
      </c>
      <c r="M191" s="69">
        <f t="shared" si="32"/>
        <v>606.81608374056236</v>
      </c>
      <c r="N191" s="69">
        <f t="shared" si="33"/>
        <v>1.5730643125527808</v>
      </c>
      <c r="O191">
        <f>_xlfn.XLOOKUP(N191,CBIA!$A$3:$A$24,CBIA!$C$3:$C$24,,-1)</f>
        <v>0.49229999999999996</v>
      </c>
      <c r="P191" s="70">
        <f>_xlfn.XLOOKUP(N191,CBIA!$A$3:$A$24,CBIA!$D$3:$D$24,,-1)</f>
        <v>1.43E-2</v>
      </c>
      <c r="Q191">
        <f t="shared" si="27"/>
        <v>2444</v>
      </c>
      <c r="R191">
        <f t="shared" si="34"/>
        <v>29407.152274031112</v>
      </c>
      <c r="S191" s="77">
        <f t="shared" si="35"/>
        <v>1.0268999999999999</v>
      </c>
    </row>
    <row r="192" spans="1:19" ht="15.5" x14ac:dyDescent="0.35">
      <c r="A192" s="3" t="s">
        <v>4214</v>
      </c>
      <c r="B192" s="16" t="s">
        <v>4215</v>
      </c>
      <c r="C192" s="17" t="s">
        <v>4217</v>
      </c>
      <c r="D192" s="17" t="str">
        <f t="shared" si="28"/>
        <v>22/03/74</v>
      </c>
      <c r="E192" s="3" t="s">
        <v>4218</v>
      </c>
      <c r="F192" s="6">
        <v>6482.4960000000001</v>
      </c>
      <c r="G192" s="68" t="str">
        <f t="shared" si="24"/>
        <v>94</v>
      </c>
      <c r="H192">
        <f t="shared" si="29"/>
        <v>48</v>
      </c>
      <c r="I192">
        <f t="shared" si="25"/>
        <v>17</v>
      </c>
      <c r="J192">
        <f t="shared" si="30"/>
        <v>202.07519740900864</v>
      </c>
      <c r="K192" s="69">
        <f t="shared" si="26"/>
        <v>17455.888812642228</v>
      </c>
      <c r="L192">
        <f t="shared" si="31"/>
        <v>17455.888812642228</v>
      </c>
      <c r="M192" s="69">
        <f t="shared" si="32"/>
        <v>475.4562798446463</v>
      </c>
      <c r="N192" s="69">
        <f t="shared" si="33"/>
        <v>1.2237990853996696</v>
      </c>
      <c r="O192">
        <f>_xlfn.XLOOKUP(N192,CBIA!$A$3:$A$24,CBIA!$C$3:$C$24,,-1)</f>
        <v>0.77110000000000001</v>
      </c>
      <c r="P192" s="70">
        <f>_xlfn.XLOOKUP(N192,CBIA!$A$3:$A$24,CBIA!$D$3:$D$24,,-1)</f>
        <v>8.1399999999999997E-3</v>
      </c>
      <c r="Q192">
        <f t="shared" si="27"/>
        <v>2340</v>
      </c>
      <c r="R192">
        <f t="shared" si="34"/>
        <v>18488.068945740542</v>
      </c>
      <c r="S192" s="77">
        <f t="shared" si="35"/>
        <v>1.0591307692307692</v>
      </c>
    </row>
    <row r="193" spans="1:19" ht="15.5" x14ac:dyDescent="0.35">
      <c r="A193" s="3" t="s">
        <v>4219</v>
      </c>
      <c r="B193" s="16" t="s">
        <v>4220</v>
      </c>
      <c r="C193" s="17" t="s">
        <v>4222</v>
      </c>
      <c r="D193" s="17" t="str">
        <f t="shared" si="28"/>
        <v>09/07/71</v>
      </c>
      <c r="E193" s="3" t="s">
        <v>4223</v>
      </c>
      <c r="F193" s="6">
        <v>22644.61</v>
      </c>
      <c r="G193" s="68" t="str">
        <f t="shared" si="24"/>
        <v>90</v>
      </c>
      <c r="H193">
        <f t="shared" si="29"/>
        <v>51</v>
      </c>
      <c r="I193">
        <f t="shared" si="25"/>
        <v>14</v>
      </c>
      <c r="J193">
        <f t="shared" si="30"/>
        <v>179.64411467431495</v>
      </c>
      <c r="K193" s="69">
        <f t="shared" si="26"/>
        <v>51197.288325516238</v>
      </c>
      <c r="L193">
        <f t="shared" si="31"/>
        <v>51197.288325516238</v>
      </c>
      <c r="M193" s="69">
        <f t="shared" si="32"/>
        <v>410.71701098770859</v>
      </c>
      <c r="N193" s="69">
        <f t="shared" si="33"/>
        <v>4.1551146698627495</v>
      </c>
      <c r="O193">
        <f>_xlfn.XLOOKUP(N193,CBIA!$A$3:$A$24,CBIA!$C$3:$C$24,,-1)</f>
        <v>0.19390000000000002</v>
      </c>
      <c r="P193" s="70">
        <f>_xlfn.XLOOKUP(N193,CBIA!$A$3:$A$24,CBIA!$D$3:$D$24,,-1)</f>
        <v>2.2709999999999998E-2</v>
      </c>
      <c r="Q193">
        <f t="shared" si="27"/>
        <v>2392</v>
      </c>
      <c r="R193">
        <f t="shared" si="34"/>
        <v>52231.197871985292</v>
      </c>
      <c r="S193" s="77">
        <f t="shared" si="35"/>
        <v>1.0201946153846153</v>
      </c>
    </row>
    <row r="194" spans="1:19" ht="15.5" x14ac:dyDescent="0.35">
      <c r="A194" s="3" t="s">
        <v>4300</v>
      </c>
      <c r="B194" s="16" t="s">
        <v>4301</v>
      </c>
      <c r="C194" s="17" t="s">
        <v>4303</v>
      </c>
      <c r="D194" s="17" t="str">
        <f t="shared" si="28"/>
        <v>26/04/76</v>
      </c>
      <c r="E194" s="3" t="s">
        <v>3832</v>
      </c>
      <c r="F194" s="6">
        <v>7599.3919999999989</v>
      </c>
      <c r="G194" s="68" t="str">
        <f t="shared" ref="G194:G232" si="36">MID(B194,3,2)</f>
        <v>94</v>
      </c>
      <c r="H194">
        <f t="shared" si="29"/>
        <v>46</v>
      </c>
      <c r="I194">
        <f t="shared" ref="I194:I232" si="37">65-H194</f>
        <v>19</v>
      </c>
      <c r="J194">
        <f t="shared" si="30"/>
        <v>218.56453351758375</v>
      </c>
      <c r="K194" s="69">
        <f t="shared" ref="K194:K233" si="38">F194*(1+0.06)^I194</f>
        <v>22992.716651368431</v>
      </c>
      <c r="L194">
        <f t="shared" si="31"/>
        <v>22992.716651368431</v>
      </c>
      <c r="M194" s="69">
        <f t="shared" si="32"/>
        <v>524.1905485287225</v>
      </c>
      <c r="N194" s="69">
        <f t="shared" si="33"/>
        <v>1.4621093236612455</v>
      </c>
      <c r="O194">
        <f>_xlfn.XLOOKUP(N194,CBIA!$A$3:$A$24,CBIA!$C$3:$C$24,,-1)</f>
        <v>0.58179999999999998</v>
      </c>
      <c r="P194" s="70">
        <f>_xlfn.XLOOKUP(N194,CBIA!$A$3:$A$24,CBIA!$D$3:$D$24,,-1)</f>
        <v>1.1779999999999999E-2</v>
      </c>
      <c r="Q194">
        <f t="shared" ref="Q194:Q232" si="39">(122-G194+I194)*52</f>
        <v>2444</v>
      </c>
      <c r="R194">
        <f t="shared" si="34"/>
        <v>23502.942720567415</v>
      </c>
      <c r="S194" s="77">
        <f t="shared" si="35"/>
        <v>1.0221907692307692</v>
      </c>
    </row>
    <row r="195" spans="1:19" ht="15.5" x14ac:dyDescent="0.35">
      <c r="A195" s="3" t="s">
        <v>4317</v>
      </c>
      <c r="B195" s="16" t="s">
        <v>4318</v>
      </c>
      <c r="C195" s="17" t="s">
        <v>4320</v>
      </c>
      <c r="D195" s="17" t="str">
        <f t="shared" ref="D195:D232" si="40">_xlfn.CONCAT(MID(C195,5,2),"/",MID(C195,3,2),"/",MID(C195,1,2))</f>
        <v>20/09/68</v>
      </c>
      <c r="E195" s="3" t="s">
        <v>4321</v>
      </c>
      <c r="F195" s="6">
        <v>11343.455999999998</v>
      </c>
      <c r="G195" s="68" t="str">
        <f t="shared" si="36"/>
        <v>94</v>
      </c>
      <c r="H195">
        <f t="shared" ref="H195:H232" si="41">2022-YEAR(D195)</f>
        <v>54</v>
      </c>
      <c r="I195">
        <f t="shared" si="37"/>
        <v>11</v>
      </c>
      <c r="J195">
        <f t="shared" ref="J195:J233" si="42">103.74*(1+0.04)^I195</f>
        <v>159.70296380212622</v>
      </c>
      <c r="K195" s="69">
        <f t="shared" si="38"/>
        <v>21533.266171341336</v>
      </c>
      <c r="L195">
        <f t="shared" ref="L195:L233" si="43">MIN(K195,25*J195*30.4)</f>
        <v>21533.266171341336</v>
      </c>
      <c r="M195" s="69">
        <f t="shared" ref="M195:M232" si="44">207.44*(1+0.05)^I195</f>
        <v>354.79279644764813</v>
      </c>
      <c r="N195" s="69">
        <f t="shared" ref="N195:N232" si="45">L195/(M195*30)</f>
        <v>2.0230837441780571</v>
      </c>
      <c r="O195">
        <f>_xlfn.XLOOKUP(N195,CBIA!$A$3:$A$24,CBIA!$C$3:$C$24,,-1)</f>
        <v>0.3765</v>
      </c>
      <c r="P195" s="70">
        <f>_xlfn.XLOOKUP(N195,CBIA!$A$3:$A$24,CBIA!$D$3:$D$24,,-1)</f>
        <v>1.7559999999999999E-2</v>
      </c>
      <c r="Q195">
        <f t="shared" si="39"/>
        <v>2028</v>
      </c>
      <c r="R195">
        <f t="shared" ref="R195:R232" si="46">L195*(O195+P195*((Q195-500)/52))</f>
        <v>19218.307545514934</v>
      </c>
      <c r="S195" s="77">
        <f t="shared" ref="S195:S232" si="47">R195/K195</f>
        <v>0.89249384615384608</v>
      </c>
    </row>
    <row r="196" spans="1:19" ht="15.5" x14ac:dyDescent="0.35">
      <c r="A196" s="3" t="s">
        <v>4337</v>
      </c>
      <c r="B196" s="16" t="s">
        <v>4338</v>
      </c>
      <c r="C196" s="17" t="s">
        <v>4340</v>
      </c>
      <c r="D196" s="17" t="str">
        <f t="shared" si="40"/>
        <v>11/08/76</v>
      </c>
      <c r="E196" s="3" t="s">
        <v>4336</v>
      </c>
      <c r="F196" s="6">
        <v>7954.1599999999989</v>
      </c>
      <c r="G196" s="68" t="str">
        <f t="shared" si="36"/>
        <v>91</v>
      </c>
      <c r="H196">
        <f t="shared" si="41"/>
        <v>46</v>
      </c>
      <c r="I196">
        <f t="shared" si="37"/>
        <v>19</v>
      </c>
      <c r="J196">
        <f t="shared" si="42"/>
        <v>218.56453351758375</v>
      </c>
      <c r="K196" s="69">
        <f t="shared" si="38"/>
        <v>24066.102535525042</v>
      </c>
      <c r="L196">
        <f t="shared" si="43"/>
        <v>24066.102535525042</v>
      </c>
      <c r="M196" s="69">
        <f t="shared" si="44"/>
        <v>524.1905485287225</v>
      </c>
      <c r="N196" s="69">
        <f t="shared" si="45"/>
        <v>1.5303660474276537</v>
      </c>
      <c r="O196">
        <f>_xlfn.XLOOKUP(N196,CBIA!$A$3:$A$24,CBIA!$C$3:$C$24,,-1)</f>
        <v>0.49229999999999996</v>
      </c>
      <c r="P196" s="70">
        <f>_xlfn.XLOOKUP(N196,CBIA!$A$3:$A$24,CBIA!$D$3:$D$24,,-1)</f>
        <v>1.43E-2</v>
      </c>
      <c r="Q196">
        <f t="shared" si="39"/>
        <v>2600</v>
      </c>
      <c r="R196">
        <f t="shared" si="46"/>
        <v>25745.916492504686</v>
      </c>
      <c r="S196" s="77">
        <f t="shared" si="47"/>
        <v>1.0697999999999999</v>
      </c>
    </row>
    <row r="197" spans="1:19" ht="15.5" x14ac:dyDescent="0.35">
      <c r="A197" s="3" t="s">
        <v>4357</v>
      </c>
      <c r="B197" s="16" t="s">
        <v>4358</v>
      </c>
      <c r="C197" s="17" t="s">
        <v>4360</v>
      </c>
      <c r="D197" s="17" t="str">
        <f t="shared" si="40"/>
        <v>03/04/73</v>
      </c>
      <c r="E197" s="3" t="s">
        <v>4361</v>
      </c>
      <c r="F197" s="6">
        <v>18335.455999999998</v>
      </c>
      <c r="G197" s="68" t="str">
        <f t="shared" si="36"/>
        <v>93</v>
      </c>
      <c r="H197">
        <f t="shared" si="41"/>
        <v>49</v>
      </c>
      <c r="I197">
        <f t="shared" si="37"/>
        <v>16</v>
      </c>
      <c r="J197">
        <f t="shared" si="42"/>
        <v>194.30307443173908</v>
      </c>
      <c r="K197" s="69">
        <f t="shared" si="38"/>
        <v>46578.50653908003</v>
      </c>
      <c r="L197">
        <f t="shared" si="43"/>
        <v>46578.50653908003</v>
      </c>
      <c r="M197" s="69">
        <f t="shared" si="44"/>
        <v>452.8155046139488</v>
      </c>
      <c r="N197" s="69">
        <f t="shared" si="45"/>
        <v>3.4288068072220628</v>
      </c>
      <c r="O197">
        <f>_xlfn.XLOOKUP(N197,CBIA!$A$3:$A$24,CBIA!$C$3:$C$24,,-1)</f>
        <v>0.23699999999999999</v>
      </c>
      <c r="P197" s="70">
        <f>_xlfn.XLOOKUP(N197,CBIA!$A$3:$A$24,CBIA!$D$3:$D$24,,-1)</f>
        <v>2.1489999999999999E-2</v>
      </c>
      <c r="Q197">
        <f t="shared" si="39"/>
        <v>2340</v>
      </c>
      <c r="R197">
        <f t="shared" si="46"/>
        <v>46458.119014486714</v>
      </c>
      <c r="S197" s="77">
        <f t="shared" si="47"/>
        <v>0.99741538461538459</v>
      </c>
    </row>
    <row r="198" spans="1:19" ht="15.5" x14ac:dyDescent="0.35">
      <c r="A198" s="3" t="s">
        <v>4512</v>
      </c>
      <c r="B198" s="16" t="s">
        <v>4513</v>
      </c>
      <c r="C198" s="17" t="s">
        <v>4515</v>
      </c>
      <c r="D198" s="17" t="str">
        <f t="shared" si="40"/>
        <v>30/08/72</v>
      </c>
      <c r="E198" s="3" t="s">
        <v>4494</v>
      </c>
      <c r="F198" s="6">
        <v>12176.415999999999</v>
      </c>
      <c r="G198" s="68" t="str">
        <f t="shared" si="36"/>
        <v>94</v>
      </c>
      <c r="H198">
        <f t="shared" si="41"/>
        <v>50</v>
      </c>
      <c r="I198">
        <f t="shared" si="37"/>
        <v>15</v>
      </c>
      <c r="J198">
        <f t="shared" si="42"/>
        <v>186.82987926128754</v>
      </c>
      <c r="K198" s="69">
        <f t="shared" si="38"/>
        <v>29181.489527390182</v>
      </c>
      <c r="L198">
        <f t="shared" si="43"/>
        <v>29181.489527390182</v>
      </c>
      <c r="M198" s="69">
        <f t="shared" si="44"/>
        <v>431.25286153709413</v>
      </c>
      <c r="N198" s="69">
        <f t="shared" si="45"/>
        <v>2.2555591031040723</v>
      </c>
      <c r="O198">
        <f>_xlfn.XLOOKUP(N198,CBIA!$A$3:$A$24,CBIA!$C$3:$C$24,,-1)</f>
        <v>0.3765</v>
      </c>
      <c r="P198" s="70">
        <f>_xlfn.XLOOKUP(N198,CBIA!$A$3:$A$24,CBIA!$D$3:$D$24,,-1)</f>
        <v>1.7559999999999999E-2</v>
      </c>
      <c r="Q198">
        <f t="shared" si="39"/>
        <v>2236</v>
      </c>
      <c r="R198">
        <f t="shared" si="46"/>
        <v>28094.007649202533</v>
      </c>
      <c r="S198" s="77">
        <f t="shared" si="47"/>
        <v>0.96273384615384616</v>
      </c>
    </row>
    <row r="199" spans="1:19" ht="15.5" x14ac:dyDescent="0.35">
      <c r="A199" s="3" t="s">
        <v>4564</v>
      </c>
      <c r="B199" s="16" t="s">
        <v>4565</v>
      </c>
      <c r="C199" s="17" t="s">
        <v>4567</v>
      </c>
      <c r="D199" s="17" t="str">
        <f t="shared" si="40"/>
        <v>22/11/75</v>
      </c>
      <c r="E199" s="3" t="s">
        <v>4568</v>
      </c>
      <c r="F199" s="6">
        <v>8805.3599999999988</v>
      </c>
      <c r="G199" s="68" t="str">
        <f t="shared" si="36"/>
        <v>95</v>
      </c>
      <c r="H199">
        <f t="shared" si="41"/>
        <v>47</v>
      </c>
      <c r="I199">
        <f t="shared" si="37"/>
        <v>18</v>
      </c>
      <c r="J199">
        <f t="shared" si="42"/>
        <v>210.15820530536899</v>
      </c>
      <c r="K199" s="69">
        <f t="shared" si="38"/>
        <v>25133.483803492451</v>
      </c>
      <c r="L199">
        <f t="shared" si="43"/>
        <v>25133.483803492451</v>
      </c>
      <c r="M199" s="69">
        <f t="shared" si="44"/>
        <v>499.22909383687863</v>
      </c>
      <c r="N199" s="69">
        <f t="shared" si="45"/>
        <v>1.678152983855326</v>
      </c>
      <c r="O199">
        <f>_xlfn.XLOOKUP(N199,CBIA!$A$3:$A$24,CBIA!$C$3:$C$24,,-1)</f>
        <v>0.49229999999999996</v>
      </c>
      <c r="P199" s="70">
        <f>_xlfn.XLOOKUP(N199,CBIA!$A$3:$A$24,CBIA!$D$3:$D$24,,-1)</f>
        <v>1.43E-2</v>
      </c>
      <c r="Q199">
        <f t="shared" si="39"/>
        <v>2340</v>
      </c>
      <c r="R199">
        <f t="shared" si="46"/>
        <v>25090.756881026511</v>
      </c>
      <c r="S199" s="77">
        <f t="shared" si="47"/>
        <v>0.99829999999999997</v>
      </c>
    </row>
    <row r="200" spans="1:19" ht="15.5" x14ac:dyDescent="0.35">
      <c r="A200" s="3" t="s">
        <v>4589</v>
      </c>
      <c r="B200" s="16" t="s">
        <v>4590</v>
      </c>
      <c r="C200" s="17" t="s">
        <v>4592</v>
      </c>
      <c r="D200" s="17" t="str">
        <f t="shared" si="40"/>
        <v>29/04/71</v>
      </c>
      <c r="E200" s="3" t="s">
        <v>4593</v>
      </c>
      <c r="F200" s="6">
        <v>12894.464</v>
      </c>
      <c r="G200" s="68" t="str">
        <f t="shared" si="36"/>
        <v>97</v>
      </c>
      <c r="H200">
        <f t="shared" si="41"/>
        <v>51</v>
      </c>
      <c r="I200">
        <f t="shared" si="37"/>
        <v>14</v>
      </c>
      <c r="J200">
        <f t="shared" si="42"/>
        <v>179.64411467431495</v>
      </c>
      <c r="K200" s="69">
        <f t="shared" si="38"/>
        <v>29153.144664933039</v>
      </c>
      <c r="L200">
        <f t="shared" si="43"/>
        <v>29153.144664933039</v>
      </c>
      <c r="M200" s="69">
        <f t="shared" si="44"/>
        <v>410.71701098770859</v>
      </c>
      <c r="N200" s="69">
        <f t="shared" si="45"/>
        <v>2.3660366209184924</v>
      </c>
      <c r="O200">
        <f>_xlfn.XLOOKUP(N200,CBIA!$A$3:$A$24,CBIA!$C$3:$C$24,,-1)</f>
        <v>0.33679999999999999</v>
      </c>
      <c r="P200" s="70">
        <f>_xlfn.XLOOKUP(N200,CBIA!$A$3:$A$24,CBIA!$D$3:$D$24,,-1)</f>
        <v>1.8680000000000002E-2</v>
      </c>
      <c r="Q200">
        <f t="shared" si="39"/>
        <v>2028</v>
      </c>
      <c r="R200">
        <f t="shared" si="46"/>
        <v>25821.074782706572</v>
      </c>
      <c r="S200" s="77">
        <f t="shared" si="47"/>
        <v>0.88570461538461542</v>
      </c>
    </row>
    <row r="201" spans="1:19" ht="15.5" x14ac:dyDescent="0.35">
      <c r="A201" s="3" t="s">
        <v>4630</v>
      </c>
      <c r="B201" s="16" t="s">
        <v>4631</v>
      </c>
      <c r="C201" s="17" t="s">
        <v>4633</v>
      </c>
      <c r="D201" s="17" t="str">
        <f t="shared" si="40"/>
        <v>04/07/71</v>
      </c>
      <c r="E201" s="3" t="s">
        <v>4625</v>
      </c>
      <c r="F201" s="6">
        <v>11913.759999999998</v>
      </c>
      <c r="G201" s="68" t="str">
        <f t="shared" si="36"/>
        <v>89</v>
      </c>
      <c r="H201">
        <f t="shared" si="41"/>
        <v>51</v>
      </c>
      <c r="I201">
        <f t="shared" si="37"/>
        <v>14</v>
      </c>
      <c r="J201">
        <f t="shared" si="42"/>
        <v>179.64411467431495</v>
      </c>
      <c r="K201" s="69">
        <f t="shared" si="38"/>
        <v>26935.867111908847</v>
      </c>
      <c r="L201">
        <f t="shared" si="43"/>
        <v>26935.867111908847</v>
      </c>
      <c r="M201" s="69">
        <f t="shared" si="44"/>
        <v>410.71701098770859</v>
      </c>
      <c r="N201" s="69">
        <f t="shared" si="45"/>
        <v>2.1860848541539917</v>
      </c>
      <c r="O201">
        <f>_xlfn.XLOOKUP(N201,CBIA!$A$3:$A$24,CBIA!$C$3:$C$24,,-1)</f>
        <v>0.3765</v>
      </c>
      <c r="P201" s="70">
        <f>_xlfn.XLOOKUP(N201,CBIA!$A$3:$A$24,CBIA!$D$3:$D$24,,-1)</f>
        <v>1.7559999999999999E-2</v>
      </c>
      <c r="Q201">
        <f t="shared" si="39"/>
        <v>2444</v>
      </c>
      <c r="R201">
        <f t="shared" si="46"/>
        <v>27824.046250077376</v>
      </c>
      <c r="S201" s="77">
        <f t="shared" si="47"/>
        <v>1.0329738461538462</v>
      </c>
    </row>
    <row r="202" spans="1:19" ht="15.5" x14ac:dyDescent="0.35">
      <c r="A202" s="3" t="s">
        <v>4660</v>
      </c>
      <c r="B202" s="16" t="s">
        <v>4661</v>
      </c>
      <c r="C202" s="17" t="s">
        <v>1294</v>
      </c>
      <c r="D202" s="17" t="str">
        <f t="shared" si="40"/>
        <v>21/01/73</v>
      </c>
      <c r="E202" s="3" t="s">
        <v>4655</v>
      </c>
      <c r="F202" s="6">
        <v>22644.61</v>
      </c>
      <c r="G202" s="68" t="str">
        <f t="shared" si="36"/>
        <v>89</v>
      </c>
      <c r="H202">
        <f t="shared" si="41"/>
        <v>49</v>
      </c>
      <c r="I202">
        <f t="shared" si="37"/>
        <v>16</v>
      </c>
      <c r="J202">
        <f t="shared" si="42"/>
        <v>194.30307443173908</v>
      </c>
      <c r="K202" s="69">
        <f t="shared" si="38"/>
        <v>57525.273162550046</v>
      </c>
      <c r="L202">
        <f t="shared" si="43"/>
        <v>57525.273162550046</v>
      </c>
      <c r="M202" s="69">
        <f t="shared" si="44"/>
        <v>452.8155046139488</v>
      </c>
      <c r="N202" s="69">
        <f t="shared" si="45"/>
        <v>4.2346365923426612</v>
      </c>
      <c r="O202">
        <f>_xlfn.XLOOKUP(N202,CBIA!$A$3:$A$24,CBIA!$C$3:$C$24,,-1)</f>
        <v>0.19390000000000002</v>
      </c>
      <c r="P202" s="70">
        <f>_xlfn.XLOOKUP(N202,CBIA!$A$3:$A$24,CBIA!$D$3:$D$24,,-1)</f>
        <v>2.2709999999999998E-2</v>
      </c>
      <c r="Q202">
        <f t="shared" si="39"/>
        <v>2548</v>
      </c>
      <c r="R202">
        <f t="shared" si="46"/>
        <v>62606.170789527212</v>
      </c>
      <c r="S202" s="77">
        <f t="shared" si="47"/>
        <v>1.0883246153846153</v>
      </c>
    </row>
    <row r="203" spans="1:19" ht="15.5" x14ac:dyDescent="0.35">
      <c r="A203" s="3" t="s">
        <v>4748</v>
      </c>
      <c r="B203" s="16" t="s">
        <v>4749</v>
      </c>
      <c r="C203" s="17" t="s">
        <v>4751</v>
      </c>
      <c r="D203" s="17" t="str">
        <f t="shared" si="40"/>
        <v>12/07/69</v>
      </c>
      <c r="E203" s="3" t="s">
        <v>3968</v>
      </c>
      <c r="F203" s="6">
        <v>6828.7519999999995</v>
      </c>
      <c r="G203" s="68" t="str">
        <f t="shared" si="36"/>
        <v>89</v>
      </c>
      <c r="H203">
        <f t="shared" si="41"/>
        <v>53</v>
      </c>
      <c r="I203">
        <f t="shared" si="37"/>
        <v>12</v>
      </c>
      <c r="J203">
        <f t="shared" si="42"/>
        <v>166.0910823542113</v>
      </c>
      <c r="K203" s="69">
        <f t="shared" si="38"/>
        <v>13740.790681439967</v>
      </c>
      <c r="L203">
        <f t="shared" si="43"/>
        <v>13740.790681439967</v>
      </c>
      <c r="M203" s="69">
        <f t="shared" si="44"/>
        <v>372.53243627003047</v>
      </c>
      <c r="N203" s="69">
        <f t="shared" si="45"/>
        <v>1.2294938949047596</v>
      </c>
      <c r="O203">
        <f>_xlfn.XLOOKUP(N203,CBIA!$A$3:$A$24,CBIA!$C$3:$C$24,,-1)</f>
        <v>0.77110000000000001</v>
      </c>
      <c r="P203" s="70">
        <f>_xlfn.XLOOKUP(N203,CBIA!$A$3:$A$24,CBIA!$D$3:$D$24,,-1)</f>
        <v>8.1399999999999997E-3</v>
      </c>
      <c r="Q203">
        <f t="shared" si="39"/>
        <v>2340</v>
      </c>
      <c r="R203">
        <f t="shared" si="46"/>
        <v>14553.294204272497</v>
      </c>
      <c r="S203" s="77">
        <f t="shared" si="47"/>
        <v>1.0591307692307692</v>
      </c>
    </row>
    <row r="204" spans="1:19" ht="15.5" x14ac:dyDescent="0.35">
      <c r="A204" s="3" t="s">
        <v>4785</v>
      </c>
      <c r="B204" s="16" t="s">
        <v>4786</v>
      </c>
      <c r="C204" s="17" t="s">
        <v>1157</v>
      </c>
      <c r="D204" s="17" t="str">
        <f t="shared" si="40"/>
        <v>28/11/69</v>
      </c>
      <c r="E204" s="3" t="s">
        <v>4047</v>
      </c>
      <c r="F204" s="6">
        <v>12565.84</v>
      </c>
      <c r="G204" s="68" t="str">
        <f t="shared" si="36"/>
        <v>85</v>
      </c>
      <c r="H204">
        <f t="shared" si="41"/>
        <v>53</v>
      </c>
      <c r="I204">
        <f t="shared" si="37"/>
        <v>12</v>
      </c>
      <c r="J204">
        <f t="shared" si="42"/>
        <v>166.0910823542113</v>
      </c>
      <c r="K204" s="69">
        <f t="shared" si="38"/>
        <v>25284.93891365005</v>
      </c>
      <c r="L204">
        <f t="shared" si="43"/>
        <v>25284.93891365005</v>
      </c>
      <c r="M204" s="69">
        <f t="shared" si="44"/>
        <v>372.53243627003047</v>
      </c>
      <c r="N204" s="69">
        <f t="shared" si="45"/>
        <v>2.2624373479004691</v>
      </c>
      <c r="O204">
        <f>_xlfn.XLOOKUP(N204,CBIA!$A$3:$A$24,CBIA!$C$3:$C$24,,-1)</f>
        <v>0.33679999999999999</v>
      </c>
      <c r="P204" s="70">
        <f>_xlfn.XLOOKUP(N204,CBIA!$A$3:$A$24,CBIA!$D$3:$D$24,,-1)</f>
        <v>1.8680000000000002E-2</v>
      </c>
      <c r="Q204">
        <f t="shared" si="39"/>
        <v>2548</v>
      </c>
      <c r="R204">
        <f t="shared" si="46"/>
        <v>27118.213684607748</v>
      </c>
      <c r="S204" s="77">
        <f t="shared" si="47"/>
        <v>1.0725046153846156</v>
      </c>
    </row>
    <row r="205" spans="1:19" ht="15.5" x14ac:dyDescent="0.35">
      <c r="A205" s="3" t="s">
        <v>4888</v>
      </c>
      <c r="B205" s="16" t="s">
        <v>4889</v>
      </c>
      <c r="C205" s="17" t="s">
        <v>4222</v>
      </c>
      <c r="D205" s="17" t="str">
        <f t="shared" si="40"/>
        <v>09/07/71</v>
      </c>
      <c r="E205" s="3" t="s">
        <v>4891</v>
      </c>
      <c r="F205" s="6">
        <v>5602.72</v>
      </c>
      <c r="G205" s="68" t="str">
        <f t="shared" si="36"/>
        <v>89</v>
      </c>
      <c r="H205">
        <f t="shared" si="41"/>
        <v>51</v>
      </c>
      <c r="I205">
        <f t="shared" si="37"/>
        <v>14</v>
      </c>
      <c r="J205">
        <f t="shared" si="42"/>
        <v>179.64411467431495</v>
      </c>
      <c r="K205" s="69">
        <f t="shared" si="38"/>
        <v>12667.21181098444</v>
      </c>
      <c r="L205">
        <f t="shared" si="43"/>
        <v>12667.21181098444</v>
      </c>
      <c r="M205" s="69">
        <f t="shared" si="44"/>
        <v>410.71701098770859</v>
      </c>
      <c r="N205" s="69">
        <f t="shared" si="45"/>
        <v>1.0280567456508822</v>
      </c>
      <c r="O205">
        <f>_xlfn.XLOOKUP(N205,CBIA!$A$3:$A$24,CBIA!$C$3:$C$24,,-1)</f>
        <v>0.77110000000000001</v>
      </c>
      <c r="P205" s="70">
        <f>_xlfn.XLOOKUP(N205,CBIA!$A$3:$A$24,CBIA!$D$3:$D$24,,-1)</f>
        <v>8.1399999999999997E-3</v>
      </c>
      <c r="Q205">
        <f t="shared" si="39"/>
        <v>2444</v>
      </c>
      <c r="R205">
        <f t="shared" si="46"/>
        <v>13622.455997659863</v>
      </c>
      <c r="S205" s="77">
        <f t="shared" si="47"/>
        <v>1.0754107692307693</v>
      </c>
    </row>
    <row r="206" spans="1:19" ht="15.5" x14ac:dyDescent="0.35">
      <c r="A206" s="3" t="s">
        <v>4909</v>
      </c>
      <c r="B206" s="16" t="s">
        <v>4910</v>
      </c>
      <c r="C206" s="17" t="s">
        <v>4912</v>
      </c>
      <c r="D206" s="17" t="str">
        <f t="shared" si="40"/>
        <v>03/09/81</v>
      </c>
      <c r="E206" s="3" t="s">
        <v>4913</v>
      </c>
      <c r="F206" s="6">
        <v>17339.248</v>
      </c>
      <c r="G206" s="68" t="str">
        <f t="shared" si="36"/>
        <v>97</v>
      </c>
      <c r="H206">
        <f t="shared" si="41"/>
        <v>41</v>
      </c>
      <c r="I206">
        <f t="shared" si="37"/>
        <v>24</v>
      </c>
      <c r="J206">
        <f t="shared" si="42"/>
        <v>265.91717406587043</v>
      </c>
      <c r="K206" s="69">
        <f t="shared" si="38"/>
        <v>70205.48188072721</v>
      </c>
      <c r="L206">
        <f t="shared" si="43"/>
        <v>70205.48188072721</v>
      </c>
      <c r="M206" s="69">
        <f t="shared" si="44"/>
        <v>669.01473232397007</v>
      </c>
      <c r="N206" s="69">
        <f t="shared" si="45"/>
        <v>3.4979539557050314</v>
      </c>
      <c r="O206">
        <f>_xlfn.XLOOKUP(N206,CBIA!$A$3:$A$24,CBIA!$C$3:$C$24,,-1)</f>
        <v>0.23699999999999999</v>
      </c>
      <c r="P206" s="70">
        <f>_xlfn.XLOOKUP(N206,CBIA!$A$3:$A$24,CBIA!$D$3:$D$24,,-1)</f>
        <v>2.1489999999999999E-2</v>
      </c>
      <c r="Q206">
        <f t="shared" si="39"/>
        <v>2548</v>
      </c>
      <c r="R206">
        <f t="shared" si="46"/>
        <v>76058.890934641255</v>
      </c>
      <c r="S206" s="77">
        <f t="shared" si="47"/>
        <v>1.0833753846153846</v>
      </c>
    </row>
    <row r="207" spans="1:19" ht="15.5" x14ac:dyDescent="0.35">
      <c r="A207" s="3" t="s">
        <v>5018</v>
      </c>
      <c r="B207" s="16" t="s">
        <v>5019</v>
      </c>
      <c r="C207" s="17" t="s">
        <v>5021</v>
      </c>
      <c r="D207" s="17" t="str">
        <f t="shared" si="40"/>
        <v>01/04/75</v>
      </c>
      <c r="E207" s="3" t="s">
        <v>3952</v>
      </c>
      <c r="F207" s="6">
        <v>14721.503999999999</v>
      </c>
      <c r="G207" s="68" t="str">
        <f t="shared" si="36"/>
        <v>95</v>
      </c>
      <c r="H207">
        <f t="shared" si="41"/>
        <v>47</v>
      </c>
      <c r="I207">
        <f t="shared" si="37"/>
        <v>18</v>
      </c>
      <c r="J207">
        <f t="shared" si="42"/>
        <v>210.15820530536899</v>
      </c>
      <c r="K207" s="69">
        <f t="shared" si="38"/>
        <v>42020.165256962733</v>
      </c>
      <c r="L207">
        <f t="shared" si="43"/>
        <v>42020.165256962733</v>
      </c>
      <c r="M207" s="69">
        <f t="shared" si="44"/>
        <v>499.22909383687863</v>
      </c>
      <c r="N207" s="69">
        <f t="shared" si="45"/>
        <v>2.8056701673115145</v>
      </c>
      <c r="O207">
        <f>_xlfn.XLOOKUP(N207,CBIA!$A$3:$A$24,CBIA!$C$3:$C$24,,-1)</f>
        <v>0.27829999999999999</v>
      </c>
      <c r="P207" s="70">
        <f>_xlfn.XLOOKUP(N207,CBIA!$A$3:$A$24,CBIA!$D$3:$D$24,,-1)</f>
        <v>2.0330000000000001E-2</v>
      </c>
      <c r="Q207">
        <f t="shared" si="39"/>
        <v>2340</v>
      </c>
      <c r="R207">
        <f t="shared" si="46"/>
        <v>41922.225948709973</v>
      </c>
      <c r="S207" s="77">
        <f t="shared" si="47"/>
        <v>0.99766923076923097</v>
      </c>
    </row>
    <row r="208" spans="1:19" ht="15.5" x14ac:dyDescent="0.35">
      <c r="A208" s="3" t="s">
        <v>5064</v>
      </c>
      <c r="B208" s="16" t="s">
        <v>5065</v>
      </c>
      <c r="C208" s="17" t="s">
        <v>5067</v>
      </c>
      <c r="D208" s="17" t="str">
        <f t="shared" si="40"/>
        <v>05/07/75</v>
      </c>
      <c r="E208" s="3" t="s">
        <v>5068</v>
      </c>
      <c r="F208" s="6">
        <v>25948.831999999999</v>
      </c>
      <c r="G208" s="68" t="str">
        <f t="shared" si="36"/>
        <v>91</v>
      </c>
      <c r="H208">
        <f t="shared" si="41"/>
        <v>47</v>
      </c>
      <c r="I208">
        <f t="shared" si="37"/>
        <v>18</v>
      </c>
      <c r="J208">
        <f t="shared" si="42"/>
        <v>210.15820530536899</v>
      </c>
      <c r="K208" s="69">
        <f t="shared" si="38"/>
        <v>74066.767149957144</v>
      </c>
      <c r="L208">
        <f t="shared" si="43"/>
        <v>74066.767149957144</v>
      </c>
      <c r="M208" s="69">
        <f t="shared" si="44"/>
        <v>499.22909383687863</v>
      </c>
      <c r="N208" s="69">
        <f t="shared" si="45"/>
        <v>4.9454093697884662</v>
      </c>
      <c r="O208">
        <f>_xlfn.XLOOKUP(N208,CBIA!$A$3:$A$24,CBIA!$C$3:$C$24,,-1)</f>
        <v>0.1641</v>
      </c>
      <c r="P208" s="70">
        <f>_xlfn.XLOOKUP(N208,CBIA!$A$3:$A$24,CBIA!$D$3:$D$24,,-1)</f>
        <v>2.3550000000000001E-2</v>
      </c>
      <c r="Q208">
        <f t="shared" si="39"/>
        <v>2548</v>
      </c>
      <c r="R208">
        <f t="shared" si="46"/>
        <v>80851.852765255913</v>
      </c>
      <c r="S208" s="77">
        <f t="shared" si="47"/>
        <v>1.0916076923076923</v>
      </c>
    </row>
    <row r="209" spans="1:19" ht="15.5" x14ac:dyDescent="0.35">
      <c r="A209" s="3" t="s">
        <v>5134</v>
      </c>
      <c r="B209" s="16" t="s">
        <v>5135</v>
      </c>
      <c r="C209" s="17" t="s">
        <v>5137</v>
      </c>
      <c r="D209" s="17" t="str">
        <f t="shared" si="40"/>
        <v>10/04/74</v>
      </c>
      <c r="E209" s="3" t="s">
        <v>5138</v>
      </c>
      <c r="F209" s="6">
        <v>8049.311999999999</v>
      </c>
      <c r="G209" s="68" t="str">
        <f t="shared" si="36"/>
        <v>92</v>
      </c>
      <c r="H209">
        <f t="shared" si="41"/>
        <v>48</v>
      </c>
      <c r="I209">
        <f t="shared" si="37"/>
        <v>17</v>
      </c>
      <c r="J209">
        <f t="shared" si="42"/>
        <v>202.07519740900864</v>
      </c>
      <c r="K209" s="69">
        <f t="shared" si="38"/>
        <v>21674.968297746243</v>
      </c>
      <c r="L209">
        <f t="shared" si="43"/>
        <v>21674.968297746243</v>
      </c>
      <c r="M209" s="69">
        <f t="shared" si="44"/>
        <v>475.4562798446463</v>
      </c>
      <c r="N209" s="69">
        <f t="shared" si="45"/>
        <v>1.519590704521312</v>
      </c>
      <c r="O209">
        <f>_xlfn.XLOOKUP(N209,CBIA!$A$3:$A$24,CBIA!$C$3:$C$24,,-1)</f>
        <v>0.49229999999999996</v>
      </c>
      <c r="P209" s="70">
        <f>_xlfn.XLOOKUP(N209,CBIA!$A$3:$A$24,CBIA!$D$3:$D$24,,-1)</f>
        <v>1.43E-2</v>
      </c>
      <c r="Q209">
        <f t="shared" si="39"/>
        <v>2444</v>
      </c>
      <c r="R209">
        <f t="shared" si="46"/>
        <v>22258.024944955614</v>
      </c>
      <c r="S209" s="77">
        <f t="shared" si="47"/>
        <v>1.0268999999999999</v>
      </c>
    </row>
    <row r="210" spans="1:19" ht="15.5" x14ac:dyDescent="0.35">
      <c r="A210" s="3" t="s">
        <v>5195</v>
      </c>
      <c r="B210" s="16" t="s">
        <v>5196</v>
      </c>
      <c r="C210" s="17" t="s">
        <v>5198</v>
      </c>
      <c r="D210" s="17" t="str">
        <f t="shared" si="40"/>
        <v>20/10/73</v>
      </c>
      <c r="E210" s="3" t="s">
        <v>5199</v>
      </c>
      <c r="F210" s="6">
        <v>5602.72</v>
      </c>
      <c r="G210" s="68" t="str">
        <f t="shared" si="36"/>
        <v>90</v>
      </c>
      <c r="H210">
        <f t="shared" si="41"/>
        <v>49</v>
      </c>
      <c r="I210">
        <f t="shared" si="37"/>
        <v>16</v>
      </c>
      <c r="J210">
        <f t="shared" si="42"/>
        <v>194.30307443173908</v>
      </c>
      <c r="K210" s="69">
        <f t="shared" si="38"/>
        <v>14232.879190822116</v>
      </c>
      <c r="L210">
        <f t="shared" si="43"/>
        <v>14232.879190822116</v>
      </c>
      <c r="M210" s="69">
        <f t="shared" si="44"/>
        <v>452.8155046139488</v>
      </c>
      <c r="N210" s="69">
        <f t="shared" si="45"/>
        <v>1.0477320266787582</v>
      </c>
      <c r="O210">
        <f>_xlfn.XLOOKUP(N210,CBIA!$A$3:$A$24,CBIA!$C$3:$C$24,,-1)</f>
        <v>0.77110000000000001</v>
      </c>
      <c r="P210" s="70">
        <f>_xlfn.XLOOKUP(N210,CBIA!$A$3:$A$24,CBIA!$D$3:$D$24,,-1)</f>
        <v>8.1399999999999997E-3</v>
      </c>
      <c r="Q210">
        <f t="shared" si="39"/>
        <v>2496</v>
      </c>
      <c r="R210">
        <f t="shared" si="46"/>
        <v>15422.047195583913</v>
      </c>
      <c r="S210" s="77">
        <f t="shared" si="47"/>
        <v>1.0835507692307693</v>
      </c>
    </row>
    <row r="211" spans="1:19" ht="15.5" x14ac:dyDescent="0.35">
      <c r="A211" s="3" t="s">
        <v>5231</v>
      </c>
      <c r="B211" s="16" t="s">
        <v>5232</v>
      </c>
      <c r="C211" s="17" t="s">
        <v>5234</v>
      </c>
      <c r="D211" s="17" t="str">
        <f t="shared" si="40"/>
        <v>16/10/67</v>
      </c>
      <c r="E211" s="3" t="s">
        <v>5235</v>
      </c>
      <c r="F211" s="6">
        <v>5602.72</v>
      </c>
      <c r="G211" s="68" t="str">
        <f t="shared" si="36"/>
        <v>85</v>
      </c>
      <c r="H211">
        <f t="shared" si="41"/>
        <v>55</v>
      </c>
      <c r="I211">
        <f t="shared" si="37"/>
        <v>10</v>
      </c>
      <c r="J211">
        <f t="shared" si="42"/>
        <v>153.56054211742907</v>
      </c>
      <c r="K211" s="69">
        <f t="shared" si="38"/>
        <v>10033.618206374582</v>
      </c>
      <c r="L211">
        <f t="shared" si="43"/>
        <v>10033.618206374582</v>
      </c>
      <c r="M211" s="69">
        <f t="shared" si="44"/>
        <v>337.89790137871245</v>
      </c>
      <c r="N211" s="69">
        <f t="shared" si="45"/>
        <v>0.98980768701973543</v>
      </c>
      <c r="O211">
        <f>_xlfn.XLOOKUP(N211,CBIA!$A$3:$A$24,CBIA!$C$3:$C$24,,-1)</f>
        <v>0.8</v>
      </c>
      <c r="P211" s="70">
        <f>_xlfn.XLOOKUP(N211,CBIA!$A$3:$A$24,CBIA!$D$3:$D$24,,-1)</f>
        <v>5.6299999999999996E-3</v>
      </c>
      <c r="Q211">
        <f t="shared" si="39"/>
        <v>2444</v>
      </c>
      <c r="R211">
        <f t="shared" si="46"/>
        <v>10138.724216170282</v>
      </c>
      <c r="S211" s="77">
        <f t="shared" si="47"/>
        <v>1.0104753846153847</v>
      </c>
    </row>
    <row r="212" spans="1:19" ht="15.5" x14ac:dyDescent="0.35">
      <c r="A212" s="3" t="s">
        <v>5249</v>
      </c>
      <c r="B212" s="16" t="s">
        <v>5250</v>
      </c>
      <c r="C212" s="17" t="s">
        <v>5252</v>
      </c>
      <c r="D212" s="17" t="str">
        <f t="shared" si="40"/>
        <v>12/06/74</v>
      </c>
      <c r="E212" s="3" t="s">
        <v>3813</v>
      </c>
      <c r="F212" s="6">
        <v>22644.61</v>
      </c>
      <c r="G212" s="68" t="str">
        <f t="shared" si="36"/>
        <v>92</v>
      </c>
      <c r="H212">
        <f t="shared" si="41"/>
        <v>48</v>
      </c>
      <c r="I212">
        <f t="shared" si="37"/>
        <v>17</v>
      </c>
      <c r="J212">
        <f t="shared" si="42"/>
        <v>202.07519740900864</v>
      </c>
      <c r="K212" s="69">
        <f t="shared" si="38"/>
        <v>60976.789552303053</v>
      </c>
      <c r="L212">
        <f t="shared" si="43"/>
        <v>60976.789552303053</v>
      </c>
      <c r="M212" s="69">
        <f t="shared" si="44"/>
        <v>475.4562798446463</v>
      </c>
      <c r="N212" s="69">
        <f t="shared" si="45"/>
        <v>4.274966464650686</v>
      </c>
      <c r="O212">
        <f>_xlfn.XLOOKUP(N212,CBIA!$A$3:$A$24,CBIA!$C$3:$C$24,,-1)</f>
        <v>0.18289999999999998</v>
      </c>
      <c r="P212" s="70">
        <f>_xlfn.XLOOKUP(N212,CBIA!$A$3:$A$24,CBIA!$D$3:$D$24,,-1)</f>
        <v>2.3019999999999999E-2</v>
      </c>
      <c r="Q212">
        <f t="shared" si="39"/>
        <v>2444</v>
      </c>
      <c r="R212">
        <f t="shared" si="46"/>
        <v>63628.904656046376</v>
      </c>
      <c r="S212" s="77">
        <f t="shared" si="47"/>
        <v>1.0434938461538461</v>
      </c>
    </row>
    <row r="213" spans="1:19" ht="15.5" x14ac:dyDescent="0.35">
      <c r="A213" s="3" t="s">
        <v>5291</v>
      </c>
      <c r="B213" s="16" t="s">
        <v>5292</v>
      </c>
      <c r="C213" s="17" t="s">
        <v>5294</v>
      </c>
      <c r="D213" s="17" t="str">
        <f t="shared" si="40"/>
        <v>25/05/74</v>
      </c>
      <c r="E213" s="3" t="s">
        <v>5295</v>
      </c>
      <c r="F213" s="6">
        <v>21182.719999999998</v>
      </c>
      <c r="G213" s="68" t="str">
        <f t="shared" si="36"/>
        <v>93</v>
      </c>
      <c r="H213">
        <f t="shared" si="41"/>
        <v>48</v>
      </c>
      <c r="I213">
        <f t="shared" si="37"/>
        <v>17</v>
      </c>
      <c r="J213">
        <f t="shared" si="42"/>
        <v>202.07519740900864</v>
      </c>
      <c r="K213" s="69">
        <f t="shared" si="38"/>
        <v>57040.251944518401</v>
      </c>
      <c r="L213">
        <f t="shared" si="43"/>
        <v>57040.251944518401</v>
      </c>
      <c r="M213" s="69">
        <f t="shared" si="44"/>
        <v>475.4562798446463</v>
      </c>
      <c r="N213" s="69">
        <f t="shared" si="45"/>
        <v>3.9989833178882472</v>
      </c>
      <c r="O213">
        <f>_xlfn.XLOOKUP(N213,CBIA!$A$3:$A$24,CBIA!$C$3:$C$24,,-1)</f>
        <v>0.20649999999999999</v>
      </c>
      <c r="P213" s="70">
        <f>_xlfn.XLOOKUP(N213,CBIA!$A$3:$A$24,CBIA!$D$3:$D$24,,-1)</f>
        <v>2.2349999999999998E-2</v>
      </c>
      <c r="Q213">
        <f t="shared" si="39"/>
        <v>2392</v>
      </c>
      <c r="R213">
        <f t="shared" si="46"/>
        <v>58163.725522241009</v>
      </c>
      <c r="S213" s="77">
        <f t="shared" si="47"/>
        <v>1.0196961538461538</v>
      </c>
    </row>
    <row r="214" spans="1:19" ht="15.5" x14ac:dyDescent="0.35">
      <c r="A214" s="3" t="s">
        <v>5301</v>
      </c>
      <c r="B214" s="16" t="s">
        <v>5302</v>
      </c>
      <c r="C214" s="17" t="s">
        <v>5304</v>
      </c>
      <c r="D214" s="17" t="str">
        <f t="shared" si="40"/>
        <v>24/12/71</v>
      </c>
      <c r="E214" s="3" t="s">
        <v>3770</v>
      </c>
      <c r="F214" s="6">
        <v>8049.311999999999</v>
      </c>
      <c r="G214" s="68" t="str">
        <f t="shared" si="36"/>
        <v>90</v>
      </c>
      <c r="H214">
        <f t="shared" si="41"/>
        <v>51</v>
      </c>
      <c r="I214">
        <f t="shared" si="37"/>
        <v>14</v>
      </c>
      <c r="J214">
        <f t="shared" si="42"/>
        <v>179.64411467431495</v>
      </c>
      <c r="K214" s="69">
        <f t="shared" si="38"/>
        <v>18198.721341901568</v>
      </c>
      <c r="L214">
        <f t="shared" si="43"/>
        <v>18198.721341901568</v>
      </c>
      <c r="M214" s="69">
        <f t="shared" si="44"/>
        <v>410.71701098770859</v>
      </c>
      <c r="N214" s="69">
        <f t="shared" si="45"/>
        <v>1.4769878736486193</v>
      </c>
      <c r="O214">
        <f>_xlfn.XLOOKUP(N214,CBIA!$A$3:$A$24,CBIA!$C$3:$C$24,,-1)</f>
        <v>0.58179999999999998</v>
      </c>
      <c r="P214" s="70">
        <f>_xlfn.XLOOKUP(N214,CBIA!$A$3:$A$24,CBIA!$D$3:$D$24,,-1)</f>
        <v>1.1779999999999999E-2</v>
      </c>
      <c r="Q214">
        <f t="shared" si="39"/>
        <v>2392</v>
      </c>
      <c r="R214">
        <f t="shared" si="46"/>
        <v>18388.184030087177</v>
      </c>
      <c r="S214" s="77">
        <f t="shared" si="47"/>
        <v>1.0104107692307691</v>
      </c>
    </row>
    <row r="215" spans="1:19" ht="15.5" x14ac:dyDescent="0.35">
      <c r="A215" s="3" t="s">
        <v>5340</v>
      </c>
      <c r="B215" s="16" t="s">
        <v>5341</v>
      </c>
      <c r="C215" s="17" t="s">
        <v>5343</v>
      </c>
      <c r="D215" s="17" t="str">
        <f t="shared" si="40"/>
        <v>07/08/74</v>
      </c>
      <c r="E215" s="3" t="s">
        <v>5344</v>
      </c>
      <c r="F215" s="6">
        <v>11455.632</v>
      </c>
      <c r="G215" s="68" t="str">
        <f t="shared" si="36"/>
        <v>94</v>
      </c>
      <c r="H215">
        <f t="shared" si="41"/>
        <v>48</v>
      </c>
      <c r="I215">
        <f t="shared" si="37"/>
        <v>17</v>
      </c>
      <c r="J215">
        <f t="shared" si="42"/>
        <v>202.07519740900864</v>
      </c>
      <c r="K215" s="69">
        <f t="shared" si="38"/>
        <v>30847.414093359457</v>
      </c>
      <c r="L215">
        <f t="shared" si="43"/>
        <v>30847.414093359457</v>
      </c>
      <c r="M215" s="69">
        <f t="shared" si="44"/>
        <v>475.4562798446463</v>
      </c>
      <c r="N215" s="69">
        <f t="shared" si="45"/>
        <v>2.1626533921926354</v>
      </c>
      <c r="O215">
        <f>_xlfn.XLOOKUP(N215,CBIA!$A$3:$A$24,CBIA!$C$3:$C$24,,-1)</f>
        <v>0.3765</v>
      </c>
      <c r="P215" s="70">
        <f>_xlfn.XLOOKUP(N215,CBIA!$A$3:$A$24,CBIA!$D$3:$D$24,,-1)</f>
        <v>1.7559999999999999E-2</v>
      </c>
      <c r="Q215">
        <f t="shared" si="39"/>
        <v>2340</v>
      </c>
      <c r="R215">
        <f t="shared" si="46"/>
        <v>30781.210796959094</v>
      </c>
      <c r="S215" s="77">
        <f t="shared" si="47"/>
        <v>0.9978538461538462</v>
      </c>
    </row>
    <row r="216" spans="1:19" ht="15.5" x14ac:dyDescent="0.35">
      <c r="A216" s="3" t="s">
        <v>5387</v>
      </c>
      <c r="B216" s="16" t="s">
        <v>5388</v>
      </c>
      <c r="C216" s="17" t="s">
        <v>5390</v>
      </c>
      <c r="D216" s="17" t="str">
        <f t="shared" si="40"/>
        <v>08/08/67</v>
      </c>
      <c r="E216" s="3" t="s">
        <v>3590</v>
      </c>
      <c r="F216" s="6">
        <v>5602.72</v>
      </c>
      <c r="G216" s="68" t="str">
        <f t="shared" si="36"/>
        <v>88</v>
      </c>
      <c r="H216">
        <f t="shared" si="41"/>
        <v>55</v>
      </c>
      <c r="I216">
        <f t="shared" si="37"/>
        <v>10</v>
      </c>
      <c r="J216">
        <f t="shared" si="42"/>
        <v>153.56054211742907</v>
      </c>
      <c r="K216" s="69">
        <f t="shared" si="38"/>
        <v>10033.618206374582</v>
      </c>
      <c r="L216">
        <f t="shared" si="43"/>
        <v>10033.618206374582</v>
      </c>
      <c r="M216" s="69">
        <f t="shared" si="44"/>
        <v>337.89790137871245</v>
      </c>
      <c r="N216" s="69">
        <f t="shared" si="45"/>
        <v>0.98980768701973543</v>
      </c>
      <c r="O216">
        <f>_xlfn.XLOOKUP(N216,CBIA!$A$3:$A$24,CBIA!$C$3:$C$24,,-1)</f>
        <v>0.8</v>
      </c>
      <c r="P216" s="70">
        <f>_xlfn.XLOOKUP(N216,CBIA!$A$3:$A$24,CBIA!$D$3:$D$24,,-1)</f>
        <v>5.6299999999999996E-3</v>
      </c>
      <c r="Q216">
        <f t="shared" si="39"/>
        <v>2288</v>
      </c>
      <c r="R216">
        <f t="shared" si="46"/>
        <v>9969.2564046646148</v>
      </c>
      <c r="S216" s="77">
        <f t="shared" si="47"/>
        <v>0.9935853846153847</v>
      </c>
    </row>
    <row r="217" spans="1:19" ht="15.5" x14ac:dyDescent="0.35">
      <c r="A217" s="3" t="s">
        <v>834</v>
      </c>
      <c r="B217" s="16" t="s">
        <v>3382</v>
      </c>
      <c r="C217" s="17" t="s">
        <v>1667</v>
      </c>
      <c r="D217" s="17" t="str">
        <f t="shared" si="40"/>
        <v>22/05/59</v>
      </c>
      <c r="E217" s="19">
        <v>35856</v>
      </c>
      <c r="F217" s="6">
        <v>178171.7213952</v>
      </c>
      <c r="G217" s="68" t="str">
        <f t="shared" si="36"/>
        <v>83</v>
      </c>
      <c r="H217">
        <f t="shared" si="41"/>
        <v>63</v>
      </c>
      <c r="I217">
        <f t="shared" si="37"/>
        <v>2</v>
      </c>
      <c r="J217">
        <f t="shared" si="42"/>
        <v>112.205184</v>
      </c>
      <c r="K217" s="69">
        <f t="shared" si="38"/>
        <v>200193.74615964675</v>
      </c>
      <c r="L217">
        <f t="shared" si="43"/>
        <v>85275.939840000006</v>
      </c>
      <c r="M217" s="69">
        <f t="shared" si="44"/>
        <v>228.70260000000002</v>
      </c>
      <c r="N217" s="69">
        <f t="shared" si="45"/>
        <v>12.428941900966583</v>
      </c>
      <c r="O217">
        <f>_xlfn.XLOOKUP(N217,CBIA!$A$3:$A$24,CBIA!$C$3:$C$24,,-1)</f>
        <v>0.13</v>
      </c>
      <c r="P217" s="70">
        <f>_xlfn.XLOOKUP(N217,CBIA!$A$3:$A$24,CBIA!$D$3:$D$24,,-1)</f>
        <v>2.4500000000000001E-2</v>
      </c>
      <c r="Q217">
        <f t="shared" si="39"/>
        <v>2132</v>
      </c>
      <c r="R217">
        <f t="shared" si="46"/>
        <v>76656.510228480009</v>
      </c>
      <c r="S217" s="77">
        <f t="shared" si="47"/>
        <v>0.38291161287001152</v>
      </c>
    </row>
    <row r="218" spans="1:19" ht="15.5" x14ac:dyDescent="0.35">
      <c r="A218" s="3" t="s">
        <v>836</v>
      </c>
      <c r="B218" s="16" t="s">
        <v>3384</v>
      </c>
      <c r="C218" s="17" t="s">
        <v>1669</v>
      </c>
      <c r="D218" s="17" t="str">
        <f t="shared" si="40"/>
        <v>16/07/73</v>
      </c>
      <c r="E218" s="3" t="s">
        <v>3775</v>
      </c>
      <c r="F218" s="6">
        <v>243943.55511999998</v>
      </c>
      <c r="G218" s="68" t="str">
        <f t="shared" si="36"/>
        <v>92</v>
      </c>
      <c r="H218">
        <f t="shared" si="41"/>
        <v>49</v>
      </c>
      <c r="I218">
        <f t="shared" si="37"/>
        <v>16</v>
      </c>
      <c r="J218">
        <f t="shared" si="42"/>
        <v>194.30307443173908</v>
      </c>
      <c r="K218" s="69">
        <f t="shared" si="38"/>
        <v>619702.42121730431</v>
      </c>
      <c r="L218">
        <f t="shared" si="43"/>
        <v>147670.33656812168</v>
      </c>
      <c r="M218" s="69">
        <f t="shared" si="44"/>
        <v>452.8155046139488</v>
      </c>
      <c r="N218" s="69">
        <f t="shared" si="45"/>
        <v>10.870530054988519</v>
      </c>
      <c r="O218">
        <f>_xlfn.XLOOKUP(N218,CBIA!$A$3:$A$24,CBIA!$C$3:$C$24,,-1)</f>
        <v>0.13</v>
      </c>
      <c r="P218" s="70">
        <f>_xlfn.XLOOKUP(N218,CBIA!$A$3:$A$24,CBIA!$D$3:$D$24,,-1)</f>
        <v>2.4500000000000001E-2</v>
      </c>
      <c r="Q218">
        <f t="shared" si="39"/>
        <v>2392</v>
      </c>
      <c r="R218">
        <f t="shared" si="46"/>
        <v>150833.88954767722</v>
      </c>
      <c r="S218" s="77">
        <f t="shared" si="47"/>
        <v>0.24339728938187566</v>
      </c>
    </row>
    <row r="219" spans="1:19" ht="15.5" x14ac:dyDescent="0.35">
      <c r="A219" s="3" t="s">
        <v>5406</v>
      </c>
      <c r="B219" s="16" t="s">
        <v>5407</v>
      </c>
      <c r="C219" s="17" t="s">
        <v>5409</v>
      </c>
      <c r="D219" s="17" t="str">
        <f t="shared" si="40"/>
        <v>01/02/71</v>
      </c>
      <c r="E219" s="3" t="s">
        <v>3832</v>
      </c>
      <c r="F219" s="6">
        <v>143278.848</v>
      </c>
      <c r="G219" s="68" t="str">
        <f t="shared" si="36"/>
        <v>91</v>
      </c>
      <c r="H219">
        <f t="shared" si="41"/>
        <v>51</v>
      </c>
      <c r="I219">
        <f t="shared" si="37"/>
        <v>14</v>
      </c>
      <c r="J219">
        <f t="shared" si="42"/>
        <v>179.64411467431495</v>
      </c>
      <c r="K219" s="69">
        <f t="shared" si="38"/>
        <v>323939.71421913715</v>
      </c>
      <c r="L219">
        <f t="shared" si="43"/>
        <v>136529.52715247936</v>
      </c>
      <c r="M219" s="69">
        <f t="shared" si="44"/>
        <v>410.71701098770859</v>
      </c>
      <c r="N219" s="69">
        <f t="shared" si="45"/>
        <v>11.08058375150226</v>
      </c>
      <c r="O219">
        <f>_xlfn.XLOOKUP(N219,CBIA!$A$3:$A$24,CBIA!$C$3:$C$24,,-1)</f>
        <v>0.13</v>
      </c>
      <c r="P219" s="70">
        <f>_xlfn.XLOOKUP(N219,CBIA!$A$3:$A$24,CBIA!$D$3:$D$24,,-1)</f>
        <v>2.4500000000000001E-2</v>
      </c>
      <c r="Q219">
        <f t="shared" si="39"/>
        <v>2340</v>
      </c>
      <c r="R219">
        <f t="shared" si="46"/>
        <v>136109.43629970253</v>
      </c>
      <c r="S219" s="77">
        <f t="shared" si="47"/>
        <v>0.42016903246271275</v>
      </c>
    </row>
    <row r="220" spans="1:19" ht="15.5" x14ac:dyDescent="0.35">
      <c r="A220" s="3" t="s">
        <v>5410</v>
      </c>
      <c r="B220" s="16" t="s">
        <v>5411</v>
      </c>
      <c r="C220" s="17" t="s">
        <v>5413</v>
      </c>
      <c r="D220" s="17" t="str">
        <f t="shared" si="40"/>
        <v>29/03/64</v>
      </c>
      <c r="E220" s="3" t="s">
        <v>3704</v>
      </c>
      <c r="F220" s="6">
        <v>546673.14367999986</v>
      </c>
      <c r="G220" s="68" t="str">
        <f t="shared" si="36"/>
        <v>85</v>
      </c>
      <c r="H220">
        <f t="shared" si="41"/>
        <v>58</v>
      </c>
      <c r="I220">
        <f t="shared" si="37"/>
        <v>7</v>
      </c>
      <c r="J220">
        <f t="shared" si="42"/>
        <v>136.51476277792605</v>
      </c>
      <c r="K220" s="69">
        <f t="shared" si="38"/>
        <v>821994.28061517957</v>
      </c>
      <c r="L220">
        <f t="shared" si="43"/>
        <v>103751.21971122379</v>
      </c>
      <c r="M220" s="69">
        <f t="shared" si="44"/>
        <v>291.88891167581255</v>
      </c>
      <c r="N220" s="69">
        <f t="shared" si="45"/>
        <v>11.84825408583928</v>
      </c>
      <c r="O220">
        <f>_xlfn.XLOOKUP(N220,CBIA!$A$3:$A$24,CBIA!$C$3:$C$24,,-1)</f>
        <v>0.13</v>
      </c>
      <c r="P220" s="70">
        <f>_xlfn.XLOOKUP(N220,CBIA!$A$3:$A$24,CBIA!$D$3:$D$24,,-1)</f>
        <v>2.4500000000000001E-2</v>
      </c>
      <c r="Q220">
        <f t="shared" si="39"/>
        <v>2288</v>
      </c>
      <c r="R220">
        <f t="shared" si="46"/>
        <v>100890.08030611044</v>
      </c>
      <c r="S220" s="77">
        <f t="shared" si="47"/>
        <v>0.12273817797199808</v>
      </c>
    </row>
    <row r="221" spans="1:19" ht="15.5" x14ac:dyDescent="0.35">
      <c r="A221" s="3" t="s">
        <v>839</v>
      </c>
      <c r="B221" s="16" t="s">
        <v>3387</v>
      </c>
      <c r="C221" s="17" t="s">
        <v>1149</v>
      </c>
      <c r="D221" s="17" t="str">
        <f t="shared" si="40"/>
        <v>24/04/67</v>
      </c>
      <c r="E221" s="3" t="s">
        <v>5414</v>
      </c>
      <c r="F221" s="6">
        <v>13463.248</v>
      </c>
      <c r="G221" s="68" t="str">
        <f t="shared" si="36"/>
        <v>93</v>
      </c>
      <c r="H221">
        <f t="shared" si="41"/>
        <v>55</v>
      </c>
      <c r="I221">
        <f t="shared" si="37"/>
        <v>10</v>
      </c>
      <c r="J221">
        <f t="shared" si="42"/>
        <v>153.56054211742907</v>
      </c>
      <c r="K221" s="69">
        <f t="shared" si="38"/>
        <v>24110.626668785193</v>
      </c>
      <c r="L221">
        <f t="shared" si="43"/>
        <v>24110.626668785193</v>
      </c>
      <c r="M221" s="69">
        <f t="shared" si="44"/>
        <v>337.89790137871245</v>
      </c>
      <c r="N221" s="69">
        <f t="shared" si="45"/>
        <v>2.378492297072329</v>
      </c>
      <c r="O221">
        <f>_xlfn.XLOOKUP(N221,CBIA!$A$3:$A$24,CBIA!$C$3:$C$24,,-1)</f>
        <v>0.33679999999999999</v>
      </c>
      <c r="P221" s="70">
        <f>_xlfn.XLOOKUP(N221,CBIA!$A$3:$A$24,CBIA!$D$3:$D$24,,-1)</f>
        <v>1.8680000000000002E-2</v>
      </c>
      <c r="Q221">
        <f t="shared" si="39"/>
        <v>2028</v>
      </c>
      <c r="R221">
        <f t="shared" si="46"/>
        <v>21354.893320358442</v>
      </c>
      <c r="S221" s="77">
        <f t="shared" si="47"/>
        <v>0.88570461538461542</v>
      </c>
    </row>
    <row r="222" spans="1:19" ht="15.5" x14ac:dyDescent="0.35">
      <c r="A222" s="3" t="s">
        <v>843</v>
      </c>
      <c r="B222" s="16" t="s">
        <v>3391</v>
      </c>
      <c r="C222" s="17" t="s">
        <v>864</v>
      </c>
      <c r="D222" s="17" t="str">
        <f t="shared" si="40"/>
        <v>05/08/72</v>
      </c>
      <c r="E222" s="3" t="s">
        <v>3671</v>
      </c>
      <c r="F222" s="6">
        <v>18014.736000000001</v>
      </c>
      <c r="G222" s="68" t="str">
        <f t="shared" si="36"/>
        <v>91</v>
      </c>
      <c r="H222">
        <f t="shared" si="41"/>
        <v>50</v>
      </c>
      <c r="I222">
        <f t="shared" si="37"/>
        <v>15</v>
      </c>
      <c r="J222">
        <f t="shared" si="42"/>
        <v>186.82987926128754</v>
      </c>
      <c r="K222" s="69">
        <f t="shared" si="38"/>
        <v>43173.363157327985</v>
      </c>
      <c r="L222">
        <f t="shared" si="43"/>
        <v>43173.363157327985</v>
      </c>
      <c r="M222" s="69">
        <f t="shared" si="44"/>
        <v>431.25286153709413</v>
      </c>
      <c r="N222" s="69">
        <f t="shared" si="45"/>
        <v>3.3370494055735818</v>
      </c>
      <c r="O222">
        <f>_xlfn.XLOOKUP(N222,CBIA!$A$3:$A$24,CBIA!$C$3:$C$24,,-1)</f>
        <v>0.23699999999999999</v>
      </c>
      <c r="P222" s="70">
        <f>_xlfn.XLOOKUP(N222,CBIA!$A$3:$A$24,CBIA!$D$3:$D$24,,-1)</f>
        <v>2.1489999999999999E-2</v>
      </c>
      <c r="Q222">
        <f t="shared" si="39"/>
        <v>2392</v>
      </c>
      <c r="R222">
        <f t="shared" si="46"/>
        <v>43989.572192956948</v>
      </c>
      <c r="S222" s="77">
        <f t="shared" si="47"/>
        <v>1.0189053846153846</v>
      </c>
    </row>
    <row r="223" spans="1:19" ht="15.5" x14ac:dyDescent="0.35">
      <c r="A223" s="3" t="s">
        <v>847</v>
      </c>
      <c r="B223" s="16" t="s">
        <v>3395</v>
      </c>
      <c r="C223" s="17" t="s">
        <v>1677</v>
      </c>
      <c r="D223" s="17" t="str">
        <f t="shared" si="40"/>
        <v>17/03/73</v>
      </c>
      <c r="E223" s="3" t="s">
        <v>5419</v>
      </c>
      <c r="F223" s="6">
        <v>6843.0399999999991</v>
      </c>
      <c r="G223" s="68" t="str">
        <f t="shared" si="36"/>
        <v>96</v>
      </c>
      <c r="H223">
        <f t="shared" si="41"/>
        <v>49</v>
      </c>
      <c r="I223">
        <f t="shared" si="37"/>
        <v>16</v>
      </c>
      <c r="J223">
        <f t="shared" si="42"/>
        <v>194.30307443173908</v>
      </c>
      <c r="K223" s="69">
        <f t="shared" si="38"/>
        <v>17383.728192371447</v>
      </c>
      <c r="L223">
        <f t="shared" si="43"/>
        <v>17383.728192371447</v>
      </c>
      <c r="M223" s="69">
        <f t="shared" si="44"/>
        <v>452.8155046139488</v>
      </c>
      <c r="N223" s="69">
        <f t="shared" si="45"/>
        <v>1.2796770439793188</v>
      </c>
      <c r="O223">
        <f>_xlfn.XLOOKUP(N223,CBIA!$A$3:$A$24,CBIA!$C$3:$C$24,,-1)</f>
        <v>0.58179999999999998</v>
      </c>
      <c r="P223" s="70">
        <f>_xlfn.XLOOKUP(N223,CBIA!$A$3:$A$24,CBIA!$D$3:$D$24,,-1)</f>
        <v>1.1779999999999999E-2</v>
      </c>
      <c r="Q223">
        <f t="shared" si="39"/>
        <v>2184</v>
      </c>
      <c r="R223">
        <f t="shared" si="46"/>
        <v>16745.584902528102</v>
      </c>
      <c r="S223" s="77">
        <f t="shared" si="47"/>
        <v>0.96329076923076928</v>
      </c>
    </row>
    <row r="224" spans="1:19" ht="15.5" x14ac:dyDescent="0.35">
      <c r="A224" s="3" t="s">
        <v>849</v>
      </c>
      <c r="B224" s="16" t="s">
        <v>3397</v>
      </c>
      <c r="C224" s="17" t="s">
        <v>1679</v>
      </c>
      <c r="D224" s="17" t="str">
        <f t="shared" si="40"/>
        <v>30/04/60</v>
      </c>
      <c r="E224" s="3" t="s">
        <v>5420</v>
      </c>
      <c r="F224" s="6">
        <v>5632.2079999999996</v>
      </c>
      <c r="G224" s="68" t="str">
        <f t="shared" si="36"/>
        <v>79</v>
      </c>
      <c r="H224">
        <f t="shared" si="41"/>
        <v>62</v>
      </c>
      <c r="I224">
        <f t="shared" si="37"/>
        <v>3</v>
      </c>
      <c r="J224">
        <f t="shared" si="42"/>
        <v>116.69339136000001</v>
      </c>
      <c r="K224" s="69">
        <f t="shared" si="38"/>
        <v>6708.0498433280009</v>
      </c>
      <c r="L224">
        <f t="shared" si="43"/>
        <v>6708.0498433280009</v>
      </c>
      <c r="M224" s="69">
        <f t="shared" si="44"/>
        <v>240.13773000000003</v>
      </c>
      <c r="N224" s="69">
        <f t="shared" si="45"/>
        <v>0.9311392318244478</v>
      </c>
      <c r="O224">
        <f>_xlfn.XLOOKUP(N224,CBIA!$A$3:$A$24,CBIA!$C$3:$C$24,,-1)</f>
        <v>0.8</v>
      </c>
      <c r="P224" s="70">
        <f>_xlfn.XLOOKUP(N224,CBIA!$A$3:$A$24,CBIA!$D$3:$D$24,,-1)</f>
        <v>5.6299999999999996E-3</v>
      </c>
      <c r="Q224">
        <f t="shared" si="39"/>
        <v>2392</v>
      </c>
      <c r="R224">
        <f t="shared" si="46"/>
        <v>6740.5529248380954</v>
      </c>
      <c r="S224" s="77">
        <f t="shared" si="47"/>
        <v>1.0048453846153846</v>
      </c>
    </row>
    <row r="225" spans="1:19" ht="15.5" x14ac:dyDescent="0.35">
      <c r="A225" s="3" t="s">
        <v>850</v>
      </c>
      <c r="B225" s="16" t="s">
        <v>3398</v>
      </c>
      <c r="C225" s="17" t="s">
        <v>1680</v>
      </c>
      <c r="D225" s="17" t="str">
        <f t="shared" si="40"/>
        <v>25/04/63</v>
      </c>
      <c r="E225" s="3" t="s">
        <v>5421</v>
      </c>
      <c r="F225" s="6">
        <v>5632.2079999999996</v>
      </c>
      <c r="G225" s="68" t="str">
        <f t="shared" si="36"/>
        <v>82</v>
      </c>
      <c r="H225">
        <f t="shared" si="41"/>
        <v>59</v>
      </c>
      <c r="I225">
        <f t="shared" si="37"/>
        <v>6</v>
      </c>
      <c r="J225">
        <f t="shared" si="42"/>
        <v>131.26419497877507</v>
      </c>
      <c r="K225" s="69">
        <f t="shared" si="38"/>
        <v>7989.3946922011437</v>
      </c>
      <c r="L225">
        <f t="shared" si="43"/>
        <v>7989.3946922011437</v>
      </c>
      <c r="M225" s="69">
        <f t="shared" si="44"/>
        <v>277.98943969124997</v>
      </c>
      <c r="N225" s="69">
        <f t="shared" si="45"/>
        <v>0.95799738544919721</v>
      </c>
      <c r="O225">
        <f>_xlfn.XLOOKUP(N225,CBIA!$A$3:$A$24,CBIA!$C$3:$C$24,,-1)</f>
        <v>0.8</v>
      </c>
      <c r="P225" s="70">
        <f>_xlfn.XLOOKUP(N225,CBIA!$A$3:$A$24,CBIA!$D$3:$D$24,,-1)</f>
        <v>5.6299999999999996E-3</v>
      </c>
      <c r="Q225">
        <f t="shared" si="39"/>
        <v>2392</v>
      </c>
      <c r="R225">
        <f t="shared" si="46"/>
        <v>8028.1063823289705</v>
      </c>
      <c r="S225" s="77">
        <f t="shared" si="47"/>
        <v>1.0048453846153846</v>
      </c>
    </row>
    <row r="226" spans="1:19" ht="15.5" x14ac:dyDescent="0.35">
      <c r="A226" s="3" t="s">
        <v>851</v>
      </c>
      <c r="B226" s="16" t="s">
        <v>3399</v>
      </c>
      <c r="C226" s="17" t="s">
        <v>1681</v>
      </c>
      <c r="D226" s="17" t="str">
        <f t="shared" si="40"/>
        <v>28/07/68</v>
      </c>
      <c r="E226" s="3" t="s">
        <v>5422</v>
      </c>
      <c r="F226" s="6">
        <v>5632.2079999999996</v>
      </c>
      <c r="G226" s="68" t="str">
        <f t="shared" si="36"/>
        <v>88</v>
      </c>
      <c r="H226">
        <f t="shared" si="41"/>
        <v>54</v>
      </c>
      <c r="I226">
        <f t="shared" si="37"/>
        <v>11</v>
      </c>
      <c r="J226">
        <f t="shared" si="42"/>
        <v>159.70296380212622</v>
      </c>
      <c r="K226" s="69">
        <f t="shared" si="38"/>
        <v>10691.612326645252</v>
      </c>
      <c r="L226">
        <f t="shared" si="43"/>
        <v>10691.612326645252</v>
      </c>
      <c r="M226" s="69">
        <f t="shared" si="44"/>
        <v>354.79279644764813</v>
      </c>
      <c r="N226" s="69">
        <f t="shared" si="45"/>
        <v>1.0044935554587251</v>
      </c>
      <c r="O226">
        <f>_xlfn.XLOOKUP(N226,CBIA!$A$3:$A$24,CBIA!$C$3:$C$24,,-1)</f>
        <v>0.8</v>
      </c>
      <c r="P226" s="70">
        <f>_xlfn.XLOOKUP(N226,CBIA!$A$3:$A$24,CBIA!$D$3:$D$24,,-1)</f>
        <v>5.6299999999999996E-3</v>
      </c>
      <c r="Q226">
        <f t="shared" si="39"/>
        <v>2340</v>
      </c>
      <c r="R226">
        <f t="shared" si="46"/>
        <v>10683.223523127423</v>
      </c>
      <c r="S226" s="77">
        <f t="shared" si="47"/>
        <v>0.99921538461538462</v>
      </c>
    </row>
    <row r="227" spans="1:19" ht="15.5" x14ac:dyDescent="0.35">
      <c r="A227" s="3" t="s">
        <v>857</v>
      </c>
      <c r="B227" s="16" t="s">
        <v>3405</v>
      </c>
      <c r="C227" s="17" t="s">
        <v>1687</v>
      </c>
      <c r="D227" s="17" t="str">
        <f t="shared" si="40"/>
        <v>06/05/74</v>
      </c>
      <c r="E227" s="3" t="s">
        <v>5425</v>
      </c>
      <c r="F227" s="6">
        <v>17069.903999999999</v>
      </c>
      <c r="G227" s="68" t="str">
        <f t="shared" si="36"/>
        <v>91</v>
      </c>
      <c r="H227">
        <f t="shared" si="41"/>
        <v>48</v>
      </c>
      <c r="I227">
        <f t="shared" si="37"/>
        <v>17</v>
      </c>
      <c r="J227">
        <f t="shared" si="42"/>
        <v>202.07519740900864</v>
      </c>
      <c r="K227" s="69">
        <f t="shared" si="38"/>
        <v>45965.372946852076</v>
      </c>
      <c r="L227">
        <f t="shared" si="43"/>
        <v>45965.372946852076</v>
      </c>
      <c r="M227" s="69">
        <f t="shared" si="44"/>
        <v>475.4562798446463</v>
      </c>
      <c r="N227" s="69">
        <f t="shared" si="45"/>
        <v>3.2225446653665752</v>
      </c>
      <c r="O227">
        <f>_xlfn.XLOOKUP(N227,CBIA!$A$3:$A$24,CBIA!$C$3:$C$24,,-1)</f>
        <v>0.25600000000000001</v>
      </c>
      <c r="P227" s="70">
        <f>_xlfn.XLOOKUP(N227,CBIA!$A$3:$A$24,CBIA!$D$3:$D$24,,-1)</f>
        <v>2.0959999999999999E-2</v>
      </c>
      <c r="Q227">
        <f t="shared" si="39"/>
        <v>2496</v>
      </c>
      <c r="R227">
        <f t="shared" si="46"/>
        <v>48748.18734101289</v>
      </c>
      <c r="S227" s="77">
        <f t="shared" si="47"/>
        <v>1.0605415384615386</v>
      </c>
    </row>
    <row r="228" spans="1:19" ht="15.5" x14ac:dyDescent="0.35">
      <c r="A228" s="3" t="s">
        <v>5426</v>
      </c>
      <c r="B228" s="16" t="s">
        <v>2599</v>
      </c>
      <c r="C228" s="17" t="s">
        <v>913</v>
      </c>
      <c r="D228" s="17" t="str">
        <f t="shared" si="40"/>
        <v>03/07/74</v>
      </c>
      <c r="E228" s="3" t="s">
        <v>5427</v>
      </c>
      <c r="F228" s="6">
        <v>32364.143999999997</v>
      </c>
      <c r="G228" s="68" t="str">
        <f t="shared" si="36"/>
        <v>95</v>
      </c>
      <c r="H228">
        <f t="shared" si="41"/>
        <v>48</v>
      </c>
      <c r="I228">
        <f t="shared" si="37"/>
        <v>17</v>
      </c>
      <c r="J228">
        <f t="shared" si="42"/>
        <v>202.07519740900864</v>
      </c>
      <c r="K228" s="69">
        <f t="shared" si="38"/>
        <v>87149.286197838315</v>
      </c>
      <c r="L228">
        <f t="shared" si="43"/>
        <v>87149.286197838315</v>
      </c>
      <c r="M228" s="69">
        <f t="shared" si="44"/>
        <v>475.4562798446463</v>
      </c>
      <c r="N228" s="69">
        <f t="shared" si="45"/>
        <v>6.1098703072000671</v>
      </c>
      <c r="O228">
        <f>_xlfn.XLOOKUP(N228,CBIA!$A$3:$A$24,CBIA!$C$3:$C$24,,-1)</f>
        <v>0.13</v>
      </c>
      <c r="P228" s="70">
        <f>_xlfn.XLOOKUP(N228,CBIA!$A$3:$A$24,CBIA!$D$3:$D$24,,-1)</f>
        <v>2.4500000000000001E-2</v>
      </c>
      <c r="Q228">
        <f t="shared" si="39"/>
        <v>2288</v>
      </c>
      <c r="R228">
        <f t="shared" si="46"/>
        <v>84745.977036151788</v>
      </c>
      <c r="S228" s="77">
        <f t="shared" si="47"/>
        <v>0.97242307692307706</v>
      </c>
    </row>
    <row r="229" spans="1:19" ht="15.5" x14ac:dyDescent="0.35">
      <c r="A229" s="3" t="s">
        <v>11</v>
      </c>
      <c r="B229" s="16" t="s">
        <v>2572</v>
      </c>
      <c r="C229" s="17" t="s">
        <v>886</v>
      </c>
      <c r="D229" s="17" t="str">
        <f t="shared" si="40"/>
        <v>03/11/70</v>
      </c>
      <c r="E229" s="71" t="s">
        <v>5428</v>
      </c>
      <c r="F229" s="6">
        <v>50243.6</v>
      </c>
      <c r="G229" s="68" t="str">
        <f t="shared" si="36"/>
        <v>92</v>
      </c>
      <c r="H229">
        <f t="shared" si="41"/>
        <v>52</v>
      </c>
      <c r="I229">
        <f t="shared" si="37"/>
        <v>13</v>
      </c>
      <c r="J229">
        <f t="shared" si="42"/>
        <v>172.73472564837977</v>
      </c>
      <c r="K229" s="69">
        <f t="shared" si="38"/>
        <v>107165.99433145575</v>
      </c>
      <c r="L229">
        <f t="shared" si="43"/>
        <v>107165.99433145575</v>
      </c>
      <c r="M229" s="69">
        <f t="shared" si="44"/>
        <v>391.15905808353205</v>
      </c>
      <c r="N229" s="69">
        <f t="shared" si="45"/>
        <v>9.1323458762539538</v>
      </c>
      <c r="O229">
        <f>_xlfn.XLOOKUP(N229,CBIA!$A$3:$A$24,CBIA!$C$3:$C$24,,-1)</f>
        <v>0.13</v>
      </c>
      <c r="P229" s="70">
        <f>_xlfn.XLOOKUP(N229,CBIA!$A$3:$A$24,CBIA!$D$3:$D$24,,-1)</f>
        <v>2.4500000000000001E-2</v>
      </c>
      <c r="Q229">
        <f t="shared" si="39"/>
        <v>2236</v>
      </c>
      <c r="R229">
        <f t="shared" si="46"/>
        <v>101585.11908819455</v>
      </c>
      <c r="S229" s="77">
        <f t="shared" si="47"/>
        <v>0.94792307692307698</v>
      </c>
    </row>
    <row r="230" spans="1:19" ht="15.5" x14ac:dyDescent="0.35">
      <c r="A230" s="3" t="s">
        <v>493</v>
      </c>
      <c r="B230" s="16" t="s">
        <v>5432</v>
      </c>
      <c r="C230" s="17" t="s">
        <v>5434</v>
      </c>
      <c r="D230" s="17" t="str">
        <f t="shared" si="40"/>
        <v>14/02/74</v>
      </c>
      <c r="E230" s="3" t="s">
        <v>5435</v>
      </c>
      <c r="F230" s="6">
        <v>38552.671999999999</v>
      </c>
      <c r="G230" s="68" t="str">
        <f t="shared" si="36"/>
        <v>97</v>
      </c>
      <c r="H230">
        <f t="shared" si="41"/>
        <v>48</v>
      </c>
      <c r="I230">
        <f t="shared" si="37"/>
        <v>17</v>
      </c>
      <c r="J230">
        <f t="shared" si="42"/>
        <v>202.07519740900864</v>
      </c>
      <c r="K230" s="69">
        <f t="shared" si="38"/>
        <v>103813.58598019424</v>
      </c>
      <c r="L230">
        <f t="shared" si="43"/>
        <v>103813.58598019424</v>
      </c>
      <c r="M230" s="69">
        <f t="shared" si="44"/>
        <v>475.4562798446463</v>
      </c>
      <c r="N230" s="69">
        <f t="shared" si="45"/>
        <v>7.2781725948328324</v>
      </c>
      <c r="O230">
        <f>_xlfn.XLOOKUP(N230,CBIA!$A$3:$A$24,CBIA!$C$3:$C$24,,-1)</f>
        <v>0.13</v>
      </c>
      <c r="P230" s="70">
        <f>_xlfn.XLOOKUP(N230,CBIA!$A$3:$A$24,CBIA!$D$3:$D$24,,-1)</f>
        <v>2.4500000000000001E-2</v>
      </c>
      <c r="Q230">
        <f t="shared" si="39"/>
        <v>2184</v>
      </c>
      <c r="R230">
        <f t="shared" si="46"/>
        <v>95863.860992249378</v>
      </c>
      <c r="S230" s="77">
        <f t="shared" si="47"/>
        <v>0.92342307692307701</v>
      </c>
    </row>
    <row r="231" spans="1:19" ht="15.5" x14ac:dyDescent="0.35">
      <c r="A231" s="3" t="s">
        <v>543</v>
      </c>
      <c r="B231" s="16" t="s">
        <v>3175</v>
      </c>
      <c r="C231" s="17" t="s">
        <v>1476</v>
      </c>
      <c r="D231" s="17" t="str">
        <f t="shared" si="40"/>
        <v>11/08/68</v>
      </c>
      <c r="E231" s="3" t="s">
        <v>3851</v>
      </c>
      <c r="F231" s="6">
        <v>43471.695999999996</v>
      </c>
      <c r="G231" s="68" t="str">
        <f t="shared" si="36"/>
        <v>87</v>
      </c>
      <c r="H231">
        <f t="shared" si="41"/>
        <v>54</v>
      </c>
      <c r="I231">
        <f t="shared" si="37"/>
        <v>11</v>
      </c>
      <c r="J231">
        <f t="shared" si="42"/>
        <v>159.70296380212622</v>
      </c>
      <c r="K231" s="69">
        <f t="shared" si="38"/>
        <v>82522.257845195898</v>
      </c>
      <c r="L231">
        <f t="shared" si="43"/>
        <v>82522.257845195898</v>
      </c>
      <c r="M231" s="69">
        <f t="shared" si="44"/>
        <v>354.79279644764813</v>
      </c>
      <c r="N231" s="69">
        <f t="shared" si="45"/>
        <v>7.7530940755136939</v>
      </c>
      <c r="O231">
        <f>_xlfn.XLOOKUP(N231,CBIA!$A$3:$A$24,CBIA!$C$3:$C$24,,-1)</f>
        <v>0.13</v>
      </c>
      <c r="P231" s="70">
        <f>_xlfn.XLOOKUP(N231,CBIA!$A$3:$A$24,CBIA!$D$3:$D$24,,-1)</f>
        <v>2.4500000000000001E-2</v>
      </c>
      <c r="Q231">
        <f t="shared" si="39"/>
        <v>2392</v>
      </c>
      <c r="R231">
        <f t="shared" si="46"/>
        <v>84290.138522879526</v>
      </c>
      <c r="S231" s="77">
        <f t="shared" si="47"/>
        <v>1.021423076923077</v>
      </c>
    </row>
    <row r="232" spans="1:19" ht="15.5" x14ac:dyDescent="0.35">
      <c r="A232" s="3" t="s">
        <v>330</v>
      </c>
      <c r="B232" s="16" t="s">
        <v>3381</v>
      </c>
      <c r="C232" s="17" t="s">
        <v>1666</v>
      </c>
      <c r="D232" s="17" t="str">
        <f t="shared" si="40"/>
        <v>21/03/76</v>
      </c>
      <c r="E232" s="3" t="s">
        <v>5443</v>
      </c>
      <c r="F232" s="6">
        <v>37798.143999999993</v>
      </c>
      <c r="G232" s="68" t="str">
        <f t="shared" si="36"/>
        <v>97</v>
      </c>
      <c r="H232">
        <f t="shared" si="41"/>
        <v>46</v>
      </c>
      <c r="I232">
        <f t="shared" si="37"/>
        <v>19</v>
      </c>
      <c r="J232">
        <f t="shared" si="42"/>
        <v>218.56453351758375</v>
      </c>
      <c r="K232" s="69">
        <f t="shared" si="38"/>
        <v>114362.04566623511</v>
      </c>
      <c r="L232">
        <f t="shared" si="43"/>
        <v>114362.04566623511</v>
      </c>
      <c r="M232" s="69">
        <f>207.44*(1+0.05)^I232</f>
        <v>524.1905485287225</v>
      </c>
      <c r="N232" s="69">
        <f>L232/(M232*30)</f>
        <v>7.2722947782520446</v>
      </c>
      <c r="O232">
        <f>_xlfn.XLOOKUP(N232,CBIA!$A$3:$A$24,CBIA!$C$3:$C$24,,-1)</f>
        <v>0.13</v>
      </c>
      <c r="P232" s="70">
        <f>_xlfn.XLOOKUP(N232,CBIA!$A$3:$A$24,CBIA!$D$3:$D$24,,-1)</f>
        <v>2.4500000000000001E-2</v>
      </c>
      <c r="Q232">
        <f t="shared" si="39"/>
        <v>2288</v>
      </c>
      <c r="R232">
        <f t="shared" si="46"/>
        <v>111208.29232997779</v>
      </c>
      <c r="S232" s="77">
        <f t="shared" si="47"/>
        <v>0.97242307692307706</v>
      </c>
    </row>
    <row r="233" spans="1:19" x14ac:dyDescent="0.35">
      <c r="F233" s="69">
        <f>F232</f>
        <v>37798.143999999993</v>
      </c>
      <c r="G233">
        <v>96</v>
      </c>
      <c r="H233">
        <v>51</v>
      </c>
      <c r="I233">
        <v>14</v>
      </c>
      <c r="J233">
        <f t="shared" si="42"/>
        <v>179.64411467431495</v>
      </c>
      <c r="K233" s="69">
        <f t="shared" si="38"/>
        <v>85457.973289775415</v>
      </c>
      <c r="L233">
        <f t="shared" si="43"/>
        <v>85457.973289775415</v>
      </c>
      <c r="M233" s="69">
        <f>207.44*(1+0.05)^I233</f>
        <v>410.71701098770859</v>
      </c>
      <c r="N233" s="69">
        <f>L233/(M233*30)</f>
        <v>6.9356735500405895</v>
      </c>
      <c r="O233">
        <f>_xlfn.XLOOKUP(N233,CBIA!$A$3:$A$24,CBIA!$C$3:$C$24,,-1)</f>
        <v>0.13</v>
      </c>
      <c r="P233" s="70">
        <f>_xlfn.XLOOKUP(N233,CBIA!$A$3:$A$24,CBIA!$D$3:$D$24,,-1)</f>
        <v>2.4500000000000001E-2</v>
      </c>
      <c r="Q233">
        <f t="shared" ref="Q233" si="48">(122-G233+I233)*52</f>
        <v>2080</v>
      </c>
      <c r="R233">
        <f t="shared" ref="R233" si="49">L233*(O233+P233*((Q233-500)/52))</f>
        <v>74726.423951655539</v>
      </c>
      <c r="S233" s="77">
        <f t="shared" ref="S233" si="50">R233/K233</f>
        <v>0.87442307692307686</v>
      </c>
    </row>
    <row r="234" spans="1:19" x14ac:dyDescent="0.35">
      <c r="K234">
        <v>85457.97</v>
      </c>
      <c r="R234">
        <v>74726.423999999999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83BB8-71E4-4BCA-92E1-A4636C3F936F}">
  <dimension ref="A1:D24"/>
  <sheetViews>
    <sheetView workbookViewId="0">
      <selection activeCell="D7" sqref="D7"/>
    </sheetView>
  </sheetViews>
  <sheetFormatPr baseColWidth="10" defaultRowHeight="14.5" x14ac:dyDescent="0.35"/>
  <cols>
    <col min="4" max="4" width="15.7265625" bestFit="1" customWidth="1"/>
  </cols>
  <sheetData>
    <row r="1" spans="1:4" x14ac:dyDescent="0.35">
      <c r="A1" s="90"/>
      <c r="B1" s="90"/>
    </row>
    <row r="2" spans="1:4" x14ac:dyDescent="0.35">
      <c r="A2" t="s">
        <v>6319</v>
      </c>
      <c r="B2" t="s">
        <v>6320</v>
      </c>
      <c r="C2" t="s">
        <v>6318</v>
      </c>
      <c r="D2" t="s">
        <v>6312</v>
      </c>
    </row>
    <row r="3" spans="1:4" x14ac:dyDescent="0.35">
      <c r="A3">
        <v>0</v>
      </c>
      <c r="B3">
        <v>1</v>
      </c>
      <c r="C3">
        <v>0.8</v>
      </c>
      <c r="D3">
        <v>5.6299999999999996E-3</v>
      </c>
    </row>
    <row r="4" spans="1:4" x14ac:dyDescent="0.35">
      <c r="A4">
        <v>1.01</v>
      </c>
      <c r="B4">
        <v>1.25</v>
      </c>
      <c r="C4">
        <v>0.77110000000000001</v>
      </c>
      <c r="D4">
        <v>8.1399999999999997E-3</v>
      </c>
    </row>
    <row r="5" spans="1:4" x14ac:dyDescent="0.35">
      <c r="A5">
        <v>1.26</v>
      </c>
      <c r="B5">
        <v>1.5</v>
      </c>
      <c r="C5">
        <v>0.58179999999999998</v>
      </c>
      <c r="D5">
        <v>1.1779999999999999E-2</v>
      </c>
    </row>
    <row r="6" spans="1:4" x14ac:dyDescent="0.35">
      <c r="A6">
        <v>1.51</v>
      </c>
      <c r="B6">
        <v>1.75</v>
      </c>
      <c r="C6">
        <v>0.49229999999999996</v>
      </c>
      <c r="D6">
        <v>1.43E-2</v>
      </c>
    </row>
    <row r="7" spans="1:4" x14ac:dyDescent="0.35">
      <c r="A7">
        <v>1.76</v>
      </c>
      <c r="B7">
        <v>2</v>
      </c>
      <c r="C7">
        <v>0.42670000000000002</v>
      </c>
      <c r="D7">
        <v>1.6150000000000001E-2</v>
      </c>
    </row>
    <row r="8" spans="1:4" x14ac:dyDescent="0.35">
      <c r="A8">
        <v>2.0099999999999998</v>
      </c>
      <c r="B8">
        <v>2.25</v>
      </c>
      <c r="C8">
        <v>0.3765</v>
      </c>
      <c r="D8">
        <v>1.7559999999999999E-2</v>
      </c>
    </row>
    <row r="9" spans="1:4" x14ac:dyDescent="0.35">
      <c r="A9">
        <v>2.2599999999999998</v>
      </c>
      <c r="B9">
        <v>2.5</v>
      </c>
      <c r="C9">
        <v>0.33679999999999999</v>
      </c>
      <c r="D9">
        <v>1.8680000000000002E-2</v>
      </c>
    </row>
    <row r="10" spans="1:4" x14ac:dyDescent="0.35">
      <c r="A10">
        <v>2.5099999999999998</v>
      </c>
      <c r="B10">
        <v>2.75</v>
      </c>
      <c r="C10">
        <v>0.30480000000000002</v>
      </c>
      <c r="D10">
        <v>1.958E-2</v>
      </c>
    </row>
    <row r="11" spans="1:4" x14ac:dyDescent="0.35">
      <c r="A11">
        <v>2.76</v>
      </c>
      <c r="B11">
        <v>3</v>
      </c>
      <c r="C11">
        <v>0.27829999999999999</v>
      </c>
      <c r="D11">
        <v>2.0330000000000001E-2</v>
      </c>
    </row>
    <row r="12" spans="1:4" x14ac:dyDescent="0.35">
      <c r="A12">
        <v>3.01</v>
      </c>
      <c r="B12">
        <v>3.25</v>
      </c>
      <c r="C12">
        <v>0.25600000000000001</v>
      </c>
      <c r="D12">
        <v>2.0959999999999999E-2</v>
      </c>
    </row>
    <row r="13" spans="1:4" x14ac:dyDescent="0.35">
      <c r="A13">
        <v>3.26</v>
      </c>
      <c r="B13">
        <v>3.5</v>
      </c>
      <c r="C13">
        <v>0.23699999999999999</v>
      </c>
      <c r="D13">
        <v>2.1489999999999999E-2</v>
      </c>
    </row>
    <row r="14" spans="1:4" x14ac:dyDescent="0.35">
      <c r="A14">
        <v>3.51</v>
      </c>
      <c r="B14">
        <v>3.75</v>
      </c>
      <c r="C14">
        <v>0.22070000000000001</v>
      </c>
      <c r="D14">
        <v>2.1949999999999997E-2</v>
      </c>
    </row>
    <row r="15" spans="1:4" x14ac:dyDescent="0.35">
      <c r="A15">
        <v>3.75</v>
      </c>
      <c r="B15">
        <v>4</v>
      </c>
      <c r="C15">
        <v>0.20649999999999999</v>
      </c>
      <c r="D15">
        <v>2.2349999999999998E-2</v>
      </c>
    </row>
    <row r="16" spans="1:4" x14ac:dyDescent="0.35">
      <c r="A16">
        <v>4.01</v>
      </c>
      <c r="B16">
        <v>4.25</v>
      </c>
      <c r="C16">
        <v>0.19390000000000002</v>
      </c>
      <c r="D16">
        <v>2.2709999999999998E-2</v>
      </c>
    </row>
    <row r="17" spans="1:4" x14ac:dyDescent="0.35">
      <c r="A17">
        <v>4.26</v>
      </c>
      <c r="B17">
        <v>4.5</v>
      </c>
      <c r="C17">
        <v>0.18289999999999998</v>
      </c>
      <c r="D17">
        <v>2.3019999999999999E-2</v>
      </c>
    </row>
    <row r="18" spans="1:4" x14ac:dyDescent="0.35">
      <c r="A18">
        <v>4.51</v>
      </c>
      <c r="B18">
        <v>4.75</v>
      </c>
      <c r="C18">
        <v>0.17300000000000001</v>
      </c>
      <c r="D18">
        <v>2.3300000000000001E-2</v>
      </c>
    </row>
    <row r="19" spans="1:4" x14ac:dyDescent="0.35">
      <c r="A19">
        <v>4.76</v>
      </c>
      <c r="B19">
        <v>5</v>
      </c>
      <c r="C19">
        <v>0.1641</v>
      </c>
      <c r="D19">
        <v>2.3550000000000001E-2</v>
      </c>
    </row>
    <row r="20" spans="1:4" x14ac:dyDescent="0.35">
      <c r="A20">
        <v>5.01</v>
      </c>
      <c r="B20">
        <v>5.25</v>
      </c>
      <c r="C20">
        <v>0.15609999999999999</v>
      </c>
      <c r="D20">
        <v>2.3769999999999999E-2</v>
      </c>
    </row>
    <row r="21" spans="1:4" x14ac:dyDescent="0.35">
      <c r="A21">
        <v>5.26</v>
      </c>
      <c r="B21">
        <v>5.5</v>
      </c>
      <c r="C21">
        <v>0.14880000000000002</v>
      </c>
      <c r="D21">
        <v>2.3980000000000001E-2</v>
      </c>
    </row>
    <row r="22" spans="1:4" x14ac:dyDescent="0.35">
      <c r="A22">
        <v>5.51</v>
      </c>
      <c r="B22">
        <v>5.75</v>
      </c>
      <c r="C22">
        <v>0.14219999999999999</v>
      </c>
      <c r="D22">
        <v>2.4160000000000001E-2</v>
      </c>
    </row>
    <row r="23" spans="1:4" x14ac:dyDescent="0.35">
      <c r="A23">
        <v>5.76</v>
      </c>
      <c r="B23">
        <v>6</v>
      </c>
      <c r="C23">
        <v>0.13619999999999999</v>
      </c>
      <c r="D23">
        <v>2.4329999999999997E-2</v>
      </c>
    </row>
    <row r="24" spans="1:4" x14ac:dyDescent="0.35">
      <c r="A24">
        <v>6.01</v>
      </c>
      <c r="C24">
        <v>0.13</v>
      </c>
      <c r="D24">
        <v>2.4500000000000001E-2</v>
      </c>
    </row>
  </sheetData>
  <mergeCells count="1">
    <mergeCell ref="A1:B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901A1-4FAC-4DD5-A4AB-AA8A6B5A94BC}">
  <dimension ref="A1:Y685"/>
  <sheetViews>
    <sheetView topLeftCell="G1" workbookViewId="0">
      <pane ySplit="1" topLeftCell="A676" activePane="bottomLeft" state="frozen"/>
      <selection activeCell="B1" sqref="B1"/>
      <selection pane="bottomLeft" activeCell="R685" sqref="R685"/>
    </sheetView>
  </sheetViews>
  <sheetFormatPr baseColWidth="10" defaultRowHeight="14.5" x14ac:dyDescent="0.35"/>
  <cols>
    <col min="3" max="4" width="11.1796875" customWidth="1"/>
    <col min="6" max="6" width="11.90625" bestFit="1" customWidth="1"/>
    <col min="7" max="7" width="11.90625" customWidth="1"/>
    <col min="10" max="10" width="11.36328125" bestFit="1" customWidth="1"/>
    <col min="15" max="15" width="13.54296875" customWidth="1"/>
    <col min="16" max="16" width="18.08984375" bestFit="1" customWidth="1"/>
    <col min="17" max="17" width="11.08984375" bestFit="1" customWidth="1"/>
    <col min="18" max="18" width="12.54296875" bestFit="1" customWidth="1"/>
    <col min="20" max="20" width="13.90625" customWidth="1"/>
    <col min="24" max="24" width="17.08984375" bestFit="1" customWidth="1"/>
    <col min="25" max="25" width="11.08984375" bestFit="1" customWidth="1"/>
  </cols>
  <sheetData>
    <row r="1" spans="1:25" ht="93" x14ac:dyDescent="0.35">
      <c r="A1" s="2" t="s">
        <v>0</v>
      </c>
      <c r="B1" s="2" t="s">
        <v>2548</v>
      </c>
      <c r="C1" s="4" t="s">
        <v>862</v>
      </c>
      <c r="D1" s="4" t="s">
        <v>6324</v>
      </c>
      <c r="E1" s="4" t="s">
        <v>3407</v>
      </c>
      <c r="F1" s="5" t="s">
        <v>6301</v>
      </c>
      <c r="G1" s="5" t="s">
        <v>6342</v>
      </c>
      <c r="H1" s="2" t="s">
        <v>6302</v>
      </c>
      <c r="I1" s="5" t="s">
        <v>6303</v>
      </c>
      <c r="J1" s="78" t="s">
        <v>6304</v>
      </c>
      <c r="K1" s="75" t="s">
        <v>6305</v>
      </c>
      <c r="L1" s="75" t="s">
        <v>6327</v>
      </c>
      <c r="M1" s="75" t="s">
        <v>6326</v>
      </c>
      <c r="N1" s="75" t="s">
        <v>6321</v>
      </c>
      <c r="O1" s="75" t="s">
        <v>6385</v>
      </c>
      <c r="P1" s="75" t="s">
        <v>6337</v>
      </c>
      <c r="Q1" s="75" t="s">
        <v>6328</v>
      </c>
      <c r="R1" s="75" t="s">
        <v>6322</v>
      </c>
      <c r="S1" s="76" t="s">
        <v>6323</v>
      </c>
      <c r="T1" s="75" t="s">
        <v>6340</v>
      </c>
    </row>
    <row r="2" spans="1:25" ht="15.5" x14ac:dyDescent="0.35">
      <c r="A2" s="3" t="s">
        <v>8</v>
      </c>
      <c r="B2" s="16" t="s">
        <v>2556</v>
      </c>
      <c r="C2" s="17" t="s">
        <v>870</v>
      </c>
      <c r="D2" s="17" t="str">
        <f>_xlfn.CONCAT(MID(C2,5,2),"/",MID(C2,3,2),"/",MID(C2,1,2))</f>
        <v>12/11/71</v>
      </c>
      <c r="E2" s="3" t="s">
        <v>3414</v>
      </c>
      <c r="F2" s="6">
        <v>17722.896000000001</v>
      </c>
      <c r="G2" s="6">
        <f>IF(F2=0,$Y$3,F2)</f>
        <v>17722.896000000001</v>
      </c>
      <c r="H2" s="79">
        <f t="shared" ref="H2:H65" si="0">_xlfn.NUMBERVALUE(MID(B2,3,2))</f>
        <v>98</v>
      </c>
      <c r="I2">
        <f t="shared" ref="I2:I65" si="1">2022-YEAR(D2)</f>
        <v>51</v>
      </c>
      <c r="J2">
        <f t="shared" ref="J2:J65" si="2">2022-YEAR(E2)</f>
        <v>23</v>
      </c>
      <c r="K2">
        <f>65-I2</f>
        <v>14</v>
      </c>
      <c r="L2" s="80">
        <f>IF(H2&gt;22,122-H2,22-H2)</f>
        <v>24</v>
      </c>
      <c r="M2" s="80">
        <f>L2+K2</f>
        <v>38</v>
      </c>
      <c r="N2">
        <f>G2*(1+0.06)^-J2</f>
        <v>4639.8056339381455</v>
      </c>
      <c r="O2" s="87">
        <f>((1-((1+$W$11)/(1+$W$10))^(6*(J2+K2)))/($W$10-$W$11))*(1+$W$10)^(6*(J2+K2))</f>
        <v>2268.4845089511282</v>
      </c>
      <c r="P2" s="69">
        <f>N2*0.065*O2</f>
        <v>684146.26833363541</v>
      </c>
      <c r="Q2" s="69">
        <f>P2/150</f>
        <v>4560.9751222242357</v>
      </c>
      <c r="R2" s="69">
        <f>G2*(1+0.06)^K2</f>
        <v>40069.765673824295</v>
      </c>
      <c r="S2" s="77">
        <f t="shared" ref="S2:S4" si="3">Q2/R2</f>
        <v>0.11382584962815762</v>
      </c>
      <c r="T2" s="88">
        <f>AVERAGE(S2:S684)</f>
        <v>0.10509199746349203</v>
      </c>
      <c r="V2" t="s">
        <v>6331</v>
      </c>
      <c r="W2">
        <v>103.74</v>
      </c>
      <c r="X2" t="s">
        <v>6341</v>
      </c>
      <c r="Y2" s="89">
        <f>AVERAGE(F2:F684)</f>
        <v>15640.205471009649</v>
      </c>
    </row>
    <row r="3" spans="1:25" ht="15.5" x14ac:dyDescent="0.35">
      <c r="A3" s="3" t="s">
        <v>10</v>
      </c>
      <c r="B3" s="16" t="s">
        <v>2558</v>
      </c>
      <c r="C3" s="17" t="s">
        <v>872</v>
      </c>
      <c r="D3" s="17" t="str">
        <f t="shared" ref="D3:D66" si="4">_xlfn.CONCAT(MID(C3,5,2),"/",MID(C3,3,2),"/",MID(C3,1,2))</f>
        <v>12/09/62</v>
      </c>
      <c r="E3" s="3" t="s">
        <v>3415</v>
      </c>
      <c r="F3" s="6">
        <v>88054.894910293326</v>
      </c>
      <c r="G3" s="6">
        <f>IF(F3=0,$Y$3,F3)</f>
        <v>88054.894910293326</v>
      </c>
      <c r="H3" s="79">
        <f t="shared" si="0"/>
        <v>99</v>
      </c>
      <c r="I3">
        <f t="shared" si="1"/>
        <v>60</v>
      </c>
      <c r="J3">
        <f t="shared" si="2"/>
        <v>23</v>
      </c>
      <c r="K3">
        <f t="shared" ref="K3:K66" si="5">65-I3</f>
        <v>5</v>
      </c>
      <c r="L3" s="80">
        <f t="shared" ref="L3:L66" si="6">IF(H3&gt;22,122-H3,22-H3)</f>
        <v>23</v>
      </c>
      <c r="M3" s="80">
        <f t="shared" ref="M3:M66" si="7">L3+K3</f>
        <v>28</v>
      </c>
      <c r="N3">
        <f t="shared" ref="N3:N66" si="8">G3*(1+0.06)^-J3</f>
        <v>23052.530325778036</v>
      </c>
      <c r="O3" s="87">
        <f>(((1-((1+$W$11)/(1+$W$10))^(6*(J3+K3)))/($W$10-$W$11))*(1+$W$10)^(6*(J3+K3)))</f>
        <v>971.97898006406626</v>
      </c>
      <c r="P3" s="69">
        <f>N3*0.065*O3</f>
        <v>1456427.3694064701</v>
      </c>
      <c r="Q3" s="69">
        <f t="shared" ref="Q3:Q66" si="9">P3/150</f>
        <v>9709.5157960431334</v>
      </c>
      <c r="R3" s="69">
        <f>G3*(1+0.06)^K3</f>
        <v>117837.31260183462</v>
      </c>
      <c r="S3" s="77">
        <f t="shared" si="3"/>
        <v>8.2397634345676388E-2</v>
      </c>
      <c r="V3" t="s">
        <v>6332</v>
      </c>
      <c r="W3" s="83">
        <v>0.06</v>
      </c>
      <c r="Y3">
        <v>15640.21</v>
      </c>
    </row>
    <row r="4" spans="1:25" ht="15.5" x14ac:dyDescent="0.35">
      <c r="A4" s="3" t="s">
        <v>11</v>
      </c>
      <c r="B4" s="16" t="s">
        <v>2559</v>
      </c>
      <c r="C4" s="17" t="s">
        <v>873</v>
      </c>
      <c r="D4" s="17" t="str">
        <f t="shared" si="4"/>
        <v>26/05/74</v>
      </c>
      <c r="E4" s="3" t="s">
        <v>3416</v>
      </c>
      <c r="F4" s="6">
        <v>29757.647999999997</v>
      </c>
      <c r="G4" s="6">
        <f>IF(F4=0,$Y$3,F4)</f>
        <v>29757.647999999997</v>
      </c>
      <c r="H4" s="79">
        <f t="shared" si="0"/>
        <v>0</v>
      </c>
      <c r="I4">
        <f t="shared" si="1"/>
        <v>48</v>
      </c>
      <c r="J4">
        <f t="shared" si="2"/>
        <v>22</v>
      </c>
      <c r="K4">
        <f t="shared" si="5"/>
        <v>17</v>
      </c>
      <c r="L4" s="80">
        <f t="shared" si="6"/>
        <v>22</v>
      </c>
      <c r="M4" s="80">
        <f t="shared" si="7"/>
        <v>39</v>
      </c>
      <c r="N4">
        <f t="shared" si="8"/>
        <v>8257.8989920009153</v>
      </c>
      <c r="O4" s="87">
        <f>(((1-((1+$W$11)/(1+$W$10))^(6*(J4+K4)))/($W$10-$W$11))*(1+$W$10)^(6*(J4+K4)))</f>
        <v>2713.5031944291845</v>
      </c>
      <c r="P4" s="69">
        <f>N4*0.065*O4</f>
        <v>1456509.2941144216</v>
      </c>
      <c r="Q4" s="69">
        <f t="shared" si="9"/>
        <v>9710.0619607628105</v>
      </c>
      <c r="R4" s="69">
        <f>G4*(1+0.06)^K4</f>
        <v>80130.584702828259</v>
      </c>
      <c r="S4" s="77">
        <f t="shared" si="3"/>
        <v>0.12117797463694394</v>
      </c>
      <c r="V4" t="s">
        <v>6348</v>
      </c>
      <c r="W4" s="85">
        <v>7.0000000000000007E-2</v>
      </c>
    </row>
    <row r="5" spans="1:25" ht="15.5" x14ac:dyDescent="0.35">
      <c r="A5" s="3" t="s">
        <v>19</v>
      </c>
      <c r="B5" s="16" t="s">
        <v>2567</v>
      </c>
      <c r="C5" s="17" t="s">
        <v>881</v>
      </c>
      <c r="D5" s="17" t="str">
        <f t="shared" si="4"/>
        <v>03/09/67</v>
      </c>
      <c r="E5" s="3" t="s">
        <v>3421</v>
      </c>
      <c r="F5" s="6">
        <v>10638.48</v>
      </c>
      <c r="G5" s="6">
        <f>IF(F5=0,$Y$3,F5)</f>
        <v>10638.48</v>
      </c>
      <c r="H5" s="79">
        <f t="shared" si="0"/>
        <v>1</v>
      </c>
      <c r="I5">
        <f t="shared" si="1"/>
        <v>55</v>
      </c>
      <c r="J5">
        <f t="shared" si="2"/>
        <v>19</v>
      </c>
      <c r="K5">
        <f t="shared" si="5"/>
        <v>10</v>
      </c>
      <c r="L5" s="80">
        <f t="shared" si="6"/>
        <v>21</v>
      </c>
      <c r="M5" s="80">
        <f t="shared" si="7"/>
        <v>31</v>
      </c>
      <c r="N5">
        <f t="shared" si="8"/>
        <v>3516.1560519360537</v>
      </c>
      <c r="O5" s="87">
        <f>(((1-((1+$W$11)/(1+$W$10))^(6*(J5+K5)))/($W$10-$W$11))*(1+$W$10)^(6*(J5+K5)))</f>
        <v>1072.3399666941964</v>
      </c>
      <c r="P5" s="69">
        <f>N5*0.065*O5</f>
        <v>245083.45313560584</v>
      </c>
      <c r="Q5" s="69">
        <f t="shared" si="9"/>
        <v>1633.8896875707055</v>
      </c>
      <c r="R5" s="69">
        <f>G5*(1+0.06)^K5</f>
        <v>19051.897402717226</v>
      </c>
      <c r="S5" s="77">
        <f t="shared" ref="S5:S68" si="10">Q5/R5</f>
        <v>8.5759945743654711E-2</v>
      </c>
      <c r="V5" t="s">
        <v>6333</v>
      </c>
      <c r="W5" s="84">
        <v>0.04</v>
      </c>
    </row>
    <row r="6" spans="1:25" ht="15.5" x14ac:dyDescent="0.35">
      <c r="A6" s="3" t="s">
        <v>25</v>
      </c>
      <c r="B6" s="16" t="s">
        <v>2573</v>
      </c>
      <c r="C6" s="17" t="s">
        <v>887</v>
      </c>
      <c r="D6" s="17" t="str">
        <f t="shared" si="4"/>
        <v>01/08/80</v>
      </c>
      <c r="E6" s="3" t="s">
        <v>3426</v>
      </c>
      <c r="F6" s="6">
        <v>36482.431999999993</v>
      </c>
      <c r="G6" s="6">
        <f>IF(F6=0,$Y$3,F6)</f>
        <v>36482.431999999993</v>
      </c>
      <c r="H6" s="79">
        <f t="shared" si="0"/>
        <v>99</v>
      </c>
      <c r="I6">
        <f t="shared" si="1"/>
        <v>42</v>
      </c>
      <c r="J6">
        <f t="shared" si="2"/>
        <v>19</v>
      </c>
      <c r="K6">
        <f t="shared" si="5"/>
        <v>23</v>
      </c>
      <c r="L6" s="80">
        <f t="shared" si="6"/>
        <v>23</v>
      </c>
      <c r="M6" s="80">
        <f t="shared" si="7"/>
        <v>46</v>
      </c>
      <c r="N6">
        <f t="shared" si="8"/>
        <v>12057.918430654147</v>
      </c>
      <c r="O6" s="87">
        <f>(((1-((1+$W$11)/(1+$W$10))^(6*(J6+K6)))/($W$10-$W$11))*(1+$W$10)^(6*(J6+K6)))</f>
        <v>3532.9398561414855</v>
      </c>
      <c r="P6" s="69">
        <f>N6*0.065*O6</f>
        <v>2768993.539374467</v>
      </c>
      <c r="Q6" s="69">
        <f t="shared" si="9"/>
        <v>18459.956929163112</v>
      </c>
      <c r="R6" s="69">
        <f>G6*(1+0.06)^K6</f>
        <v>139353.75728536211</v>
      </c>
      <c r="S6" s="77">
        <f t="shared" si="10"/>
        <v>0.13246831150280128</v>
      </c>
      <c r="V6" t="s">
        <v>6334</v>
      </c>
      <c r="W6">
        <v>207.44</v>
      </c>
    </row>
    <row r="7" spans="1:25" ht="15.5" x14ac:dyDescent="0.35">
      <c r="A7" s="3" t="s">
        <v>30</v>
      </c>
      <c r="B7" s="16" t="s">
        <v>2578</v>
      </c>
      <c r="C7" s="17" t="s">
        <v>892</v>
      </c>
      <c r="D7" s="17" t="str">
        <f t="shared" si="4"/>
        <v>09/12/68</v>
      </c>
      <c r="E7" s="3" t="s">
        <v>3429</v>
      </c>
      <c r="F7" s="6">
        <v>68321.567999999999</v>
      </c>
      <c r="G7" s="6">
        <f>IF(F7=0,$Y$3,F7)</f>
        <v>68321.567999999999</v>
      </c>
      <c r="H7" s="79">
        <f t="shared" si="0"/>
        <v>99</v>
      </c>
      <c r="I7">
        <f t="shared" si="1"/>
        <v>54</v>
      </c>
      <c r="J7">
        <f t="shared" si="2"/>
        <v>18</v>
      </c>
      <c r="K7">
        <f t="shared" si="5"/>
        <v>11</v>
      </c>
      <c r="L7" s="80">
        <f t="shared" si="6"/>
        <v>23</v>
      </c>
      <c r="M7" s="80">
        <f t="shared" si="7"/>
        <v>34</v>
      </c>
      <c r="N7">
        <f t="shared" si="8"/>
        <v>23936.037149011729</v>
      </c>
      <c r="O7" s="87">
        <f>(((1-((1+$W$11)/(1+$W$10))^(6*(J7+K7)))/($W$10-$W$11))*(1+$W$10)^(6*(J7+K7)))</f>
        <v>1072.3399666941964</v>
      </c>
      <c r="P7" s="69">
        <f>N7*0.065*O7</f>
        <v>1668392.0031455485</v>
      </c>
      <c r="Q7" s="69">
        <f t="shared" si="9"/>
        <v>11122.613354303658</v>
      </c>
      <c r="R7" s="69">
        <f>G7*(1+0.06)^K7</f>
        <v>129694.73403761578</v>
      </c>
      <c r="S7" s="77">
        <f t="shared" si="10"/>
        <v>8.5759945743654711E-2</v>
      </c>
      <c r="V7" t="s">
        <v>6335</v>
      </c>
      <c r="W7">
        <f>W6*30.4</f>
        <v>6306.1759999999995</v>
      </c>
    </row>
    <row r="8" spans="1:25" ht="15.5" x14ac:dyDescent="0.35">
      <c r="A8" s="3" t="s">
        <v>33</v>
      </c>
      <c r="B8" s="16" t="s">
        <v>2581</v>
      </c>
      <c r="C8" s="17" t="s">
        <v>895</v>
      </c>
      <c r="D8" s="17" t="str">
        <f t="shared" si="4"/>
        <v>27/07/59</v>
      </c>
      <c r="E8" s="3" t="s">
        <v>3432</v>
      </c>
      <c r="F8" s="6">
        <v>98035.246858666651</v>
      </c>
      <c r="G8" s="6">
        <f>IF(F8=0,$Y$3,F8)</f>
        <v>98035.246858666651</v>
      </c>
      <c r="H8" s="79">
        <f t="shared" si="0"/>
        <v>1</v>
      </c>
      <c r="I8">
        <f t="shared" si="1"/>
        <v>63</v>
      </c>
      <c r="J8">
        <f t="shared" si="2"/>
        <v>17</v>
      </c>
      <c r="K8">
        <f t="shared" si="5"/>
        <v>2</v>
      </c>
      <c r="L8" s="80">
        <f t="shared" si="6"/>
        <v>21</v>
      </c>
      <c r="M8" s="80">
        <f t="shared" si="7"/>
        <v>23</v>
      </c>
      <c r="N8">
        <f t="shared" si="8"/>
        <v>36406.802451677853</v>
      </c>
      <c r="O8" s="87">
        <f>(((1-((1+$W$11)/(1+$W$10))^(6*(J8+K8)))/($W$10-$W$11))*(1+$W$10)^(6*(J8+K8)))</f>
        <v>373.65839639087795</v>
      </c>
      <c r="P8" s="69">
        <f>N8*0.065*O8</f>
        <v>884240.98241787299</v>
      </c>
      <c r="Q8" s="69">
        <f t="shared" si="9"/>
        <v>5894.9398827858204</v>
      </c>
      <c r="R8" s="69">
        <f>G8*(1+0.06)^K8</f>
        <v>110152.40337039786</v>
      </c>
      <c r="S8" s="77">
        <f t="shared" si="10"/>
        <v>5.3516216645437396E-2</v>
      </c>
      <c r="V8" t="s">
        <v>6345</v>
      </c>
      <c r="W8" s="86">
        <f>6*((1+W4)^(1/6)-1)</f>
        <v>6.8041560809234625E-2</v>
      </c>
    </row>
    <row r="9" spans="1:25" ht="15.5" x14ac:dyDescent="0.35">
      <c r="A9" s="3" t="s">
        <v>34</v>
      </c>
      <c r="B9" s="16" t="s">
        <v>2582</v>
      </c>
      <c r="C9" s="17" t="s">
        <v>896</v>
      </c>
      <c r="D9" s="17" t="str">
        <f t="shared" si="4"/>
        <v>26/01/82</v>
      </c>
      <c r="E9" s="3" t="s">
        <v>3433</v>
      </c>
      <c r="F9" s="6">
        <v>69430.255999999994</v>
      </c>
      <c r="G9" s="6">
        <f>IF(F9=0,$Y$3,F9)</f>
        <v>69430.255999999994</v>
      </c>
      <c r="H9" s="79">
        <f t="shared" si="0"/>
        <v>5</v>
      </c>
      <c r="I9">
        <f t="shared" si="1"/>
        <v>40</v>
      </c>
      <c r="J9">
        <f t="shared" si="2"/>
        <v>17</v>
      </c>
      <c r="K9">
        <f t="shared" si="5"/>
        <v>25</v>
      </c>
      <c r="L9" s="80">
        <f t="shared" si="6"/>
        <v>17</v>
      </c>
      <c r="M9" s="80">
        <f t="shared" si="7"/>
        <v>42</v>
      </c>
      <c r="N9">
        <f t="shared" si="8"/>
        <v>25783.926652477854</v>
      </c>
      <c r="O9" s="87">
        <f>(((1-((1+$W$11)/(1+$W$10))^(6*(J9+K9)))/($W$10-$W$11))*(1+$W$10)^(6*(J9+K9)))</f>
        <v>3532.9398561414855</v>
      </c>
      <c r="P9" s="69">
        <f>N9*0.065*O9</f>
        <v>5921049.0376939019</v>
      </c>
      <c r="Q9" s="69">
        <f t="shared" si="9"/>
        <v>39473.660251292677</v>
      </c>
      <c r="R9" s="69">
        <f>G9*(1+0.06)^K9</f>
        <v>297985.68279069464</v>
      </c>
      <c r="S9" s="77">
        <f t="shared" si="10"/>
        <v>0.13246831150280131</v>
      </c>
      <c r="V9" t="s">
        <v>6344</v>
      </c>
      <c r="W9" s="86">
        <f>6*((1+W3)^(1/6)-1)</f>
        <v>5.8552765075154056E-2</v>
      </c>
    </row>
    <row r="10" spans="1:25" ht="15.5" x14ac:dyDescent="0.35">
      <c r="A10" s="3" t="s">
        <v>3435</v>
      </c>
      <c r="B10" s="16" t="s">
        <v>3436</v>
      </c>
      <c r="C10" s="17" t="s">
        <v>3438</v>
      </c>
      <c r="D10" s="17" t="str">
        <f t="shared" si="4"/>
        <v>28/10/62</v>
      </c>
      <c r="E10" s="3" t="s">
        <v>3439</v>
      </c>
      <c r="F10" s="6">
        <v>22029.967999999997</v>
      </c>
      <c r="G10" s="6">
        <f>IF(F10=0,$Y$3,F10)</f>
        <v>22029.967999999997</v>
      </c>
      <c r="H10" s="79">
        <f t="shared" si="0"/>
        <v>0</v>
      </c>
      <c r="I10">
        <f t="shared" si="1"/>
        <v>60</v>
      </c>
      <c r="J10">
        <f t="shared" si="2"/>
        <v>0</v>
      </c>
      <c r="K10">
        <f t="shared" si="5"/>
        <v>5</v>
      </c>
      <c r="L10" s="80">
        <f t="shared" si="6"/>
        <v>22</v>
      </c>
      <c r="M10" s="80">
        <f t="shared" si="7"/>
        <v>27</v>
      </c>
      <c r="N10">
        <f t="shared" si="8"/>
        <v>22029.967999999997</v>
      </c>
      <c r="O10" s="87">
        <f>(((1-((1+$W$11)/(1+$W$10))^(6*(J10+K10)))/($W$10-$W$11))*(1+$W$10)^(6*(J10+K10)))</f>
        <v>40.675016031144061</v>
      </c>
      <c r="P10" s="69">
        <f>N10*0.065*O10</f>
        <v>58244.504601763387</v>
      </c>
      <c r="Q10" s="69">
        <f t="shared" si="9"/>
        <v>388.29669734508923</v>
      </c>
      <c r="R10" s="69">
        <f>G10*(1+0.06)^K10</f>
        <v>29481.066651309524</v>
      </c>
      <c r="S10" s="77">
        <f t="shared" si="10"/>
        <v>1.3171053202983122E-2</v>
      </c>
      <c r="V10" t="s">
        <v>6346</v>
      </c>
      <c r="W10">
        <f>W8/6</f>
        <v>1.1340260134872437E-2</v>
      </c>
    </row>
    <row r="11" spans="1:25" ht="15.5" x14ac:dyDescent="0.35">
      <c r="A11" s="3" t="s">
        <v>37</v>
      </c>
      <c r="B11" s="16" t="s">
        <v>2585</v>
      </c>
      <c r="C11" s="17" t="s">
        <v>899</v>
      </c>
      <c r="D11" s="17" t="str">
        <f t="shared" si="4"/>
        <v>22/05/71</v>
      </c>
      <c r="E11" s="3" t="s">
        <v>3440</v>
      </c>
      <c r="F11" s="6">
        <v>34279.952000000005</v>
      </c>
      <c r="G11" s="6">
        <f>IF(F11=0,$Y$3,F11)</f>
        <v>34279.952000000005</v>
      </c>
      <c r="H11" s="79">
        <f t="shared" si="0"/>
        <v>4</v>
      </c>
      <c r="I11">
        <f t="shared" si="1"/>
        <v>51</v>
      </c>
      <c r="J11">
        <f t="shared" si="2"/>
        <v>16</v>
      </c>
      <c r="K11">
        <f t="shared" si="5"/>
        <v>14</v>
      </c>
      <c r="L11" s="80">
        <f t="shared" si="6"/>
        <v>18</v>
      </c>
      <c r="M11" s="80">
        <f t="shared" si="7"/>
        <v>32</v>
      </c>
      <c r="N11">
        <f t="shared" si="8"/>
        <v>13494.175710652278</v>
      </c>
      <c r="O11" s="87">
        <f>(((1-((1+$W$11)/(1+$W$10))^(6*(J11+K11)))/($W$10-$W$11))*(1+$W$10)^(6*(J11+K11)))</f>
        <v>1181.6655698699749</v>
      </c>
      <c r="P11" s="69">
        <f>N11*0.065*O11</f>
        <v>1036464.1840184773</v>
      </c>
      <c r="Q11" s="69">
        <f t="shared" si="9"/>
        <v>6909.7612267898485</v>
      </c>
      <c r="R11" s="69">
        <f>G11*(1+0.06)^K11</f>
        <v>77503.679079871858</v>
      </c>
      <c r="S11" s="77">
        <f t="shared" si="10"/>
        <v>8.915397706048192E-2</v>
      </c>
      <c r="V11" t="s">
        <v>6347</v>
      </c>
      <c r="W11">
        <f>W9/6</f>
        <v>9.7587941791923427E-3</v>
      </c>
    </row>
    <row r="12" spans="1:25" ht="15.5" x14ac:dyDescent="0.35">
      <c r="A12" s="3" t="s">
        <v>38</v>
      </c>
      <c r="B12" s="16" t="s">
        <v>2586</v>
      </c>
      <c r="C12" s="17" t="s">
        <v>900</v>
      </c>
      <c r="D12" s="17" t="str">
        <f t="shared" si="4"/>
        <v>23/06/80</v>
      </c>
      <c r="E12" s="3" t="s">
        <v>3441</v>
      </c>
      <c r="F12" s="6">
        <v>16053.936</v>
      </c>
      <c r="G12" s="6">
        <f>IF(F12=0,$Y$3,F12)</f>
        <v>16053.936</v>
      </c>
      <c r="H12" s="79">
        <f t="shared" si="0"/>
        <v>4</v>
      </c>
      <c r="I12">
        <f t="shared" si="1"/>
        <v>42</v>
      </c>
      <c r="J12">
        <f t="shared" si="2"/>
        <v>16</v>
      </c>
      <c r="K12">
        <f t="shared" si="5"/>
        <v>23</v>
      </c>
      <c r="L12" s="80">
        <f t="shared" si="6"/>
        <v>18</v>
      </c>
      <c r="M12" s="80">
        <f t="shared" si="7"/>
        <v>41</v>
      </c>
      <c r="N12">
        <f t="shared" si="8"/>
        <v>6319.5722453627168</v>
      </c>
      <c r="O12" s="87">
        <f>(((1-((1+$W$11)/(1+$W$10))^(6*(J12+K12)))/($W$10-$W$11))*(1+$W$10)^(6*(J12+K12)))</f>
        <v>2713.5031944291845</v>
      </c>
      <c r="P12" s="69">
        <f>N12*0.065*O12</f>
        <v>1114631.6658891535</v>
      </c>
      <c r="Q12" s="69">
        <f t="shared" si="9"/>
        <v>7430.8777725943564</v>
      </c>
      <c r="R12" s="69">
        <f>G12*(1+0.06)^K12</f>
        <v>61322.016602915544</v>
      </c>
      <c r="S12" s="77">
        <f t="shared" si="10"/>
        <v>0.12117797463694396</v>
      </c>
      <c r="V12" t="s">
        <v>6336</v>
      </c>
      <c r="W12">
        <v>150</v>
      </c>
    </row>
    <row r="13" spans="1:25" ht="15.5" x14ac:dyDescent="0.35">
      <c r="A13" s="3" t="s">
        <v>39</v>
      </c>
      <c r="B13" s="16" t="s">
        <v>2587</v>
      </c>
      <c r="C13" s="17" t="s">
        <v>901</v>
      </c>
      <c r="D13" s="17" t="str">
        <f t="shared" si="4"/>
        <v>19/05/84</v>
      </c>
      <c r="E13" s="3" t="s">
        <v>3442</v>
      </c>
      <c r="F13" s="6">
        <v>13900.4</v>
      </c>
      <c r="G13" s="6">
        <f>IF(F13=0,$Y$3,F13)</f>
        <v>13900.4</v>
      </c>
      <c r="H13" s="79">
        <f t="shared" si="0"/>
        <v>6</v>
      </c>
      <c r="I13">
        <f t="shared" si="1"/>
        <v>38</v>
      </c>
      <c r="J13">
        <f t="shared" si="2"/>
        <v>16</v>
      </c>
      <c r="K13">
        <f t="shared" si="5"/>
        <v>27</v>
      </c>
      <c r="L13" s="80">
        <f t="shared" si="6"/>
        <v>16</v>
      </c>
      <c r="M13" s="80">
        <f t="shared" si="7"/>
        <v>43</v>
      </c>
      <c r="N13">
        <f t="shared" si="8"/>
        <v>5471.8408021210444</v>
      </c>
      <c r="O13" s="87">
        <f>(((1-((1+$W$11)/(1+$W$10))^(6*(J13+K13)))/($W$10-$W$11))*(1+$W$10)^(6*(J13+K13)))</f>
        <v>3853.3236192812783</v>
      </c>
      <c r="P13" s="69">
        <f>N13*0.065*O13</f>
        <v>1370510.2712444023</v>
      </c>
      <c r="Q13" s="69">
        <f t="shared" si="9"/>
        <v>9136.7351416293477</v>
      </c>
      <c r="R13" s="69">
        <f>G13*(1+0.06)^K13</f>
        <v>67032.537514158888</v>
      </c>
      <c r="S13" s="77">
        <f t="shared" si="10"/>
        <v>0.13630298777962044</v>
      </c>
      <c r="V13" t="s">
        <v>6383</v>
      </c>
      <c r="W13">
        <f>(1+W8)/(1+W9)-1</f>
        <v>8.9639326891814974E-3</v>
      </c>
    </row>
    <row r="14" spans="1:25" ht="15.5" x14ac:dyDescent="0.35">
      <c r="A14" s="3" t="s">
        <v>44</v>
      </c>
      <c r="B14" s="16" t="s">
        <v>2592</v>
      </c>
      <c r="C14" s="17" t="s">
        <v>906</v>
      </c>
      <c r="D14" s="17" t="str">
        <f t="shared" si="4"/>
        <v>08/06/65</v>
      </c>
      <c r="E14" s="3" t="s">
        <v>3446</v>
      </c>
      <c r="F14" s="6">
        <v>8494.9759999999987</v>
      </c>
      <c r="G14" s="6">
        <f>IF(F14=0,$Y$3,F14)</f>
        <v>8494.9759999999987</v>
      </c>
      <c r="H14" s="79">
        <f t="shared" si="0"/>
        <v>7</v>
      </c>
      <c r="I14">
        <f t="shared" si="1"/>
        <v>57</v>
      </c>
      <c r="J14">
        <f t="shared" si="2"/>
        <v>15</v>
      </c>
      <c r="K14">
        <f t="shared" si="5"/>
        <v>8</v>
      </c>
      <c r="L14" s="80">
        <f t="shared" si="6"/>
        <v>15</v>
      </c>
      <c r="M14" s="80">
        <f t="shared" si="7"/>
        <v>23</v>
      </c>
      <c r="N14">
        <f t="shared" si="8"/>
        <v>3544.6566765869575</v>
      </c>
      <c r="O14" s="87">
        <f>(((1-((1+$W$11)/(1+$W$10))^(6*(J14+K14)))/($W$10-$W$11))*(1+$W$10)^(6*(J14+K14)))</f>
        <v>582.2320727785642</v>
      </c>
      <c r="P14" s="69">
        <f>N14*0.065*O14</f>
        <v>134147.83226634408</v>
      </c>
      <c r="Q14" s="69">
        <f t="shared" si="9"/>
        <v>894.31888177562723</v>
      </c>
      <c r="R14" s="69">
        <f>G14*(1+0.06)^K14</f>
        <v>13539.701140785715</v>
      </c>
      <c r="S14" s="77">
        <f t="shared" si="10"/>
        <v>6.6051596890987913E-2</v>
      </c>
    </row>
    <row r="15" spans="1:25" ht="15.5" x14ac:dyDescent="0.35">
      <c r="A15" s="3" t="s">
        <v>47</v>
      </c>
      <c r="B15" s="16" t="s">
        <v>2595</v>
      </c>
      <c r="C15" s="17" t="s">
        <v>909</v>
      </c>
      <c r="D15" s="17" t="str">
        <f t="shared" si="4"/>
        <v>15/04/85</v>
      </c>
      <c r="E15" s="3" t="s">
        <v>3449</v>
      </c>
      <c r="F15" s="6">
        <v>25788.928</v>
      </c>
      <c r="G15" s="6">
        <f>IF(F15=0,$Y$3,F15)</f>
        <v>25788.928</v>
      </c>
      <c r="H15" s="79">
        <f t="shared" si="0"/>
        <v>2</v>
      </c>
      <c r="I15">
        <f t="shared" si="1"/>
        <v>37</v>
      </c>
      <c r="J15">
        <f t="shared" si="2"/>
        <v>15</v>
      </c>
      <c r="K15">
        <f t="shared" si="5"/>
        <v>28</v>
      </c>
      <c r="L15" s="80">
        <f t="shared" si="6"/>
        <v>20</v>
      </c>
      <c r="M15" s="80">
        <f t="shared" si="7"/>
        <v>48</v>
      </c>
      <c r="N15">
        <f t="shared" si="8"/>
        <v>10760.818608224477</v>
      </c>
      <c r="O15" s="87">
        <f>(((1-((1+$W$11)/(1+$W$10))^(6*(J15+K15)))/($W$10-$W$11))*(1+$W$10)^(6*(J15+K15)))</f>
        <v>3853.3236192812783</v>
      </c>
      <c r="P15" s="69">
        <f>N15*0.065*O15</f>
        <v>2695219.5728817368</v>
      </c>
      <c r="Q15" s="69">
        <f t="shared" si="9"/>
        <v>17968.130485878246</v>
      </c>
      <c r="R15" s="69">
        <f>G15*(1+0.06)^K15</f>
        <v>131824.9201912563</v>
      </c>
      <c r="S15" s="77">
        <f t="shared" si="10"/>
        <v>0.13630298777962044</v>
      </c>
    </row>
    <row r="16" spans="1:25" ht="15.5" x14ac:dyDescent="0.35">
      <c r="A16" s="3" t="s">
        <v>49</v>
      </c>
      <c r="B16" s="16" t="s">
        <v>2597</v>
      </c>
      <c r="C16" s="17" t="s">
        <v>911</v>
      </c>
      <c r="D16" s="17" t="str">
        <f t="shared" si="4"/>
        <v>05/06/80</v>
      </c>
      <c r="E16" s="3" t="s">
        <v>3450</v>
      </c>
      <c r="F16" s="6">
        <v>12843.392</v>
      </c>
      <c r="G16" s="6">
        <f>IF(F16=0,$Y$3,F16)</f>
        <v>12843.392</v>
      </c>
      <c r="H16" s="79">
        <f t="shared" si="0"/>
        <v>99</v>
      </c>
      <c r="I16">
        <f t="shared" si="1"/>
        <v>42</v>
      </c>
      <c r="J16">
        <f t="shared" si="2"/>
        <v>15</v>
      </c>
      <c r="K16">
        <f t="shared" si="5"/>
        <v>23</v>
      </c>
      <c r="L16" s="80">
        <f t="shared" si="6"/>
        <v>23</v>
      </c>
      <c r="M16" s="80">
        <f t="shared" si="7"/>
        <v>46</v>
      </c>
      <c r="N16">
        <f t="shared" si="8"/>
        <v>5359.0987429303532</v>
      </c>
      <c r="O16" s="87">
        <f>(((1-((1+$W$11)/(1+$W$10))^(6*(J16+K16)))/($W$10-$W$11))*(1+$W$10)^(6*(J16+K16)))</f>
        <v>2481.8865373152853</v>
      </c>
      <c r="P16" s="69">
        <f>N16*0.065*O16</f>
        <v>864543.87644443731</v>
      </c>
      <c r="Q16" s="69">
        <f t="shared" si="9"/>
        <v>5763.6258429629152</v>
      </c>
      <c r="R16" s="69">
        <f>G16*(1+0.06)^K16</f>
        <v>49058.542245450131</v>
      </c>
      <c r="S16" s="77">
        <f t="shared" si="10"/>
        <v>0.11748465362314052</v>
      </c>
    </row>
    <row r="17" spans="1:19" ht="15.5" x14ac:dyDescent="0.35">
      <c r="A17" s="3" t="s">
        <v>53</v>
      </c>
      <c r="B17" s="16" t="s">
        <v>2601</v>
      </c>
      <c r="C17" s="17" t="s">
        <v>915</v>
      </c>
      <c r="D17" s="17" t="str">
        <f t="shared" si="4"/>
        <v>13/11/63</v>
      </c>
      <c r="E17" s="3" t="s">
        <v>3452</v>
      </c>
      <c r="F17" s="6">
        <v>5906.1120000000001</v>
      </c>
      <c r="G17" s="6">
        <f>IF(F17=0,$Y$3,F17)</f>
        <v>5906.1120000000001</v>
      </c>
      <c r="H17" s="79">
        <f t="shared" si="0"/>
        <v>98</v>
      </c>
      <c r="I17">
        <f t="shared" si="1"/>
        <v>59</v>
      </c>
      <c r="J17">
        <f t="shared" si="2"/>
        <v>14</v>
      </c>
      <c r="K17">
        <f t="shared" si="5"/>
        <v>6</v>
      </c>
      <c r="L17" s="80">
        <f t="shared" si="6"/>
        <v>24</v>
      </c>
      <c r="M17" s="80">
        <f t="shared" si="7"/>
        <v>30</v>
      </c>
      <c r="N17">
        <f t="shared" si="8"/>
        <v>2612.2790333343587</v>
      </c>
      <c r="O17" s="87">
        <f>(((1-((1+$W$11)/(1+$W$10))^(6*(J17+K17)))/($W$10-$W$11))*(1+$W$10)^(6*(J17+K17)))</f>
        <v>418.94609738113263</v>
      </c>
      <c r="P17" s="69">
        <f>N17*0.065*O17</f>
        <v>71136.266908589168</v>
      </c>
      <c r="Q17" s="69">
        <f t="shared" si="9"/>
        <v>474.24177939059444</v>
      </c>
      <c r="R17" s="69">
        <f>G17*(1+0.06)^K17</f>
        <v>8377.9327511245119</v>
      </c>
      <c r="S17" s="77">
        <f t="shared" si="10"/>
        <v>5.6606061838696459E-2</v>
      </c>
    </row>
    <row r="18" spans="1:19" ht="15.5" x14ac:dyDescent="0.35">
      <c r="A18" s="3" t="s">
        <v>55</v>
      </c>
      <c r="B18" s="16" t="s">
        <v>2603</v>
      </c>
      <c r="C18" s="17" t="s">
        <v>917</v>
      </c>
      <c r="D18" s="17" t="str">
        <f t="shared" si="4"/>
        <v>14/10/85</v>
      </c>
      <c r="E18" s="3" t="s">
        <v>3453</v>
      </c>
      <c r="F18" s="6">
        <v>20022.96</v>
      </c>
      <c r="G18" s="6">
        <f>IF(F18=0,$Y$3,F18)</f>
        <v>20022.96</v>
      </c>
      <c r="H18" s="79">
        <f t="shared" si="0"/>
        <v>5</v>
      </c>
      <c r="I18">
        <f t="shared" si="1"/>
        <v>37</v>
      </c>
      <c r="J18">
        <f t="shared" si="2"/>
        <v>14</v>
      </c>
      <c r="K18">
        <f t="shared" si="5"/>
        <v>28</v>
      </c>
      <c r="L18" s="80">
        <f t="shared" si="6"/>
        <v>17</v>
      </c>
      <c r="M18" s="80">
        <f t="shared" si="7"/>
        <v>45</v>
      </c>
      <c r="N18">
        <f t="shared" si="8"/>
        <v>8856.1745177356152</v>
      </c>
      <c r="O18" s="87">
        <f>(((1-((1+$W$11)/(1+$W$10))^(6*(J18+K18)))/($W$10-$W$11))*(1+$W$10)^(6*(J18+K18)))</f>
        <v>3532.9398561414855</v>
      </c>
      <c r="P18" s="69">
        <f>N18*0.065*O18</f>
        <v>2033741.5752324292</v>
      </c>
      <c r="Q18" s="69">
        <f t="shared" si="9"/>
        <v>13558.277168216195</v>
      </c>
      <c r="R18" s="69">
        <f>G18*(1+0.06)^K18</f>
        <v>102351.0982694867</v>
      </c>
      <c r="S18" s="77">
        <f t="shared" si="10"/>
        <v>0.13246831150280133</v>
      </c>
    </row>
    <row r="19" spans="1:19" ht="15.5" x14ac:dyDescent="0.35">
      <c r="A19" s="3" t="s">
        <v>57</v>
      </c>
      <c r="B19" s="16" t="s">
        <v>2605</v>
      </c>
      <c r="C19" s="17" t="s">
        <v>919</v>
      </c>
      <c r="D19" s="17" t="str">
        <f t="shared" si="4"/>
        <v>20/05/71</v>
      </c>
      <c r="E19" s="3" t="s">
        <v>3455</v>
      </c>
      <c r="F19" s="6">
        <v>12843.392</v>
      </c>
      <c r="G19" s="6">
        <f>IF(F19=0,$Y$3,F19)</f>
        <v>12843.392</v>
      </c>
      <c r="H19" s="79">
        <f t="shared" si="0"/>
        <v>8</v>
      </c>
      <c r="I19">
        <f t="shared" si="1"/>
        <v>51</v>
      </c>
      <c r="J19">
        <f t="shared" si="2"/>
        <v>14</v>
      </c>
      <c r="K19">
        <f t="shared" si="5"/>
        <v>14</v>
      </c>
      <c r="L19" s="80">
        <f t="shared" si="6"/>
        <v>14</v>
      </c>
      <c r="M19" s="80">
        <f t="shared" si="7"/>
        <v>28</v>
      </c>
      <c r="N19">
        <f t="shared" si="8"/>
        <v>5680.6446675061761</v>
      </c>
      <c r="O19" s="87">
        <f>(((1-((1+$W$11)/(1+$W$10))^(6*(J19+K19)))/($W$10-$W$11))*(1+$W$10)^(6*(J19+K19)))</f>
        <v>971.97898006406626</v>
      </c>
      <c r="P19" s="69">
        <f>N19*0.065*O19</f>
        <v>358895.36865188694</v>
      </c>
      <c r="Q19" s="69">
        <f t="shared" si="9"/>
        <v>2392.6357910125794</v>
      </c>
      <c r="R19" s="69">
        <f>G19*(1+0.06)^K19</f>
        <v>29037.675778104749</v>
      </c>
      <c r="S19" s="77">
        <f t="shared" si="10"/>
        <v>8.2397634345676388E-2</v>
      </c>
    </row>
    <row r="20" spans="1:19" ht="15.5" x14ac:dyDescent="0.35">
      <c r="A20" s="3" t="s">
        <v>61</v>
      </c>
      <c r="B20" s="16" t="s">
        <v>2609</v>
      </c>
      <c r="C20" s="17" t="s">
        <v>923</v>
      </c>
      <c r="D20" s="17" t="str">
        <f t="shared" si="4"/>
        <v>04/04/76</v>
      </c>
      <c r="E20" s="3" t="s">
        <v>3458</v>
      </c>
      <c r="F20" s="6">
        <v>25860.367999999999</v>
      </c>
      <c r="G20" s="6">
        <f>IF(F20=0,$Y$3,F20)</f>
        <v>25860.367999999999</v>
      </c>
      <c r="H20" s="79">
        <f t="shared" si="0"/>
        <v>99</v>
      </c>
      <c r="I20">
        <f t="shared" si="1"/>
        <v>46</v>
      </c>
      <c r="J20">
        <f t="shared" si="2"/>
        <v>14</v>
      </c>
      <c r="K20">
        <f t="shared" si="5"/>
        <v>19</v>
      </c>
      <c r="L20" s="80">
        <f t="shared" si="6"/>
        <v>23</v>
      </c>
      <c r="M20" s="80">
        <f t="shared" si="7"/>
        <v>42</v>
      </c>
      <c r="N20">
        <f t="shared" si="8"/>
        <v>11438.065705613233</v>
      </c>
      <c r="O20" s="87">
        <f>(((1-((1+$W$11)/(1+$W$10))^(6*(J20+K20)))/($W$10-$W$11))*(1+$W$10)^(6*(J20+K20)))</f>
        <v>1571.1687390454781</v>
      </c>
      <c r="P20" s="69">
        <f>N20*0.065*O20</f>
        <v>1168123.5326674986</v>
      </c>
      <c r="Q20" s="69">
        <f t="shared" si="9"/>
        <v>7787.4902177833237</v>
      </c>
      <c r="R20" s="69">
        <f>G20*(1+0.06)^K20</f>
        <v>78243.1165446019</v>
      </c>
      <c r="S20" s="77">
        <f t="shared" si="10"/>
        <v>9.9529397111171092E-2</v>
      </c>
    </row>
    <row r="21" spans="1:19" ht="15.5" x14ac:dyDescent="0.35">
      <c r="A21" s="3" t="s">
        <v>3460</v>
      </c>
      <c r="B21" s="16" t="s">
        <v>3461</v>
      </c>
      <c r="C21" s="17" t="s">
        <v>3463</v>
      </c>
      <c r="D21" s="17" t="str">
        <f t="shared" si="4"/>
        <v>15/09/85</v>
      </c>
      <c r="E21" s="3" t="s">
        <v>3464</v>
      </c>
      <c r="F21" s="6">
        <v>12282.207999999999</v>
      </c>
      <c r="G21" s="6">
        <f>IF(F21=0,$Y$3,F21)</f>
        <v>12282.207999999999</v>
      </c>
      <c r="H21" s="79">
        <f t="shared" si="0"/>
        <v>8</v>
      </c>
      <c r="I21">
        <f t="shared" si="1"/>
        <v>37</v>
      </c>
      <c r="J21">
        <f t="shared" si="2"/>
        <v>1</v>
      </c>
      <c r="K21">
        <f t="shared" si="5"/>
        <v>28</v>
      </c>
      <c r="L21" s="80">
        <f t="shared" si="6"/>
        <v>14</v>
      </c>
      <c r="M21" s="80">
        <f t="shared" si="7"/>
        <v>42</v>
      </c>
      <c r="N21">
        <f t="shared" si="8"/>
        <v>11586.98867924528</v>
      </c>
      <c r="O21" s="87">
        <f>(((1-((1+$W$11)/(1+$W$10))^(6*(J21+K21)))/($W$10-$W$11))*(1+$W$10)^(6*(J21+K21)))</f>
        <v>1072.3399666941964</v>
      </c>
      <c r="P21" s="69">
        <f>N21*0.065*O21</f>
        <v>807637.41853521438</v>
      </c>
      <c r="Q21" s="69">
        <f t="shared" si="9"/>
        <v>5384.2494569014289</v>
      </c>
      <c r="R21" s="69">
        <f>G21*(1+0.06)^K21</f>
        <v>62782.799245180315</v>
      </c>
      <c r="S21" s="77">
        <f t="shared" si="10"/>
        <v>8.5759945743654697E-2</v>
      </c>
    </row>
    <row r="22" spans="1:19" ht="15.5" x14ac:dyDescent="0.35">
      <c r="A22" s="3" t="s">
        <v>67</v>
      </c>
      <c r="B22" s="16" t="s">
        <v>2615</v>
      </c>
      <c r="C22" s="17" t="s">
        <v>929</v>
      </c>
      <c r="D22" s="17" t="str">
        <f t="shared" si="4"/>
        <v>25/11/78</v>
      </c>
      <c r="E22" s="3" t="s">
        <v>3467</v>
      </c>
      <c r="F22" s="6">
        <v>14218.079999999998</v>
      </c>
      <c r="G22" s="6">
        <f>IF(F22=0,$Y$3,F22)</f>
        <v>14218.079999999998</v>
      </c>
      <c r="H22" s="79">
        <f t="shared" si="0"/>
        <v>98</v>
      </c>
      <c r="I22">
        <f t="shared" si="1"/>
        <v>44</v>
      </c>
      <c r="J22">
        <f t="shared" si="2"/>
        <v>13</v>
      </c>
      <c r="K22">
        <f t="shared" si="5"/>
        <v>21</v>
      </c>
      <c r="L22" s="80">
        <f t="shared" si="6"/>
        <v>24</v>
      </c>
      <c r="M22" s="80">
        <f t="shared" si="7"/>
        <v>45</v>
      </c>
      <c r="N22">
        <f t="shared" si="8"/>
        <v>6665.990725364979</v>
      </c>
      <c r="O22" s="87">
        <f>(((1-((1+$W$11)/(1+$W$10))^(6*(J22+K22)))/($W$10-$W$11))*(1+$W$10)^(6*(J22+K22)))</f>
        <v>1724.4052908394829</v>
      </c>
      <c r="P22" s="69">
        <f>N22*0.065*O22</f>
        <v>747166.52890790906</v>
      </c>
      <c r="Q22" s="69">
        <f t="shared" si="9"/>
        <v>4981.110192719394</v>
      </c>
      <c r="R22" s="69">
        <f>G22*(1+0.06)^K22</f>
        <v>48335.267237645654</v>
      </c>
      <c r="S22" s="77">
        <f t="shared" si="10"/>
        <v>0.10305332891259747</v>
      </c>
    </row>
    <row r="23" spans="1:19" ht="15.5" x14ac:dyDescent="0.35">
      <c r="A23" s="3" t="s">
        <v>71</v>
      </c>
      <c r="B23" s="16" t="s">
        <v>2619</v>
      </c>
      <c r="C23" s="17" t="s">
        <v>933</v>
      </c>
      <c r="D23" s="17" t="str">
        <f t="shared" si="4"/>
        <v>12/10/82</v>
      </c>
      <c r="E23" s="3" t="s">
        <v>3470</v>
      </c>
      <c r="F23" s="6">
        <v>21673.984</v>
      </c>
      <c r="G23" s="6">
        <f>IF(F23=0,$Y$3,F23)</f>
        <v>21673.984</v>
      </c>
      <c r="H23" s="79">
        <f t="shared" si="0"/>
        <v>6</v>
      </c>
      <c r="I23">
        <f t="shared" si="1"/>
        <v>40</v>
      </c>
      <c r="J23">
        <f t="shared" si="2"/>
        <v>13</v>
      </c>
      <c r="K23">
        <f t="shared" si="5"/>
        <v>25</v>
      </c>
      <c r="L23" s="80">
        <f t="shared" si="6"/>
        <v>16</v>
      </c>
      <c r="M23" s="80">
        <f t="shared" si="7"/>
        <v>41</v>
      </c>
      <c r="N23">
        <f t="shared" si="8"/>
        <v>10161.609466658576</v>
      </c>
      <c r="O23" s="87">
        <f>(((1-((1+$W$11)/(1+$W$10))^(6*(J23+K23)))/($W$10-$W$11))*(1+$W$10)^(6*(J23+K23)))</f>
        <v>2481.8865373152853</v>
      </c>
      <c r="P23" s="69">
        <f>N23*0.065*O23</f>
        <v>1639297.5126291059</v>
      </c>
      <c r="Q23" s="69">
        <f t="shared" si="9"/>
        <v>10928.65008419404</v>
      </c>
      <c r="R23" s="69">
        <f>G23*(1+0.06)^K23</f>
        <v>93021.937309788846</v>
      </c>
      <c r="S23" s="77">
        <f t="shared" si="10"/>
        <v>0.11748465362314058</v>
      </c>
    </row>
    <row r="24" spans="1:19" ht="15.5" x14ac:dyDescent="0.35">
      <c r="A24" s="3" t="s">
        <v>77</v>
      </c>
      <c r="B24" s="16" t="s">
        <v>2625</v>
      </c>
      <c r="C24" s="17" t="s">
        <v>938</v>
      </c>
      <c r="D24" s="17" t="str">
        <f t="shared" si="4"/>
        <v>10/08/79</v>
      </c>
      <c r="E24" s="3" t="s">
        <v>3475</v>
      </c>
      <c r="F24" s="6">
        <v>7296.9119999999994</v>
      </c>
      <c r="G24" s="6">
        <f>IF(F24=0,$Y$3,F24)</f>
        <v>7296.9119999999994</v>
      </c>
      <c r="H24" s="79">
        <f t="shared" si="0"/>
        <v>9</v>
      </c>
      <c r="I24">
        <f t="shared" si="1"/>
        <v>43</v>
      </c>
      <c r="J24">
        <f t="shared" si="2"/>
        <v>13</v>
      </c>
      <c r="K24">
        <f t="shared" si="5"/>
        <v>22</v>
      </c>
      <c r="L24" s="80">
        <f t="shared" si="6"/>
        <v>13</v>
      </c>
      <c r="M24" s="80">
        <f t="shared" si="7"/>
        <v>35</v>
      </c>
      <c r="N24">
        <f t="shared" si="8"/>
        <v>3421.0770874692239</v>
      </c>
      <c r="O24" s="87">
        <f>(((1-((1+$W$11)/(1+$W$10))^(6*(J24+K24)))/($W$10-$W$11))*(1+$W$10)^(6*(J24+K24)))</f>
        <v>1890.963685662718</v>
      </c>
      <c r="P24" s="69">
        <f>N24*0.065*O24</f>
        <v>420493.61498671025</v>
      </c>
      <c r="Q24" s="69">
        <f t="shared" si="9"/>
        <v>2803.2907665780685</v>
      </c>
      <c r="R24" s="69">
        <f>G24*(1+0.06)^K24</f>
        <v>26294.695417479608</v>
      </c>
      <c r="S24" s="77">
        <f t="shared" si="10"/>
        <v>0.10661050535365998</v>
      </c>
    </row>
    <row r="25" spans="1:19" ht="15.5" x14ac:dyDescent="0.35">
      <c r="A25" s="3" t="s">
        <v>78</v>
      </c>
      <c r="B25" s="16" t="s">
        <v>2626</v>
      </c>
      <c r="C25" s="17" t="s">
        <v>939</v>
      </c>
      <c r="D25" s="17" t="str">
        <f t="shared" si="4"/>
        <v>25/01/81</v>
      </c>
      <c r="E25" s="3" t="s">
        <v>3476</v>
      </c>
      <c r="F25" s="6">
        <v>23765.199999999997</v>
      </c>
      <c r="G25" s="6">
        <f>IF(F25=0,$Y$3,F25)</f>
        <v>23765.199999999997</v>
      </c>
      <c r="H25" s="79">
        <f t="shared" si="0"/>
        <v>7</v>
      </c>
      <c r="I25">
        <f t="shared" si="1"/>
        <v>41</v>
      </c>
      <c r="J25">
        <f t="shared" si="2"/>
        <v>13</v>
      </c>
      <c r="K25">
        <f t="shared" si="5"/>
        <v>24</v>
      </c>
      <c r="L25" s="80">
        <f t="shared" si="6"/>
        <v>15</v>
      </c>
      <c r="M25" s="80">
        <f t="shared" si="7"/>
        <v>39</v>
      </c>
      <c r="N25">
        <f t="shared" si="8"/>
        <v>11142.053131396349</v>
      </c>
      <c r="O25" s="87">
        <f>(((1-((1+$W$11)/(1+$W$10))^(6*(J25+K25)))/($W$10-$W$11))*(1+$W$10)^(6*(J25+K25)))</f>
        <v>2268.4845089511282</v>
      </c>
      <c r="P25" s="69">
        <f>N25*0.065*O25</f>
        <v>1642912.3702213969</v>
      </c>
      <c r="Q25" s="69">
        <f t="shared" si="9"/>
        <v>10952.749134809314</v>
      </c>
      <c r="R25" s="69">
        <f>G25*(1+0.06)^K25</f>
        <v>96223.741536649002</v>
      </c>
      <c r="S25" s="77">
        <f t="shared" si="10"/>
        <v>0.11382584962815762</v>
      </c>
    </row>
    <row r="26" spans="1:19" ht="15.5" x14ac:dyDescent="0.35">
      <c r="A26" s="3" t="s">
        <v>81</v>
      </c>
      <c r="B26" s="16" t="s">
        <v>2629</v>
      </c>
      <c r="C26" s="17" t="s">
        <v>942</v>
      </c>
      <c r="D26" s="17" t="str">
        <f t="shared" si="4"/>
        <v>19/03/80</v>
      </c>
      <c r="E26" s="3" t="s">
        <v>3479</v>
      </c>
      <c r="F26" s="6">
        <v>7915.8559999999989</v>
      </c>
      <c r="G26" s="6">
        <f>IF(F26=0,$Y$3,F26)</f>
        <v>7915.8559999999989</v>
      </c>
      <c r="H26" s="79">
        <f t="shared" si="0"/>
        <v>3</v>
      </c>
      <c r="I26">
        <f t="shared" si="1"/>
        <v>42</v>
      </c>
      <c r="J26">
        <f t="shared" si="2"/>
        <v>12</v>
      </c>
      <c r="K26">
        <f t="shared" si="5"/>
        <v>23</v>
      </c>
      <c r="L26" s="80">
        <f t="shared" si="6"/>
        <v>19</v>
      </c>
      <c r="M26" s="80">
        <f t="shared" si="7"/>
        <v>42</v>
      </c>
      <c r="N26">
        <f t="shared" si="8"/>
        <v>3933.9379184871805</v>
      </c>
      <c r="O26" s="87">
        <f>(((1-((1+$W$11)/(1+$W$10))^(6*(J26+K26)))/($W$10-$W$11))*(1+$W$10)^(6*(J26+K26)))</f>
        <v>1890.963685662718</v>
      </c>
      <c r="P26" s="69">
        <f>N26*0.065*O26</f>
        <v>483530.69345820462</v>
      </c>
      <c r="Q26" s="69">
        <f t="shared" si="9"/>
        <v>3223.537956388031</v>
      </c>
      <c r="R26" s="69">
        <f>G26*(1+0.06)^K26</f>
        <v>30236.588277061062</v>
      </c>
      <c r="S26" s="77">
        <f t="shared" si="10"/>
        <v>0.10661050535365998</v>
      </c>
    </row>
    <row r="27" spans="1:19" ht="15.5" x14ac:dyDescent="0.35">
      <c r="A27" s="3" t="s">
        <v>85</v>
      </c>
      <c r="B27" s="16" t="s">
        <v>2633</v>
      </c>
      <c r="C27" s="17" t="s">
        <v>946</v>
      </c>
      <c r="D27" s="17" t="str">
        <f t="shared" si="4"/>
        <v>10/09/78</v>
      </c>
      <c r="E27" s="3" t="s">
        <v>3481</v>
      </c>
      <c r="F27" s="6">
        <v>17687.632000000001</v>
      </c>
      <c r="G27" s="6">
        <f>IF(F27=0,$Y$3,F27)</f>
        <v>17687.632000000001</v>
      </c>
      <c r="H27" s="79">
        <f t="shared" si="0"/>
        <v>0</v>
      </c>
      <c r="I27">
        <f t="shared" si="1"/>
        <v>44</v>
      </c>
      <c r="J27">
        <f t="shared" si="2"/>
        <v>12</v>
      </c>
      <c r="K27">
        <f t="shared" si="5"/>
        <v>21</v>
      </c>
      <c r="L27" s="80">
        <f t="shared" si="6"/>
        <v>22</v>
      </c>
      <c r="M27" s="80">
        <f t="shared" si="7"/>
        <v>43</v>
      </c>
      <c r="N27">
        <f t="shared" si="8"/>
        <v>8790.211218224189</v>
      </c>
      <c r="O27" s="87">
        <f>(((1-((1+$W$11)/(1+$W$10))^(6*(J27+K27)))/($W$10-$W$11))*(1+$W$10)^(6*(J27+K27)))</f>
        <v>1571.1687390454781</v>
      </c>
      <c r="P27" s="69">
        <f>N27*0.065*O27</f>
        <v>897708.82991924649</v>
      </c>
      <c r="Q27" s="69">
        <f t="shared" si="9"/>
        <v>5984.725532794977</v>
      </c>
      <c r="R27" s="69">
        <f>G27*(1+0.06)^K27</f>
        <v>60130.229927045926</v>
      </c>
      <c r="S27" s="77">
        <f t="shared" si="10"/>
        <v>9.9529397111171064E-2</v>
      </c>
    </row>
    <row r="28" spans="1:19" ht="15.5" x14ac:dyDescent="0.35">
      <c r="A28" s="3" t="s">
        <v>86</v>
      </c>
      <c r="B28" s="16" t="s">
        <v>2634</v>
      </c>
      <c r="C28" s="17" t="s">
        <v>947</v>
      </c>
      <c r="D28" s="17" t="str">
        <f t="shared" si="4"/>
        <v>10/12/72</v>
      </c>
      <c r="E28" s="3" t="s">
        <v>3482</v>
      </c>
      <c r="F28" s="6">
        <v>8979.2479999999996</v>
      </c>
      <c r="G28" s="6">
        <f>IF(F28=0,$Y$3,F28)</f>
        <v>8979.2479999999996</v>
      </c>
      <c r="H28" s="79">
        <f t="shared" si="0"/>
        <v>10</v>
      </c>
      <c r="I28">
        <f t="shared" si="1"/>
        <v>50</v>
      </c>
      <c r="J28">
        <f t="shared" si="2"/>
        <v>12</v>
      </c>
      <c r="K28">
        <f t="shared" si="5"/>
        <v>15</v>
      </c>
      <c r="L28" s="80">
        <f t="shared" si="6"/>
        <v>12</v>
      </c>
      <c r="M28" s="80">
        <f t="shared" si="7"/>
        <v>27</v>
      </c>
      <c r="N28">
        <f t="shared" si="8"/>
        <v>4462.4111639600542</v>
      </c>
      <c r="O28" s="87">
        <f>(((1-((1+$W$11)/(1+$W$10))^(6*(J28+K28)))/($W$10-$W$11))*(1+$W$10)^(6*(J28+K28)))</f>
        <v>879.8935468544031</v>
      </c>
      <c r="P28" s="69">
        <f>N28*0.065*O28</f>
        <v>255219.04112766735</v>
      </c>
      <c r="Q28" s="69">
        <f t="shared" si="9"/>
        <v>1701.460274184449</v>
      </c>
      <c r="R28" s="69">
        <f>G28*(1+0.06)^K28</f>
        <v>21519.290362274027</v>
      </c>
      <c r="S28" s="77">
        <f t="shared" si="10"/>
        <v>7.9066746418707146E-2</v>
      </c>
    </row>
    <row r="29" spans="1:19" ht="15.5" x14ac:dyDescent="0.35">
      <c r="A29" s="3" t="s">
        <v>87</v>
      </c>
      <c r="B29" s="16" t="s">
        <v>2635</v>
      </c>
      <c r="C29" s="17" t="s">
        <v>948</v>
      </c>
      <c r="D29" s="17" t="str">
        <f t="shared" si="4"/>
        <v>09/02/66</v>
      </c>
      <c r="E29" s="3" t="s">
        <v>3483</v>
      </c>
      <c r="F29" s="6">
        <v>5639.808</v>
      </c>
      <c r="G29" s="6">
        <f>IF(F29=0,$Y$3,F29)</f>
        <v>5639.808</v>
      </c>
      <c r="H29" s="79">
        <f t="shared" si="0"/>
        <v>4</v>
      </c>
      <c r="I29">
        <f t="shared" si="1"/>
        <v>56</v>
      </c>
      <c r="J29">
        <f t="shared" si="2"/>
        <v>12</v>
      </c>
      <c r="K29">
        <f t="shared" si="5"/>
        <v>9</v>
      </c>
      <c r="L29" s="80">
        <f t="shared" si="6"/>
        <v>18</v>
      </c>
      <c r="M29" s="80">
        <f t="shared" si="7"/>
        <v>27</v>
      </c>
      <c r="N29">
        <f t="shared" si="8"/>
        <v>2802.8117924564758</v>
      </c>
      <c r="O29" s="87">
        <f>(((1-((1+$W$11)/(1+$W$10))^(6*(J29+K29)))/($W$10-$W$11))*(1+$W$10)^(6*(J29+K29)))</f>
        <v>468.55183423527927</v>
      </c>
      <c r="P29" s="69">
        <f>N29*0.065*O29</f>
        <v>85362.069414163925</v>
      </c>
      <c r="Q29" s="69">
        <f t="shared" si="9"/>
        <v>569.0804627610928</v>
      </c>
      <c r="R29" s="69">
        <f>G29*(1+0.06)^K29</f>
        <v>9528.3369488150583</v>
      </c>
      <c r="S29" s="77">
        <f t="shared" si="10"/>
        <v>5.9725056514910876E-2</v>
      </c>
    </row>
    <row r="30" spans="1:19" ht="15.5" x14ac:dyDescent="0.35">
      <c r="A30" s="3" t="s">
        <v>88</v>
      </c>
      <c r="B30" s="16" t="s">
        <v>2636</v>
      </c>
      <c r="C30" s="17" t="s">
        <v>949</v>
      </c>
      <c r="D30" s="17" t="str">
        <f t="shared" si="4"/>
        <v>13/01/71</v>
      </c>
      <c r="E30" s="3" t="s">
        <v>3484</v>
      </c>
      <c r="F30" s="6">
        <v>7282.6239999999998</v>
      </c>
      <c r="G30" s="6">
        <f>IF(F30=0,$Y$3,F30)</f>
        <v>7282.6239999999998</v>
      </c>
      <c r="H30" s="79">
        <f t="shared" si="0"/>
        <v>99</v>
      </c>
      <c r="I30">
        <f t="shared" si="1"/>
        <v>51</v>
      </c>
      <c r="J30">
        <f t="shared" si="2"/>
        <v>12</v>
      </c>
      <c r="K30">
        <f t="shared" si="5"/>
        <v>14</v>
      </c>
      <c r="L30" s="80">
        <f t="shared" si="6"/>
        <v>23</v>
      </c>
      <c r="M30" s="80">
        <f t="shared" si="7"/>
        <v>37</v>
      </c>
      <c r="N30">
        <f t="shared" si="8"/>
        <v>3619.2410144505898</v>
      </c>
      <c r="O30" s="87">
        <f>(((1-((1+$W$11)/(1+$W$10))^(6*(J30+K30)))/($W$10-$W$11))*(1+$W$10)^(6*(J30+K30)))</f>
        <v>795.44548998043808</v>
      </c>
      <c r="P30" s="69">
        <f>N30*0.065*O30</f>
        <v>187129.08123630157</v>
      </c>
      <c r="Q30" s="69">
        <f t="shared" si="9"/>
        <v>1247.5272082420104</v>
      </c>
      <c r="R30" s="69">
        <f>G30*(1+0.06)^K30</f>
        <v>16465.31340987212</v>
      </c>
      <c r="S30" s="77">
        <f t="shared" si="10"/>
        <v>7.5766988285447978E-2</v>
      </c>
    </row>
    <row r="31" spans="1:19" ht="15.5" x14ac:dyDescent="0.35">
      <c r="A31" s="3" t="s">
        <v>90</v>
      </c>
      <c r="B31" s="16" t="s">
        <v>2638</v>
      </c>
      <c r="C31" s="17" t="s">
        <v>951</v>
      </c>
      <c r="D31" s="17" t="str">
        <f t="shared" si="4"/>
        <v>19/01/64</v>
      </c>
      <c r="E31" s="3" t="s">
        <v>3486</v>
      </c>
      <c r="F31" s="6">
        <v>52060.911999999997</v>
      </c>
      <c r="G31" s="6">
        <f>IF(F31=0,$Y$3,F31)</f>
        <v>52060.911999999997</v>
      </c>
      <c r="H31" s="79">
        <f t="shared" si="0"/>
        <v>5</v>
      </c>
      <c r="I31">
        <f t="shared" si="1"/>
        <v>58</v>
      </c>
      <c r="J31">
        <f t="shared" si="2"/>
        <v>12</v>
      </c>
      <c r="K31">
        <f t="shared" si="5"/>
        <v>7</v>
      </c>
      <c r="L31" s="80">
        <f t="shared" si="6"/>
        <v>17</v>
      </c>
      <c r="M31" s="80">
        <f t="shared" si="7"/>
        <v>24</v>
      </c>
      <c r="N31">
        <f t="shared" si="8"/>
        <v>25872.678303878227</v>
      </c>
      <c r="O31" s="87">
        <f>(((1-((1+$W$11)/(1+$W$10))^(6*(J31+K31)))/($W$10-$W$11))*(1+$W$10)^(6*(J31+K31)))</f>
        <v>373.65839639087795</v>
      </c>
      <c r="P31" s="69">
        <f>N31*0.065*O31</f>
        <v>628390.32654867298</v>
      </c>
      <c r="Q31" s="69">
        <f t="shared" si="9"/>
        <v>4189.2688436578201</v>
      </c>
      <c r="R31" s="69">
        <f>G31*(1+0.06)^K31</f>
        <v>78280.362593886442</v>
      </c>
      <c r="S31" s="77">
        <f t="shared" si="10"/>
        <v>5.3516216645437389E-2</v>
      </c>
    </row>
    <row r="32" spans="1:19" ht="15.5" x14ac:dyDescent="0.35">
      <c r="A32" s="3" t="s">
        <v>95</v>
      </c>
      <c r="B32" s="16" t="s">
        <v>2643</v>
      </c>
      <c r="C32" s="17" t="s">
        <v>956</v>
      </c>
      <c r="D32" s="17" t="str">
        <f t="shared" si="4"/>
        <v>27/09/88</v>
      </c>
      <c r="E32" s="3" t="s">
        <v>3489</v>
      </c>
      <c r="F32" s="6">
        <v>31498.047999999995</v>
      </c>
      <c r="G32" s="6">
        <f>IF(F32=0,$Y$3,F32)</f>
        <v>31498.047999999995</v>
      </c>
      <c r="H32" s="79">
        <f t="shared" si="0"/>
        <v>10</v>
      </c>
      <c r="I32">
        <f t="shared" si="1"/>
        <v>34</v>
      </c>
      <c r="J32">
        <f t="shared" si="2"/>
        <v>12</v>
      </c>
      <c r="K32">
        <f t="shared" si="5"/>
        <v>31</v>
      </c>
      <c r="L32" s="80">
        <f t="shared" si="6"/>
        <v>12</v>
      </c>
      <c r="M32" s="80">
        <f t="shared" si="7"/>
        <v>43</v>
      </c>
      <c r="N32">
        <f t="shared" si="8"/>
        <v>15653.564868477812</v>
      </c>
      <c r="O32" s="87">
        <f>(((1-((1+$W$11)/(1+$W$10))^(6*(J32+K32)))/($W$10-$W$11))*(1+$W$10)^(6*(J32+K32)))</f>
        <v>3853.3236192812783</v>
      </c>
      <c r="P32" s="69">
        <f>N32*0.065*O32</f>
        <v>3920686.3301877175</v>
      </c>
      <c r="Q32" s="69">
        <f t="shared" si="9"/>
        <v>26137.908867918115</v>
      </c>
      <c r="R32" s="69">
        <f>G32*(1+0.06)^K32</f>
        <v>191763.28629111804</v>
      </c>
      <c r="S32" s="77">
        <f t="shared" si="10"/>
        <v>0.13630298777962041</v>
      </c>
    </row>
    <row r="33" spans="1:19" ht="15.5" x14ac:dyDescent="0.35">
      <c r="A33" s="3" t="s">
        <v>96</v>
      </c>
      <c r="B33" s="16" t="s">
        <v>2644</v>
      </c>
      <c r="C33" s="17" t="s">
        <v>957</v>
      </c>
      <c r="D33" s="17" t="str">
        <f t="shared" si="4"/>
        <v>16/03/83</v>
      </c>
      <c r="E33" s="3" t="s">
        <v>3490</v>
      </c>
      <c r="F33" s="6">
        <v>20000.463999999996</v>
      </c>
      <c r="G33" s="6">
        <f>IF(F33=0,$Y$3,F33)</f>
        <v>20000.463999999996</v>
      </c>
      <c r="H33" s="79">
        <f t="shared" si="0"/>
        <v>10</v>
      </c>
      <c r="I33">
        <f t="shared" si="1"/>
        <v>39</v>
      </c>
      <c r="J33">
        <f t="shared" si="2"/>
        <v>12</v>
      </c>
      <c r="K33">
        <f t="shared" si="5"/>
        <v>26</v>
      </c>
      <c r="L33" s="80">
        <f t="shared" si="6"/>
        <v>12</v>
      </c>
      <c r="M33" s="80">
        <f t="shared" si="7"/>
        <v>38</v>
      </c>
      <c r="N33">
        <f t="shared" si="8"/>
        <v>9939.617865324708</v>
      </c>
      <c r="O33" s="87">
        <f>(((1-((1+$W$11)/(1+$W$10))^(6*(J33+K33)))/($W$10-$W$11))*(1+$W$10)^(6*(J33+K33)))</f>
        <v>2481.8865373152853</v>
      </c>
      <c r="P33" s="69">
        <f>N33*0.065*O33</f>
        <v>1603485.2447905128</v>
      </c>
      <c r="Q33" s="69">
        <f t="shared" si="9"/>
        <v>10689.901631936753</v>
      </c>
      <c r="R33" s="69">
        <f>G33*(1+0.06)^K33</f>
        <v>90989.770172256744</v>
      </c>
      <c r="S33" s="77">
        <f t="shared" si="10"/>
        <v>0.11748465362314059</v>
      </c>
    </row>
    <row r="34" spans="1:19" ht="15.5" x14ac:dyDescent="0.35">
      <c r="A34" s="3" t="s">
        <v>100</v>
      </c>
      <c r="B34" s="16" t="s">
        <v>2648</v>
      </c>
      <c r="C34" s="17" t="s">
        <v>960</v>
      </c>
      <c r="D34" s="17" t="str">
        <f t="shared" si="4"/>
        <v>16/03/88</v>
      </c>
      <c r="E34" s="3" t="s">
        <v>3492</v>
      </c>
      <c r="F34" s="6">
        <v>13160.464</v>
      </c>
      <c r="G34" s="6">
        <f>IF(F34=0,$Y$3,F34)</f>
        <v>13160.464</v>
      </c>
      <c r="H34" s="79">
        <f t="shared" si="0"/>
        <v>10</v>
      </c>
      <c r="I34">
        <f t="shared" si="1"/>
        <v>34</v>
      </c>
      <c r="J34">
        <f t="shared" si="2"/>
        <v>12</v>
      </c>
      <c r="K34">
        <f t="shared" si="5"/>
        <v>31</v>
      </c>
      <c r="L34" s="80">
        <f t="shared" si="6"/>
        <v>12</v>
      </c>
      <c r="M34" s="80">
        <f t="shared" si="7"/>
        <v>43</v>
      </c>
      <c r="N34">
        <f t="shared" si="8"/>
        <v>6540.3474184580264</v>
      </c>
      <c r="O34" s="87">
        <f>(((1-((1+$W$11)/(1+$W$10))^(6*(J34+K34)))/($W$10-$W$11))*(1+$W$10)^(6*(J34+K34)))</f>
        <v>3853.3236192812783</v>
      </c>
      <c r="P34" s="69">
        <f>N34*0.065*O34</f>
        <v>1638134.887080227</v>
      </c>
      <c r="Q34" s="69">
        <f t="shared" si="9"/>
        <v>10920.899247201514</v>
      </c>
      <c r="R34" s="69">
        <f>G34*(1+0.06)^K34</f>
        <v>80122.229344369305</v>
      </c>
      <c r="S34" s="77">
        <f t="shared" si="10"/>
        <v>0.13630298777962041</v>
      </c>
    </row>
    <row r="35" spans="1:19" ht="15.5" x14ac:dyDescent="0.35">
      <c r="A35" s="3" t="s">
        <v>102</v>
      </c>
      <c r="B35" s="16" t="s">
        <v>2650</v>
      </c>
      <c r="C35" s="17" t="s">
        <v>962</v>
      </c>
      <c r="D35" s="17" t="str">
        <f t="shared" si="4"/>
        <v>27/03/75</v>
      </c>
      <c r="E35" s="3" t="s">
        <v>3493</v>
      </c>
      <c r="F35" s="6">
        <v>26030.911999999997</v>
      </c>
      <c r="G35" s="6">
        <f>IF(F35=0,$Y$3,F35)</f>
        <v>26030.911999999997</v>
      </c>
      <c r="H35" s="79">
        <f t="shared" si="0"/>
        <v>98</v>
      </c>
      <c r="I35">
        <f t="shared" si="1"/>
        <v>47</v>
      </c>
      <c r="J35">
        <f t="shared" si="2"/>
        <v>12</v>
      </c>
      <c r="K35">
        <f t="shared" si="5"/>
        <v>18</v>
      </c>
      <c r="L35" s="80">
        <f t="shared" si="6"/>
        <v>24</v>
      </c>
      <c r="M35" s="80">
        <f t="shared" si="7"/>
        <v>42</v>
      </c>
      <c r="N35">
        <f t="shared" si="8"/>
        <v>12936.565769968904</v>
      </c>
      <c r="O35" s="87">
        <f>(((1-((1+$W$11)/(1+$W$10))^(6*(J35+K35)))/($W$10-$W$11))*(1+$W$10)^(6*(J35+K35)))</f>
        <v>1181.6655698699749</v>
      </c>
      <c r="P35" s="69">
        <f>N35*0.065*O35</f>
        <v>993635.13357749651</v>
      </c>
      <c r="Q35" s="69">
        <f t="shared" si="9"/>
        <v>6624.2342238499768</v>
      </c>
      <c r="R35" s="69">
        <f>G35*(1+0.06)^K35</f>
        <v>74301.051307628222</v>
      </c>
      <c r="S35" s="77">
        <f t="shared" si="10"/>
        <v>8.915397706048192E-2</v>
      </c>
    </row>
    <row r="36" spans="1:19" ht="15.5" x14ac:dyDescent="0.35">
      <c r="A36" s="3" t="s">
        <v>104</v>
      </c>
      <c r="B36" s="16" t="s">
        <v>2652</v>
      </c>
      <c r="C36" s="17" t="s">
        <v>964</v>
      </c>
      <c r="D36" s="17" t="str">
        <f t="shared" si="4"/>
        <v>24/07/86</v>
      </c>
      <c r="E36" s="3" t="s">
        <v>3495</v>
      </c>
      <c r="F36" s="6">
        <v>20656.8</v>
      </c>
      <c r="G36" s="6">
        <f>IF(F36=0,$Y$3,F36)</f>
        <v>20656.8</v>
      </c>
      <c r="H36" s="79">
        <f t="shared" si="0"/>
        <v>10</v>
      </c>
      <c r="I36">
        <f t="shared" si="1"/>
        <v>36</v>
      </c>
      <c r="J36">
        <f t="shared" si="2"/>
        <v>12</v>
      </c>
      <c r="K36">
        <f t="shared" si="5"/>
        <v>29</v>
      </c>
      <c r="L36" s="80">
        <f t="shared" si="6"/>
        <v>12</v>
      </c>
      <c r="M36" s="80">
        <f t="shared" si="7"/>
        <v>41</v>
      </c>
      <c r="N36">
        <f t="shared" si="8"/>
        <v>10265.796749537383</v>
      </c>
      <c r="O36" s="87">
        <f>(((1-((1+$W$11)/(1+$W$10))^(6*(J36+K36)))/($W$10-$W$11))*(1+$W$10)^(6*(J36+K36)))</f>
        <v>3237.3816560572077</v>
      </c>
      <c r="P36" s="69">
        <f>N36*0.065*O36</f>
        <v>2160229.6353146625</v>
      </c>
      <c r="Q36" s="69">
        <f t="shared" si="9"/>
        <v>14401.530902097749</v>
      </c>
      <c r="R36" s="69">
        <f>G36*(1+0.06)^K36</f>
        <v>111926.55515154208</v>
      </c>
      <c r="S36" s="77">
        <f t="shared" si="10"/>
        <v>0.12866947332202719</v>
      </c>
    </row>
    <row r="37" spans="1:19" ht="15.5" x14ac:dyDescent="0.35">
      <c r="A37" s="3" t="s">
        <v>105</v>
      </c>
      <c r="B37" s="16" t="s">
        <v>2653</v>
      </c>
      <c r="C37" s="17" t="s">
        <v>965</v>
      </c>
      <c r="D37" s="17" t="str">
        <f t="shared" si="4"/>
        <v>01/02/72</v>
      </c>
      <c r="E37" s="3" t="s">
        <v>3496</v>
      </c>
      <c r="F37" s="6">
        <v>5747.7279999999992</v>
      </c>
      <c r="G37" s="6">
        <f>IF(F37=0,$Y$3,F37)</f>
        <v>5747.7279999999992</v>
      </c>
      <c r="H37" s="79">
        <f t="shared" si="0"/>
        <v>5</v>
      </c>
      <c r="I37">
        <f t="shared" si="1"/>
        <v>50</v>
      </c>
      <c r="J37">
        <f t="shared" si="2"/>
        <v>12</v>
      </c>
      <c r="K37">
        <f t="shared" si="5"/>
        <v>15</v>
      </c>
      <c r="L37" s="80">
        <f t="shared" si="6"/>
        <v>17</v>
      </c>
      <c r="M37" s="80">
        <f t="shared" si="7"/>
        <v>32</v>
      </c>
      <c r="N37">
        <f t="shared" si="8"/>
        <v>2856.4447261737055</v>
      </c>
      <c r="O37" s="87">
        <f>(((1-((1+$W$11)/(1+$W$10))^(6*(J37+K37)))/($W$10-$W$11))*(1+$W$10)^(6*(J37+K37)))</f>
        <v>879.8935468544031</v>
      </c>
      <c r="P37" s="69">
        <f>N37*0.065*O37</f>
        <v>163368.87329792485</v>
      </c>
      <c r="Q37" s="69">
        <f t="shared" si="9"/>
        <v>1089.1258219861656</v>
      </c>
      <c r="R37" s="69">
        <f>G37*(1+0.06)^K37</f>
        <v>13774.764630108506</v>
      </c>
      <c r="S37" s="77">
        <f t="shared" si="10"/>
        <v>7.9066746418707146E-2</v>
      </c>
    </row>
    <row r="38" spans="1:19" ht="15.5" x14ac:dyDescent="0.35">
      <c r="A38" s="3" t="s">
        <v>106</v>
      </c>
      <c r="B38" s="16" t="s">
        <v>2654</v>
      </c>
      <c r="C38" s="17" t="s">
        <v>966</v>
      </c>
      <c r="D38" s="17" t="str">
        <f t="shared" si="4"/>
        <v>31/07/79</v>
      </c>
      <c r="E38" s="3" t="s">
        <v>3497</v>
      </c>
      <c r="F38" s="6">
        <v>15204.864</v>
      </c>
      <c r="G38" s="6">
        <f>IF(F38=0,$Y$3,F38)</f>
        <v>15204.864</v>
      </c>
      <c r="H38" s="79">
        <f t="shared" si="0"/>
        <v>10</v>
      </c>
      <c r="I38">
        <f t="shared" si="1"/>
        <v>43</v>
      </c>
      <c r="J38">
        <f t="shared" si="2"/>
        <v>12</v>
      </c>
      <c r="K38">
        <f t="shared" si="5"/>
        <v>22</v>
      </c>
      <c r="L38" s="80">
        <f t="shared" si="6"/>
        <v>12</v>
      </c>
      <c r="M38" s="80">
        <f t="shared" si="7"/>
        <v>34</v>
      </c>
      <c r="N38">
        <f t="shared" si="8"/>
        <v>7556.3515853548461</v>
      </c>
      <c r="O38" s="87">
        <f>(((1-((1+$W$11)/(1+$W$10))^(6*(J38+K38)))/($W$10-$W$11))*(1+$W$10)^(6*(J38+K38)))</f>
        <v>1724.4052908394829</v>
      </c>
      <c r="P38" s="69">
        <f>N38*0.065*O38</f>
        <v>846963.82245989877</v>
      </c>
      <c r="Q38" s="69">
        <f t="shared" si="9"/>
        <v>5646.425483065992</v>
      </c>
      <c r="R38" s="69">
        <f>G38*(1+0.06)^K38</f>
        <v>54791.296337985259</v>
      </c>
      <c r="S38" s="77">
        <f t="shared" si="10"/>
        <v>0.10305332891259747</v>
      </c>
    </row>
    <row r="39" spans="1:19" ht="15.5" x14ac:dyDescent="0.35">
      <c r="A39" s="3" t="s">
        <v>108</v>
      </c>
      <c r="B39" s="16" t="s">
        <v>2656</v>
      </c>
      <c r="C39" s="17" t="s">
        <v>968</v>
      </c>
      <c r="D39" s="17" t="str">
        <f t="shared" si="4"/>
        <v>10/09/80</v>
      </c>
      <c r="E39" s="3" t="s">
        <v>3498</v>
      </c>
      <c r="F39" s="6">
        <v>14854.047999999999</v>
      </c>
      <c r="G39" s="6">
        <f>IF(F39=0,$Y$3,F39)</f>
        <v>14854.047999999999</v>
      </c>
      <c r="H39" s="79">
        <f t="shared" si="0"/>
        <v>6</v>
      </c>
      <c r="I39">
        <f t="shared" si="1"/>
        <v>42</v>
      </c>
      <c r="J39">
        <f t="shared" si="2"/>
        <v>11</v>
      </c>
      <c r="K39">
        <f t="shared" si="5"/>
        <v>23</v>
      </c>
      <c r="L39" s="80">
        <f t="shared" si="6"/>
        <v>16</v>
      </c>
      <c r="M39" s="80">
        <f t="shared" si="7"/>
        <v>39</v>
      </c>
      <c r="N39">
        <f t="shared" si="8"/>
        <v>7824.9271879683502</v>
      </c>
      <c r="O39" s="87">
        <f>(((1-((1+$W$11)/(1+$W$10))^(6*(J39+K39)))/($W$10-$W$11))*(1+$W$10)^(6*(J39+K39)))</f>
        <v>1724.4052908394829</v>
      </c>
      <c r="P39" s="69">
        <f>N39*0.065*O39</f>
        <v>877067.47981881211</v>
      </c>
      <c r="Q39" s="69">
        <f t="shared" si="9"/>
        <v>5847.1165321254139</v>
      </c>
      <c r="R39" s="69">
        <f>G39*(1+0.06)^K39</f>
        <v>56738.744820989967</v>
      </c>
      <c r="S39" s="77">
        <f t="shared" si="10"/>
        <v>0.10305332891259744</v>
      </c>
    </row>
    <row r="40" spans="1:19" ht="15.5" x14ac:dyDescent="0.35">
      <c r="A40" s="3" t="s">
        <v>110</v>
      </c>
      <c r="B40" s="16" t="s">
        <v>2658</v>
      </c>
      <c r="C40" s="17" t="s">
        <v>970</v>
      </c>
      <c r="D40" s="17" t="str">
        <f t="shared" si="4"/>
        <v>07/05/87</v>
      </c>
      <c r="E40" s="3" t="s">
        <v>3499</v>
      </c>
      <c r="F40" s="6">
        <v>17850.576000000001</v>
      </c>
      <c r="G40" s="6">
        <f>IF(F40=0,$Y$3,F40)</f>
        <v>17850.576000000001</v>
      </c>
      <c r="H40" s="79">
        <f t="shared" si="0"/>
        <v>6</v>
      </c>
      <c r="I40">
        <f t="shared" si="1"/>
        <v>35</v>
      </c>
      <c r="J40">
        <f t="shared" si="2"/>
        <v>11</v>
      </c>
      <c r="K40">
        <f t="shared" si="5"/>
        <v>30</v>
      </c>
      <c r="L40" s="80">
        <f t="shared" si="6"/>
        <v>16</v>
      </c>
      <c r="M40" s="80">
        <f t="shared" si="7"/>
        <v>46</v>
      </c>
      <c r="N40">
        <f t="shared" si="8"/>
        <v>9403.4607578550531</v>
      </c>
      <c r="O40" s="87">
        <f>(((1-((1+$W$11)/(1+$W$10))^(6*(J40+K40)))/($W$10-$W$11))*(1+$W$10)^(6*(J40+K40)))</f>
        <v>3237.3816560572077</v>
      </c>
      <c r="P40" s="69">
        <f>N40*0.065*O40</f>
        <v>1978768.4384606942</v>
      </c>
      <c r="Q40" s="69">
        <f t="shared" si="9"/>
        <v>13191.78958973796</v>
      </c>
      <c r="R40" s="69">
        <f>G40*(1+0.06)^K40</f>
        <v>102524.62568741728</v>
      </c>
      <c r="S40" s="77">
        <f t="shared" si="10"/>
        <v>0.12866947332202719</v>
      </c>
    </row>
    <row r="41" spans="1:19" ht="15.5" x14ac:dyDescent="0.35">
      <c r="A41" s="3" t="s">
        <v>111</v>
      </c>
      <c r="B41" s="16" t="s">
        <v>2659</v>
      </c>
      <c r="C41" s="17" t="s">
        <v>971</v>
      </c>
      <c r="D41" s="17" t="str">
        <f t="shared" si="4"/>
        <v>23/10/84</v>
      </c>
      <c r="E41" s="3" t="s">
        <v>3500</v>
      </c>
      <c r="F41" s="6">
        <v>16472.543999999998</v>
      </c>
      <c r="G41" s="6">
        <f>IF(F41=0,$Y$3,F41)</f>
        <v>16472.543999999998</v>
      </c>
      <c r="H41" s="79">
        <f t="shared" si="0"/>
        <v>11</v>
      </c>
      <c r="I41">
        <f t="shared" si="1"/>
        <v>38</v>
      </c>
      <c r="J41">
        <f t="shared" si="2"/>
        <v>11</v>
      </c>
      <c r="K41">
        <f t="shared" si="5"/>
        <v>27</v>
      </c>
      <c r="L41" s="80">
        <f t="shared" si="6"/>
        <v>11</v>
      </c>
      <c r="M41" s="80">
        <f t="shared" si="7"/>
        <v>38</v>
      </c>
      <c r="N41">
        <f t="shared" si="8"/>
        <v>8677.5306906645856</v>
      </c>
      <c r="O41" s="87">
        <f>(((1-((1+$W$11)/(1+$W$10))^(6*(J41+K41)))/($W$10-$W$11))*(1+$W$10)^(6*(J41+K41)))</f>
        <v>2481.8865373152853</v>
      </c>
      <c r="P41" s="69">
        <f>N41*0.065*O41</f>
        <v>1399882.0288895417</v>
      </c>
      <c r="Q41" s="69">
        <f t="shared" si="9"/>
        <v>9332.5468592636116</v>
      </c>
      <c r="R41" s="69">
        <f>G41*(1+0.06)^K41</f>
        <v>79436.305691464469</v>
      </c>
      <c r="S41" s="77">
        <f t="shared" si="10"/>
        <v>0.11748465362314055</v>
      </c>
    </row>
    <row r="42" spans="1:19" ht="15.5" x14ac:dyDescent="0.35">
      <c r="A42" s="3" t="s">
        <v>112</v>
      </c>
      <c r="B42" s="16" t="s">
        <v>2660</v>
      </c>
      <c r="C42" s="17" t="s">
        <v>972</v>
      </c>
      <c r="D42" s="17" t="str">
        <f t="shared" si="4"/>
        <v>01/10/77</v>
      </c>
      <c r="E42" s="3" t="s">
        <v>3501</v>
      </c>
      <c r="F42" s="6">
        <v>11602.768</v>
      </c>
      <c r="G42" s="6">
        <f>IF(F42=0,$Y$3,F42)</f>
        <v>11602.768</v>
      </c>
      <c r="H42" s="79">
        <f t="shared" si="0"/>
        <v>0</v>
      </c>
      <c r="I42">
        <f t="shared" si="1"/>
        <v>45</v>
      </c>
      <c r="J42">
        <f t="shared" si="2"/>
        <v>11</v>
      </c>
      <c r="K42">
        <f t="shared" si="5"/>
        <v>20</v>
      </c>
      <c r="L42" s="80">
        <f t="shared" si="6"/>
        <v>22</v>
      </c>
      <c r="M42" s="80">
        <f t="shared" si="7"/>
        <v>42</v>
      </c>
      <c r="N42">
        <f t="shared" si="8"/>
        <v>6112.1934424130823</v>
      </c>
      <c r="O42" s="87">
        <f>(((1-((1+$W$11)/(1+$W$10))^(6*(J42+K42)))/($W$10-$W$11))*(1+$W$10)^(6*(J42+K42)))</f>
        <v>1300.6996735984885</v>
      </c>
      <c r="P42" s="69">
        <f>N42*0.065*O42</f>
        <v>516758.32100863865</v>
      </c>
      <c r="Q42" s="69">
        <f t="shared" si="9"/>
        <v>3445.0554733909244</v>
      </c>
      <c r="R42" s="69">
        <f>G42*(1+0.06)^K42</f>
        <v>37211.648828656122</v>
      </c>
      <c r="S42" s="77">
        <f t="shared" si="10"/>
        <v>9.2580027540675375E-2</v>
      </c>
    </row>
    <row r="43" spans="1:19" ht="15.5" x14ac:dyDescent="0.35">
      <c r="A43" s="3" t="s">
        <v>114</v>
      </c>
      <c r="B43" s="16" t="s">
        <v>2662</v>
      </c>
      <c r="C43" s="17" t="s">
        <v>974</v>
      </c>
      <c r="D43" s="17" t="str">
        <f t="shared" si="4"/>
        <v>11/02/86</v>
      </c>
      <c r="E43" s="3" t="s">
        <v>3502</v>
      </c>
      <c r="F43" s="6">
        <v>8979.2479999999996</v>
      </c>
      <c r="G43" s="6">
        <f>IF(F43=0,$Y$3,F43)</f>
        <v>8979.2479999999996</v>
      </c>
      <c r="H43" s="79">
        <f t="shared" si="0"/>
        <v>6</v>
      </c>
      <c r="I43">
        <f t="shared" si="1"/>
        <v>36</v>
      </c>
      <c r="J43">
        <f t="shared" si="2"/>
        <v>11</v>
      </c>
      <c r="K43">
        <f t="shared" si="5"/>
        <v>29</v>
      </c>
      <c r="L43" s="80">
        <f t="shared" si="6"/>
        <v>16</v>
      </c>
      <c r="M43" s="80">
        <f t="shared" si="7"/>
        <v>45</v>
      </c>
      <c r="N43">
        <f t="shared" si="8"/>
        <v>4730.1558337976576</v>
      </c>
      <c r="O43" s="87">
        <f>(((1-((1+$W$11)/(1+$W$10))^(6*(J43+K43)))/($W$10-$W$11))*(1+$W$10)^(6*(J43+K43)))</f>
        <v>2964.8060935111685</v>
      </c>
      <c r="P43" s="69">
        <f>N43*0.065*O43</f>
        <v>911559.66455454531</v>
      </c>
      <c r="Q43" s="69">
        <f t="shared" si="9"/>
        <v>6077.0644303636354</v>
      </c>
      <c r="R43" s="69">
        <f>G43*(1+0.06)^K43</f>
        <v>48653.048705093432</v>
      </c>
      <c r="S43" s="77">
        <f t="shared" si="10"/>
        <v>0.12490613830182104</v>
      </c>
    </row>
    <row r="44" spans="1:19" ht="15.5" x14ac:dyDescent="0.35">
      <c r="A44" s="3" t="s">
        <v>115</v>
      </c>
      <c r="B44" s="16" t="s">
        <v>2663</v>
      </c>
      <c r="C44" s="17" t="s">
        <v>975</v>
      </c>
      <c r="D44" s="17" t="str">
        <f t="shared" si="4"/>
        <v>10/06/69</v>
      </c>
      <c r="E44" s="3" t="s">
        <v>3503</v>
      </c>
      <c r="F44" s="6">
        <v>8885.3119999999981</v>
      </c>
      <c r="G44" s="6">
        <f>IF(F44=0,$Y$3,F44)</f>
        <v>8885.3119999999981</v>
      </c>
      <c r="H44" s="79">
        <f t="shared" si="0"/>
        <v>7</v>
      </c>
      <c r="I44">
        <f t="shared" si="1"/>
        <v>53</v>
      </c>
      <c r="J44">
        <f t="shared" si="2"/>
        <v>11</v>
      </c>
      <c r="K44">
        <f t="shared" si="5"/>
        <v>12</v>
      </c>
      <c r="L44" s="80">
        <f t="shared" si="6"/>
        <v>15</v>
      </c>
      <c r="M44" s="80">
        <f t="shared" si="7"/>
        <v>27</v>
      </c>
      <c r="N44">
        <f t="shared" si="8"/>
        <v>4680.6715208124697</v>
      </c>
      <c r="O44" s="87">
        <f>(((1-((1+$W$11)/(1+$W$10))^(6*(J44+K44)))/($W$10-$W$11))*(1+$W$10)^(6*(J44+K44)))</f>
        <v>582.2320727785642</v>
      </c>
      <c r="P44" s="69">
        <f>N44*0.065*O44</f>
        <v>177140.41030128553</v>
      </c>
      <c r="Q44" s="69">
        <f t="shared" si="9"/>
        <v>1180.9360686752368</v>
      </c>
      <c r="R44" s="69">
        <f>G44*(1+0.06)^K44</f>
        <v>17878.993457558088</v>
      </c>
      <c r="S44" s="77">
        <f t="shared" si="10"/>
        <v>6.6051596890987899E-2</v>
      </c>
    </row>
    <row r="45" spans="1:19" ht="15.5" x14ac:dyDescent="0.35">
      <c r="A45" s="3" t="s">
        <v>120</v>
      </c>
      <c r="B45" s="16" t="s">
        <v>2668</v>
      </c>
      <c r="C45" s="17" t="s">
        <v>980</v>
      </c>
      <c r="D45" s="17" t="str">
        <f t="shared" si="4"/>
        <v>04/05/83</v>
      </c>
      <c r="E45" s="3" t="s">
        <v>3505</v>
      </c>
      <c r="F45" s="6">
        <v>12185.84</v>
      </c>
      <c r="G45" s="6">
        <f>IF(F45=0,$Y$3,F45)</f>
        <v>12185.84</v>
      </c>
      <c r="H45" s="79">
        <f t="shared" si="0"/>
        <v>2</v>
      </c>
      <c r="I45">
        <f t="shared" si="1"/>
        <v>39</v>
      </c>
      <c r="J45">
        <f t="shared" si="2"/>
        <v>11</v>
      </c>
      <c r="K45">
        <f t="shared" si="5"/>
        <v>26</v>
      </c>
      <c r="L45" s="80">
        <f t="shared" si="6"/>
        <v>20</v>
      </c>
      <c r="M45" s="80">
        <f t="shared" si="7"/>
        <v>46</v>
      </c>
      <c r="N45">
        <f t="shared" si="8"/>
        <v>6419.3484984182251</v>
      </c>
      <c r="O45" s="87">
        <f>(((1-((1+$W$11)/(1+$W$10))^(6*(J45+K45)))/($W$10-$W$11))*(1+$W$10)^(6*(J45+K45)))</f>
        <v>2268.4845089511282</v>
      </c>
      <c r="P45" s="69">
        <f>N45*0.065*O45</f>
        <v>946542.52070432797</v>
      </c>
      <c r="Q45" s="69">
        <f t="shared" si="9"/>
        <v>6310.283471362186</v>
      </c>
      <c r="R45" s="69">
        <f>G45*(1+0.06)^K45</f>
        <v>55438.052884967728</v>
      </c>
      <c r="S45" s="77">
        <f t="shared" si="10"/>
        <v>0.11382584962815762</v>
      </c>
    </row>
    <row r="46" spans="1:19" ht="15.5" x14ac:dyDescent="0.35">
      <c r="A46" s="3" t="s">
        <v>122</v>
      </c>
      <c r="B46" s="16" t="s">
        <v>2670</v>
      </c>
      <c r="C46" s="17" t="s">
        <v>982</v>
      </c>
      <c r="D46" s="17" t="str">
        <f t="shared" si="4"/>
        <v>29/07/72</v>
      </c>
      <c r="E46" s="3" t="s">
        <v>3506</v>
      </c>
      <c r="F46" s="6">
        <v>5639.808</v>
      </c>
      <c r="G46" s="6">
        <f>IF(F46=0,$Y$3,F46)</f>
        <v>5639.808</v>
      </c>
      <c r="H46" s="79">
        <f t="shared" si="0"/>
        <v>11</v>
      </c>
      <c r="I46">
        <f t="shared" si="1"/>
        <v>50</v>
      </c>
      <c r="J46">
        <f t="shared" si="2"/>
        <v>11</v>
      </c>
      <c r="K46">
        <f t="shared" si="5"/>
        <v>15</v>
      </c>
      <c r="L46" s="80">
        <f t="shared" si="6"/>
        <v>11</v>
      </c>
      <c r="M46" s="80">
        <f t="shared" si="7"/>
        <v>26</v>
      </c>
      <c r="N46">
        <f t="shared" si="8"/>
        <v>2970.9805000038646</v>
      </c>
      <c r="O46" s="87">
        <f>(((1-((1+$W$11)/(1+$W$10))^(6*(J46+K46)))/($W$10-$W$11))*(1+$W$10)^(6*(J46+K46)))</f>
        <v>795.44548998043808</v>
      </c>
      <c r="P46" s="69">
        <f>N46*0.065*O46</f>
        <v>153611.44757061359</v>
      </c>
      <c r="Q46" s="69">
        <f t="shared" si="9"/>
        <v>1024.076317137424</v>
      </c>
      <c r="R46" s="69">
        <f>G46*(1+0.06)^K46</f>
        <v>13516.128069909189</v>
      </c>
      <c r="S46" s="77">
        <f t="shared" si="10"/>
        <v>7.5766988285447964E-2</v>
      </c>
    </row>
    <row r="47" spans="1:19" ht="15.5" x14ac:dyDescent="0.35">
      <c r="A47" s="3" t="s">
        <v>123</v>
      </c>
      <c r="B47" s="16" t="s">
        <v>2671</v>
      </c>
      <c r="C47" s="17" t="s">
        <v>983</v>
      </c>
      <c r="D47" s="17" t="str">
        <f t="shared" si="4"/>
        <v>06/08/80</v>
      </c>
      <c r="E47" s="3" t="s">
        <v>3507</v>
      </c>
      <c r="F47" s="6">
        <v>8838.1920000000009</v>
      </c>
      <c r="G47" s="6">
        <f>IF(F47=0,$Y$3,F47)</f>
        <v>8838.1920000000009</v>
      </c>
      <c r="H47" s="79">
        <f t="shared" si="0"/>
        <v>11</v>
      </c>
      <c r="I47">
        <f t="shared" si="1"/>
        <v>42</v>
      </c>
      <c r="J47">
        <f t="shared" si="2"/>
        <v>11</v>
      </c>
      <c r="K47">
        <f t="shared" si="5"/>
        <v>23</v>
      </c>
      <c r="L47" s="80">
        <f t="shared" si="6"/>
        <v>11</v>
      </c>
      <c r="M47" s="80">
        <f t="shared" si="7"/>
        <v>34</v>
      </c>
      <c r="N47">
        <f t="shared" si="8"/>
        <v>4655.8492926160179</v>
      </c>
      <c r="O47" s="87">
        <f>(((1-((1+$W$11)/(1+$W$10))^(6*(J47+K47)))/($W$10-$W$11))*(1+$W$10)^(6*(J47+K47)))</f>
        <v>1724.4052908394829</v>
      </c>
      <c r="P47" s="69">
        <f>N47*0.065*O47</f>
        <v>521857.12497999112</v>
      </c>
      <c r="Q47" s="69">
        <f t="shared" si="9"/>
        <v>3479.0474998666073</v>
      </c>
      <c r="R47" s="69">
        <f>G47*(1+0.06)^K47</f>
        <v>33759.680900917723</v>
      </c>
      <c r="S47" s="77">
        <f t="shared" si="10"/>
        <v>0.10305332891259741</v>
      </c>
    </row>
    <row r="48" spans="1:19" ht="15.5" x14ac:dyDescent="0.35">
      <c r="A48" s="3" t="s">
        <v>124</v>
      </c>
      <c r="B48" s="16" t="s">
        <v>2672</v>
      </c>
      <c r="C48" s="17" t="s">
        <v>984</v>
      </c>
      <c r="D48" s="17" t="str">
        <f t="shared" si="4"/>
        <v>01/05/85</v>
      </c>
      <c r="E48" s="3" t="s">
        <v>3508</v>
      </c>
      <c r="F48" s="6">
        <v>10707.791999999999</v>
      </c>
      <c r="G48" s="6">
        <f>IF(F48=0,$Y$3,F48)</f>
        <v>10707.791999999999</v>
      </c>
      <c r="H48" s="79">
        <f t="shared" si="0"/>
        <v>11</v>
      </c>
      <c r="I48">
        <f t="shared" si="1"/>
        <v>37</v>
      </c>
      <c r="J48">
        <f t="shared" si="2"/>
        <v>11</v>
      </c>
      <c r="K48">
        <f t="shared" si="5"/>
        <v>28</v>
      </c>
      <c r="L48" s="80">
        <f t="shared" si="6"/>
        <v>11</v>
      </c>
      <c r="M48" s="80">
        <f t="shared" si="7"/>
        <v>39</v>
      </c>
      <c r="N48">
        <f t="shared" si="8"/>
        <v>5640.7312500881908</v>
      </c>
      <c r="O48" s="87">
        <f>(((1-((1+$W$11)/(1+$W$10))^(6*(J48+K48)))/($W$10-$W$11))*(1+$W$10)^(6*(J48+K48)))</f>
        <v>2713.5031944291845</v>
      </c>
      <c r="P48" s="69">
        <f>N48*0.065*O48</f>
        <v>994899.24729200418</v>
      </c>
      <c r="Q48" s="69">
        <f t="shared" si="9"/>
        <v>6632.6616486133607</v>
      </c>
      <c r="R48" s="69">
        <f>G48*(1+0.06)^K48</f>
        <v>54734.877922206484</v>
      </c>
      <c r="S48" s="77">
        <f t="shared" si="10"/>
        <v>0.12117797463694395</v>
      </c>
    </row>
    <row r="49" spans="1:19" ht="15.5" x14ac:dyDescent="0.35">
      <c r="A49" s="3" t="s">
        <v>129</v>
      </c>
      <c r="B49" s="16" t="s">
        <v>2677</v>
      </c>
      <c r="C49" s="17" t="s">
        <v>989</v>
      </c>
      <c r="D49" s="17" t="str">
        <f t="shared" si="4"/>
        <v>27/06/92</v>
      </c>
      <c r="E49" s="3" t="s">
        <v>3509</v>
      </c>
      <c r="F49" s="6">
        <v>12532.4</v>
      </c>
      <c r="G49" s="6">
        <f>IF(F49=0,$Y$3,F49)</f>
        <v>12532.4</v>
      </c>
      <c r="H49" s="79">
        <f t="shared" si="0"/>
        <v>11</v>
      </c>
      <c r="I49">
        <f t="shared" si="1"/>
        <v>30</v>
      </c>
      <c r="J49">
        <f t="shared" si="2"/>
        <v>11</v>
      </c>
      <c r="K49">
        <f t="shared" si="5"/>
        <v>35</v>
      </c>
      <c r="L49" s="80">
        <f t="shared" si="6"/>
        <v>11</v>
      </c>
      <c r="M49" s="80">
        <f t="shared" si="7"/>
        <v>46</v>
      </c>
      <c r="N49">
        <f t="shared" si="8"/>
        <v>6601.9119832179449</v>
      </c>
      <c r="O49" s="87">
        <f>(((1-((1+$W$11)/(1+$W$10))^(6*(J49+K49)))/($W$10-$W$11))*(1+$W$10)^(6*(J49+K49)))</f>
        <v>4984.0692911429642</v>
      </c>
      <c r="P49" s="69">
        <f>N49*0.065*O49</f>
        <v>2138785.1405950449</v>
      </c>
      <c r="Q49" s="69">
        <f t="shared" si="9"/>
        <v>14258.567603966967</v>
      </c>
      <c r="R49" s="69">
        <f>G49*(1+0.06)^K49</f>
        <v>96325.114115975302</v>
      </c>
      <c r="S49" s="77">
        <f t="shared" si="10"/>
        <v>0.14802544211678453</v>
      </c>
    </row>
    <row r="50" spans="1:19" ht="15.5" x14ac:dyDescent="0.35">
      <c r="A50" s="3" t="s">
        <v>130</v>
      </c>
      <c r="B50" s="16" t="s">
        <v>2678</v>
      </c>
      <c r="C50" s="17" t="s">
        <v>990</v>
      </c>
      <c r="D50" s="17" t="str">
        <f t="shared" si="4"/>
        <v>31/01/87</v>
      </c>
      <c r="E50" s="3" t="s">
        <v>3510</v>
      </c>
      <c r="F50" s="6">
        <v>13884.592000000001</v>
      </c>
      <c r="G50" s="6">
        <f>IF(F50=0,$Y$3,F50)</f>
        <v>13884.592000000001</v>
      </c>
      <c r="H50" s="79">
        <f t="shared" si="0"/>
        <v>11</v>
      </c>
      <c r="I50">
        <f t="shared" si="1"/>
        <v>35</v>
      </c>
      <c r="J50">
        <f t="shared" si="2"/>
        <v>11</v>
      </c>
      <c r="K50">
        <f t="shared" si="5"/>
        <v>30</v>
      </c>
      <c r="L50" s="80">
        <f t="shared" si="6"/>
        <v>11</v>
      </c>
      <c r="M50" s="80">
        <f t="shared" si="7"/>
        <v>41</v>
      </c>
      <c r="N50">
        <f t="shared" si="8"/>
        <v>7314.2298607522916</v>
      </c>
      <c r="O50" s="87">
        <f>(((1-((1+$W$11)/(1+$W$10))^(6*(J50+K50)))/($W$10-$W$11))*(1+$W$10)^(6*(J50+K50)))</f>
        <v>3237.3816560572077</v>
      </c>
      <c r="P50" s="69">
        <f>N50*0.065*O50</f>
        <v>1539131.9826600465</v>
      </c>
      <c r="Q50" s="69">
        <f t="shared" si="9"/>
        <v>10260.87988440031</v>
      </c>
      <c r="R50" s="69">
        <f>G50*(1+0.06)^K50</f>
        <v>79746.031591502062</v>
      </c>
      <c r="S50" s="77">
        <f t="shared" si="10"/>
        <v>0.12866947332202716</v>
      </c>
    </row>
    <row r="51" spans="1:19" ht="15.5" x14ac:dyDescent="0.35">
      <c r="A51" s="3" t="s">
        <v>142</v>
      </c>
      <c r="B51" s="16" t="s">
        <v>2690</v>
      </c>
      <c r="C51" s="17" t="s">
        <v>1002</v>
      </c>
      <c r="D51" s="17" t="str">
        <f t="shared" si="4"/>
        <v>14/04/85</v>
      </c>
      <c r="E51" s="3" t="s">
        <v>3517</v>
      </c>
      <c r="F51" s="6">
        <v>14289.52</v>
      </c>
      <c r="G51" s="6">
        <f>IF(F51=0,$Y$3,F51)</f>
        <v>14289.52</v>
      </c>
      <c r="H51" s="79">
        <f t="shared" si="0"/>
        <v>8</v>
      </c>
      <c r="I51">
        <f t="shared" si="1"/>
        <v>37</v>
      </c>
      <c r="J51">
        <f t="shared" si="2"/>
        <v>10</v>
      </c>
      <c r="K51">
        <f t="shared" si="5"/>
        <v>28</v>
      </c>
      <c r="L51" s="80">
        <f t="shared" si="6"/>
        <v>14</v>
      </c>
      <c r="M51" s="80">
        <f t="shared" si="7"/>
        <v>42</v>
      </c>
      <c r="N51">
        <f t="shared" si="8"/>
        <v>7979.1933326241151</v>
      </c>
      <c r="O51" s="87">
        <f>(((1-((1+$W$11)/(1+$W$10))^(6*(J51+K51)))/($W$10-$W$11))*(1+$W$10)^(6*(J51+K51)))</f>
        <v>2481.8865373152853</v>
      </c>
      <c r="P51" s="69">
        <f>N51*0.065*O51</f>
        <v>1287224.4132069191</v>
      </c>
      <c r="Q51" s="69">
        <f t="shared" si="9"/>
        <v>8581.4960880461276</v>
      </c>
      <c r="R51" s="69">
        <f>G51*(1+0.06)^K51</f>
        <v>73043.549292601878</v>
      </c>
      <c r="S51" s="77">
        <f t="shared" si="10"/>
        <v>0.11748465362314059</v>
      </c>
    </row>
    <row r="52" spans="1:19" ht="15.5" x14ac:dyDescent="0.35">
      <c r="A52" s="3" t="s">
        <v>145</v>
      </c>
      <c r="B52" s="16" t="s">
        <v>2693</v>
      </c>
      <c r="C52" s="17" t="s">
        <v>1005</v>
      </c>
      <c r="D52" s="17" t="str">
        <f t="shared" si="4"/>
        <v>07/11/77</v>
      </c>
      <c r="E52" s="3" t="s">
        <v>3520</v>
      </c>
      <c r="F52" s="6">
        <v>14390.751999999999</v>
      </c>
      <c r="G52" s="6">
        <f>IF(F52=0,$Y$3,F52)</f>
        <v>14390.751999999999</v>
      </c>
      <c r="H52" s="79">
        <f t="shared" si="0"/>
        <v>99</v>
      </c>
      <c r="I52">
        <f t="shared" si="1"/>
        <v>45</v>
      </c>
      <c r="J52">
        <f t="shared" si="2"/>
        <v>10</v>
      </c>
      <c r="K52">
        <f t="shared" si="5"/>
        <v>20</v>
      </c>
      <c r="L52" s="80">
        <f t="shared" si="6"/>
        <v>23</v>
      </c>
      <c r="M52" s="80">
        <f t="shared" si="7"/>
        <v>43</v>
      </c>
      <c r="N52">
        <f t="shared" si="8"/>
        <v>8035.7207526807852</v>
      </c>
      <c r="O52" s="87">
        <f>(((1-((1+$W$11)/(1+$W$10))^(6*(J52+K52)))/($W$10-$W$11))*(1+$W$10)^(6*(J52+K52)))</f>
        <v>1181.6655698699749</v>
      </c>
      <c r="P52" s="69">
        <f>N52*0.065*O52</f>
        <v>617209.74526461412</v>
      </c>
      <c r="Q52" s="69">
        <f t="shared" si="9"/>
        <v>4114.7316350974279</v>
      </c>
      <c r="R52" s="69">
        <f>G52*(1+0.06)^K52</f>
        <v>46153.091211017985</v>
      </c>
      <c r="S52" s="77">
        <f t="shared" si="10"/>
        <v>8.9153977060481934E-2</v>
      </c>
    </row>
    <row r="53" spans="1:19" ht="15.5" x14ac:dyDescent="0.35">
      <c r="A53" s="3" t="s">
        <v>147</v>
      </c>
      <c r="B53" s="16" t="s">
        <v>2695</v>
      </c>
      <c r="C53" s="17" t="s">
        <v>1007</v>
      </c>
      <c r="D53" s="17" t="str">
        <f t="shared" si="4"/>
        <v>30/04/81</v>
      </c>
      <c r="E53" s="3" t="s">
        <v>3521</v>
      </c>
      <c r="F53" s="6">
        <v>13411.567999999999</v>
      </c>
      <c r="G53" s="6">
        <f>IF(F53=0,$Y$3,F53)</f>
        <v>13411.567999999999</v>
      </c>
      <c r="H53" s="79">
        <f t="shared" si="0"/>
        <v>5</v>
      </c>
      <c r="I53">
        <f t="shared" si="1"/>
        <v>41</v>
      </c>
      <c r="J53">
        <f t="shared" si="2"/>
        <v>10</v>
      </c>
      <c r="K53">
        <f t="shared" si="5"/>
        <v>24</v>
      </c>
      <c r="L53" s="80">
        <f t="shared" si="6"/>
        <v>17</v>
      </c>
      <c r="M53" s="80">
        <f t="shared" si="7"/>
        <v>41</v>
      </c>
      <c r="N53">
        <f t="shared" si="8"/>
        <v>7488.949521441933</v>
      </c>
      <c r="O53" s="87">
        <f>(((1-((1+$W$11)/(1+$W$10))^(6*(J53+K53)))/($W$10-$W$11))*(1+$W$10)^(6*(J53+K53)))</f>
        <v>1724.4052908394829</v>
      </c>
      <c r="P53" s="69">
        <f>N53*0.065*O53</f>
        <v>839408.97154427844</v>
      </c>
      <c r="Q53" s="69">
        <f t="shared" si="9"/>
        <v>5596.0598102951899</v>
      </c>
      <c r="R53" s="69">
        <f>G53*(1+0.06)^K53</f>
        <v>54302.562268913898</v>
      </c>
      <c r="S53" s="77">
        <f t="shared" si="10"/>
        <v>0.10305332891259748</v>
      </c>
    </row>
    <row r="54" spans="1:19" ht="15.5" x14ac:dyDescent="0.35">
      <c r="A54" s="3" t="s">
        <v>149</v>
      </c>
      <c r="B54" s="16" t="s">
        <v>2697</v>
      </c>
      <c r="C54" s="17" t="s">
        <v>1009</v>
      </c>
      <c r="D54" s="17" t="str">
        <f t="shared" si="4"/>
        <v>06/09/88</v>
      </c>
      <c r="E54" s="3" t="s">
        <v>3522</v>
      </c>
      <c r="F54" s="6">
        <v>17863.04</v>
      </c>
      <c r="G54" s="6">
        <f>IF(F54=0,$Y$3,F54)</f>
        <v>17863.04</v>
      </c>
      <c r="H54" s="79">
        <f t="shared" si="0"/>
        <v>12</v>
      </c>
      <c r="I54">
        <f t="shared" si="1"/>
        <v>34</v>
      </c>
      <c r="J54">
        <f t="shared" si="2"/>
        <v>10</v>
      </c>
      <c r="K54">
        <f t="shared" si="5"/>
        <v>31</v>
      </c>
      <c r="L54" s="80">
        <f t="shared" si="6"/>
        <v>10</v>
      </c>
      <c r="M54" s="80">
        <f t="shared" si="7"/>
        <v>41</v>
      </c>
      <c r="N54">
        <f t="shared" si="8"/>
        <v>9974.6282358258268</v>
      </c>
      <c r="O54" s="87">
        <f>(((1-((1+$W$11)/(1+$W$10))^(6*(J54+K54)))/($W$10-$W$11))*(1+$W$10)^(6*(J54+K54)))</f>
        <v>3237.3816560572077</v>
      </c>
      <c r="P54" s="69">
        <f>N54*0.065*O54</f>
        <v>2098959.1009824318</v>
      </c>
      <c r="Q54" s="69">
        <f t="shared" si="9"/>
        <v>13993.060673216212</v>
      </c>
      <c r="R54" s="69">
        <f>G54*(1+0.06)^K54</f>
        <v>108751.9853150803</v>
      </c>
      <c r="S54" s="77">
        <f t="shared" si="10"/>
        <v>0.12866947332202716</v>
      </c>
    </row>
    <row r="55" spans="1:19" ht="15.5" x14ac:dyDescent="0.35">
      <c r="A55" s="3" t="s">
        <v>152</v>
      </c>
      <c r="B55" s="16" t="s">
        <v>2700</v>
      </c>
      <c r="C55" s="17" t="s">
        <v>1012</v>
      </c>
      <c r="D55" s="17" t="str">
        <f t="shared" si="4"/>
        <v>07/02/88</v>
      </c>
      <c r="E55" s="3" t="s">
        <v>3525</v>
      </c>
      <c r="F55" s="6">
        <v>23316.495999999999</v>
      </c>
      <c r="G55" s="6">
        <f>IF(F55=0,$Y$3,F55)</f>
        <v>23316.495999999999</v>
      </c>
      <c r="H55" s="79">
        <f t="shared" si="0"/>
        <v>6</v>
      </c>
      <c r="I55">
        <f t="shared" si="1"/>
        <v>34</v>
      </c>
      <c r="J55">
        <f t="shared" si="2"/>
        <v>10</v>
      </c>
      <c r="K55">
        <f t="shared" si="5"/>
        <v>31</v>
      </c>
      <c r="L55" s="80">
        <f t="shared" si="6"/>
        <v>16</v>
      </c>
      <c r="M55" s="80">
        <f t="shared" si="7"/>
        <v>47</v>
      </c>
      <c r="N55">
        <f t="shared" si="8"/>
        <v>13019.809582362237</v>
      </c>
      <c r="O55" s="87">
        <f>(((1-((1+$W$11)/(1+$W$10))^(6*(J55+K55)))/($W$10-$W$11))*(1+$W$10)^(6*(J55+K55)))</f>
        <v>3237.3816560572077</v>
      </c>
      <c r="P55" s="69">
        <f>N55*0.065*O55</f>
        <v>2739756.0259743286</v>
      </c>
      <c r="Q55" s="69">
        <f t="shared" si="9"/>
        <v>18265.04017316219</v>
      </c>
      <c r="R55" s="69">
        <f>G55*(1+0.06)^K55</f>
        <v>141953.17429682339</v>
      </c>
      <c r="S55" s="77">
        <f t="shared" si="10"/>
        <v>0.12866947332202716</v>
      </c>
    </row>
    <row r="56" spans="1:19" ht="15.5" x14ac:dyDescent="0.35">
      <c r="A56" s="3" t="s">
        <v>153</v>
      </c>
      <c r="B56" s="16" t="s">
        <v>2701</v>
      </c>
      <c r="C56" s="17" t="s">
        <v>1013</v>
      </c>
      <c r="D56" s="17" t="str">
        <f t="shared" si="4"/>
        <v>02/06/88</v>
      </c>
      <c r="E56" s="3" t="s">
        <v>3526</v>
      </c>
      <c r="F56" s="6">
        <v>14412.944</v>
      </c>
      <c r="G56" s="6">
        <f>IF(F56=0,$Y$3,F56)</f>
        <v>14412.944</v>
      </c>
      <c r="H56" s="79">
        <f t="shared" si="0"/>
        <v>12</v>
      </c>
      <c r="I56">
        <f t="shared" si="1"/>
        <v>34</v>
      </c>
      <c r="J56">
        <f t="shared" si="2"/>
        <v>10</v>
      </c>
      <c r="K56">
        <f t="shared" si="5"/>
        <v>31</v>
      </c>
      <c r="L56" s="80">
        <f t="shared" si="6"/>
        <v>10</v>
      </c>
      <c r="M56" s="80">
        <f t="shared" si="7"/>
        <v>41</v>
      </c>
      <c r="N56">
        <f t="shared" si="8"/>
        <v>8048.1126495700864</v>
      </c>
      <c r="O56" s="87">
        <f>(((1-((1+$W$11)/(1+$W$10))^(6*(J56+K56)))/($W$10-$W$11))*(1+$W$10)^(6*(J56+K56)))</f>
        <v>3237.3816560572077</v>
      </c>
      <c r="P56" s="69">
        <f>N56*0.065*O56</f>
        <v>1693562.7967440111</v>
      </c>
      <c r="Q56" s="69">
        <f t="shared" si="9"/>
        <v>11290.418644960075</v>
      </c>
      <c r="R56" s="69">
        <f>G56*(1+0.06)^K56</f>
        <v>87747.45363807473</v>
      </c>
      <c r="S56" s="77">
        <f t="shared" si="10"/>
        <v>0.12866947332202719</v>
      </c>
    </row>
    <row r="57" spans="1:19" ht="15.5" x14ac:dyDescent="0.35">
      <c r="A57" s="3" t="s">
        <v>156</v>
      </c>
      <c r="B57" s="16" t="s">
        <v>2704</v>
      </c>
      <c r="C57" s="17" t="s">
        <v>1016</v>
      </c>
      <c r="D57" s="17" t="str">
        <f t="shared" si="4"/>
        <v>23/09/93</v>
      </c>
      <c r="E57" s="3" t="s">
        <v>3528</v>
      </c>
      <c r="F57" s="6">
        <v>22175.583999999999</v>
      </c>
      <c r="G57" s="6">
        <f>IF(F57=0,$Y$3,F57)</f>
        <v>22175.583999999999</v>
      </c>
      <c r="H57" s="79">
        <f t="shared" si="0"/>
        <v>10</v>
      </c>
      <c r="I57">
        <f t="shared" si="1"/>
        <v>29</v>
      </c>
      <c r="J57">
        <f t="shared" si="2"/>
        <v>10</v>
      </c>
      <c r="K57">
        <f t="shared" si="5"/>
        <v>36</v>
      </c>
      <c r="L57" s="80">
        <f t="shared" si="6"/>
        <v>12</v>
      </c>
      <c r="M57" s="80">
        <f t="shared" si="7"/>
        <v>48</v>
      </c>
      <c r="N57">
        <f t="shared" si="8"/>
        <v>12382.730280642456</v>
      </c>
      <c r="O57" s="87">
        <f>(((1-((1+$W$11)/(1+$W$10))^(6*(J57+K57)))/($W$10-$W$11))*(1+$W$10)^(6*(J57+K57)))</f>
        <v>4984.0692911429642</v>
      </c>
      <c r="P57" s="69">
        <f>N57*0.065*O57</f>
        <v>4011565.0725966506</v>
      </c>
      <c r="Q57" s="69">
        <f t="shared" si="9"/>
        <v>26743.767150644337</v>
      </c>
      <c r="R57" s="69">
        <f>G57*(1+0.06)^K57</f>
        <v>180670.07109186586</v>
      </c>
      <c r="S57" s="77">
        <f t="shared" si="10"/>
        <v>0.14802544211678453</v>
      </c>
    </row>
    <row r="58" spans="1:19" ht="15.5" x14ac:dyDescent="0.35">
      <c r="A58" s="3" t="s">
        <v>158</v>
      </c>
      <c r="B58" s="16" t="s">
        <v>2706</v>
      </c>
      <c r="C58" s="17" t="s">
        <v>1018</v>
      </c>
      <c r="D58" s="17" t="str">
        <f t="shared" si="4"/>
        <v>07/06/90</v>
      </c>
      <c r="E58" s="3" t="s">
        <v>3530</v>
      </c>
      <c r="F58" s="6">
        <v>16070.351999999999</v>
      </c>
      <c r="G58" s="6">
        <f>IF(F58=0,$Y$3,F58)</f>
        <v>16070.351999999999</v>
      </c>
      <c r="H58" s="79">
        <f t="shared" si="0"/>
        <v>11</v>
      </c>
      <c r="I58">
        <f t="shared" si="1"/>
        <v>32</v>
      </c>
      <c r="J58">
        <f t="shared" si="2"/>
        <v>10</v>
      </c>
      <c r="K58">
        <f t="shared" si="5"/>
        <v>33</v>
      </c>
      <c r="L58" s="80">
        <f t="shared" si="6"/>
        <v>11</v>
      </c>
      <c r="M58" s="80">
        <f t="shared" si="7"/>
        <v>44</v>
      </c>
      <c r="N58">
        <f t="shared" si="8"/>
        <v>8973.6006199874173</v>
      </c>
      <c r="O58" s="87">
        <f>(((1-((1+$W$11)/(1+$W$10))^(6*(J58+K58)))/($W$10-$W$11))*(1+$W$10)^(6*(J58+K58)))</f>
        <v>3853.3236192812783</v>
      </c>
      <c r="P58" s="69">
        <f>N58*0.065*O58</f>
        <v>2247582.1692346516</v>
      </c>
      <c r="Q58" s="69">
        <f t="shared" si="9"/>
        <v>14983.881128231011</v>
      </c>
      <c r="R58" s="69">
        <f>G58*(1+0.06)^K58</f>
        <v>109930.68730420998</v>
      </c>
      <c r="S58" s="77">
        <f t="shared" si="10"/>
        <v>0.13630298777962047</v>
      </c>
    </row>
    <row r="59" spans="1:19" ht="15.5" x14ac:dyDescent="0.35">
      <c r="A59" s="3" t="s">
        <v>159</v>
      </c>
      <c r="B59" s="16" t="s">
        <v>2707</v>
      </c>
      <c r="C59" s="17" t="s">
        <v>1019</v>
      </c>
      <c r="D59" s="17" t="str">
        <f t="shared" si="4"/>
        <v>27/12/79</v>
      </c>
      <c r="E59" s="3" t="s">
        <v>3531</v>
      </c>
      <c r="F59" s="6">
        <v>11917.103999999999</v>
      </c>
      <c r="G59" s="6">
        <f>IF(F59=0,$Y$3,F59)</f>
        <v>11917.103999999999</v>
      </c>
      <c r="H59" s="79">
        <f t="shared" si="0"/>
        <v>5</v>
      </c>
      <c r="I59">
        <f t="shared" si="1"/>
        <v>43</v>
      </c>
      <c r="J59">
        <f t="shared" si="2"/>
        <v>10</v>
      </c>
      <c r="K59">
        <f t="shared" si="5"/>
        <v>22</v>
      </c>
      <c r="L59" s="80">
        <f t="shared" si="6"/>
        <v>17</v>
      </c>
      <c r="M59" s="80">
        <f t="shared" si="7"/>
        <v>39</v>
      </c>
      <c r="N59">
        <f t="shared" si="8"/>
        <v>6654.4486295542583</v>
      </c>
      <c r="O59" s="87">
        <f>(((1-((1+$W$11)/(1+$W$10))^(6*(J59+K59)))/($W$10-$W$11))*(1+$W$10)^(6*(J59+K59)))</f>
        <v>1430.2452154182549</v>
      </c>
      <c r="P59" s="69">
        <f>N59*0.065*O59</f>
        <v>618637.06538832525</v>
      </c>
      <c r="Q59" s="69">
        <f t="shared" si="9"/>
        <v>4124.2471025888353</v>
      </c>
      <c r="R59" s="69">
        <f>G59*(1+0.06)^K59</f>
        <v>42943.730161255604</v>
      </c>
      <c r="S59" s="77">
        <f t="shared" si="10"/>
        <v>9.6038399251814066E-2</v>
      </c>
    </row>
    <row r="60" spans="1:19" ht="15.5" x14ac:dyDescent="0.35">
      <c r="A60" s="3" t="s">
        <v>161</v>
      </c>
      <c r="B60" s="16" t="s">
        <v>2709</v>
      </c>
      <c r="C60" s="17" t="s">
        <v>1021</v>
      </c>
      <c r="D60" s="17" t="str">
        <f t="shared" si="4"/>
        <v>11/09/78</v>
      </c>
      <c r="E60" s="3" t="s">
        <v>3533</v>
      </c>
      <c r="F60" s="6">
        <v>15661.471999999998</v>
      </c>
      <c r="G60" s="6">
        <f>IF(F60=0,$Y$3,F60)</f>
        <v>15661.471999999998</v>
      </c>
      <c r="H60" s="79">
        <f t="shared" si="0"/>
        <v>8</v>
      </c>
      <c r="I60">
        <f t="shared" si="1"/>
        <v>44</v>
      </c>
      <c r="J60">
        <f t="shared" si="2"/>
        <v>10</v>
      </c>
      <c r="K60">
        <f t="shared" si="5"/>
        <v>21</v>
      </c>
      <c r="L60" s="80">
        <f t="shared" si="6"/>
        <v>14</v>
      </c>
      <c r="M60" s="80">
        <f t="shared" si="7"/>
        <v>35</v>
      </c>
      <c r="N60">
        <f t="shared" si="8"/>
        <v>8745.2841636023641</v>
      </c>
      <c r="O60" s="87">
        <f>(((1-((1+$W$11)/(1+$W$10))^(6*(J60+K60)))/($W$10-$W$11))*(1+$W$10)^(6*(J60+K60)))</f>
        <v>1300.6996735984885</v>
      </c>
      <c r="P60" s="69">
        <f>N60*0.065*O60</f>
        <v>739374.23671303561</v>
      </c>
      <c r="Q60" s="69">
        <f t="shared" si="9"/>
        <v>4929.1615780869042</v>
      </c>
      <c r="R60" s="69">
        <f>G60*(1+0.06)^K60</f>
        <v>53242.170142164396</v>
      </c>
      <c r="S60" s="77">
        <f t="shared" si="10"/>
        <v>9.2580027540675375E-2</v>
      </c>
    </row>
    <row r="61" spans="1:19" ht="15.5" x14ac:dyDescent="0.35">
      <c r="A61" s="3" t="s">
        <v>162</v>
      </c>
      <c r="B61" s="16" t="s">
        <v>2710</v>
      </c>
      <c r="C61" s="17" t="s">
        <v>1022</v>
      </c>
      <c r="D61" s="17" t="str">
        <f t="shared" si="4"/>
        <v>11/05/88</v>
      </c>
      <c r="E61" s="3" t="s">
        <v>3534</v>
      </c>
      <c r="F61" s="6">
        <v>17736.576000000001</v>
      </c>
      <c r="G61" s="6">
        <f>IF(F61=0,$Y$3,F61)</f>
        <v>17736.576000000001</v>
      </c>
      <c r="H61" s="79">
        <f t="shared" si="0"/>
        <v>11</v>
      </c>
      <c r="I61">
        <f t="shared" si="1"/>
        <v>34</v>
      </c>
      <c r="J61">
        <f t="shared" si="2"/>
        <v>10</v>
      </c>
      <c r="K61">
        <f t="shared" si="5"/>
        <v>31</v>
      </c>
      <c r="L61" s="80">
        <f t="shared" si="6"/>
        <v>11</v>
      </c>
      <c r="M61" s="80">
        <f t="shared" si="7"/>
        <v>42</v>
      </c>
      <c r="N61">
        <f t="shared" si="8"/>
        <v>9904.0113987580335</v>
      </c>
      <c r="O61" s="87">
        <f>(((1-((1+$W$11)/(1+$W$10))^(6*(J61+K61)))/($W$10-$W$11))*(1+$W$10)^(6*(J61+K61)))</f>
        <v>3237.3816560572077</v>
      </c>
      <c r="P61" s="69">
        <f>N61*0.065*O61</f>
        <v>2084099.2135418484</v>
      </c>
      <c r="Q61" s="69">
        <f t="shared" si="9"/>
        <v>13893.994756945656</v>
      </c>
      <c r="R61" s="69">
        <f>G61*(1+0.06)^K61</f>
        <v>107982.05975532751</v>
      </c>
      <c r="S61" s="77">
        <f t="shared" si="10"/>
        <v>0.12866947332202716</v>
      </c>
    </row>
    <row r="62" spans="1:19" ht="15.5" x14ac:dyDescent="0.35">
      <c r="A62" s="3" t="s">
        <v>163</v>
      </c>
      <c r="B62" s="16" t="s">
        <v>2711</v>
      </c>
      <c r="C62" s="17" t="s">
        <v>1023</v>
      </c>
      <c r="D62" s="17" t="str">
        <f t="shared" si="4"/>
        <v>24/09/81</v>
      </c>
      <c r="E62" s="3" t="s">
        <v>3535</v>
      </c>
      <c r="F62" s="6">
        <v>20029.344000000001</v>
      </c>
      <c r="G62" s="6">
        <f>IF(F62=0,$Y$3,F62)</f>
        <v>20029.344000000001</v>
      </c>
      <c r="H62" s="79">
        <f t="shared" si="0"/>
        <v>3</v>
      </c>
      <c r="I62">
        <f t="shared" si="1"/>
        <v>41</v>
      </c>
      <c r="J62">
        <f t="shared" si="2"/>
        <v>10</v>
      </c>
      <c r="K62">
        <f t="shared" si="5"/>
        <v>24</v>
      </c>
      <c r="L62" s="80">
        <f t="shared" si="6"/>
        <v>19</v>
      </c>
      <c r="M62" s="80">
        <f t="shared" si="7"/>
        <v>43</v>
      </c>
      <c r="N62">
        <f t="shared" si="8"/>
        <v>11184.281074636156</v>
      </c>
      <c r="O62" s="87">
        <f>(((1-((1+$W$11)/(1+$W$10))^(6*(J62+K62)))/($W$10-$W$11))*(1+$W$10)^(6*(J62+K62)))</f>
        <v>1724.4052908394829</v>
      </c>
      <c r="P62" s="69">
        <f>N62*0.065*O62</f>
        <v>1253605.1748570015</v>
      </c>
      <c r="Q62" s="69">
        <f t="shared" si="9"/>
        <v>8357.3678323800104</v>
      </c>
      <c r="R62" s="69">
        <f>G62*(1+0.06)^K62</f>
        <v>81097.504763462188</v>
      </c>
      <c r="S62" s="77">
        <f t="shared" si="10"/>
        <v>0.10305332891259748</v>
      </c>
    </row>
    <row r="63" spans="1:19" ht="15.5" x14ac:dyDescent="0.35">
      <c r="A63" s="3" t="s">
        <v>164</v>
      </c>
      <c r="B63" s="16" t="s">
        <v>2712</v>
      </c>
      <c r="C63" s="17" t="s">
        <v>1024</v>
      </c>
      <c r="D63" s="17" t="str">
        <f t="shared" si="4"/>
        <v>03/01/89</v>
      </c>
      <c r="E63" s="3" t="s">
        <v>3536</v>
      </c>
      <c r="F63" s="6">
        <v>8193.7119999999995</v>
      </c>
      <c r="G63" s="6">
        <f>IF(F63=0,$Y$3,F63)</f>
        <v>8193.7119999999995</v>
      </c>
      <c r="H63" s="79">
        <f t="shared" si="0"/>
        <v>8</v>
      </c>
      <c r="I63">
        <f t="shared" si="1"/>
        <v>33</v>
      </c>
      <c r="J63">
        <f t="shared" si="2"/>
        <v>10</v>
      </c>
      <c r="K63">
        <f t="shared" si="5"/>
        <v>32</v>
      </c>
      <c r="L63" s="80">
        <f t="shared" si="6"/>
        <v>14</v>
      </c>
      <c r="M63" s="80">
        <f t="shared" si="7"/>
        <v>46</v>
      </c>
      <c r="N63">
        <f t="shared" si="8"/>
        <v>4575.325984346724</v>
      </c>
      <c r="O63" s="87">
        <f>(((1-((1+$W$11)/(1+$W$10))^(6*(J63+K63)))/($W$10-$W$11))*(1+$W$10)^(6*(J63+K63)))</f>
        <v>3532.9398561414855</v>
      </c>
      <c r="P63" s="69">
        <f>N63*0.065*O63</f>
        <v>1050682.8491209906</v>
      </c>
      <c r="Q63" s="69">
        <f t="shared" si="9"/>
        <v>7004.5523274732705</v>
      </c>
      <c r="R63" s="69">
        <f>G63*(1+0.06)^K63</f>
        <v>52877.191896004078</v>
      </c>
      <c r="S63" s="77">
        <f t="shared" si="10"/>
        <v>0.13246831150280133</v>
      </c>
    </row>
    <row r="64" spans="1:19" ht="15.5" x14ac:dyDescent="0.35">
      <c r="A64" s="3" t="s">
        <v>169</v>
      </c>
      <c r="B64" s="16" t="s">
        <v>2717</v>
      </c>
      <c r="C64" s="17" t="s">
        <v>1029</v>
      </c>
      <c r="D64" s="17" t="str">
        <f t="shared" si="4"/>
        <v>06/04/76</v>
      </c>
      <c r="E64" s="3" t="s">
        <v>3539</v>
      </c>
      <c r="F64" s="6">
        <v>8401.3439999999991</v>
      </c>
      <c r="G64" s="6">
        <f>IF(F64=0,$Y$3,F64)</f>
        <v>8401.3439999999991</v>
      </c>
      <c r="H64" s="79">
        <f t="shared" si="0"/>
        <v>0</v>
      </c>
      <c r="I64">
        <f t="shared" si="1"/>
        <v>46</v>
      </c>
      <c r="J64">
        <f t="shared" si="2"/>
        <v>10</v>
      </c>
      <c r="K64">
        <f t="shared" si="5"/>
        <v>19</v>
      </c>
      <c r="L64" s="80">
        <f t="shared" si="6"/>
        <v>22</v>
      </c>
      <c r="M64" s="80">
        <f t="shared" si="7"/>
        <v>41</v>
      </c>
      <c r="N64">
        <f t="shared" si="8"/>
        <v>4691.2666086671634</v>
      </c>
      <c r="O64" s="87">
        <f>(((1-((1+$W$11)/(1+$W$10))^(6*(J64+K64)))/($W$10-$W$11))*(1+$W$10)^(6*(J64+K64)))</f>
        <v>1072.3399666941964</v>
      </c>
      <c r="P64" s="69">
        <f>N64*0.065*O64</f>
        <v>326991.12412796321</v>
      </c>
      <c r="Q64" s="69">
        <f t="shared" si="9"/>
        <v>2179.9408275197547</v>
      </c>
      <c r="R64" s="69">
        <f>G64*(1+0.06)^K64</f>
        <v>25419.102223266582</v>
      </c>
      <c r="S64" s="77">
        <f t="shared" si="10"/>
        <v>8.5759945743654711E-2</v>
      </c>
    </row>
    <row r="65" spans="1:19" ht="15.5" x14ac:dyDescent="0.35">
      <c r="A65" s="3" t="s">
        <v>170</v>
      </c>
      <c r="B65" s="16" t="s">
        <v>2718</v>
      </c>
      <c r="C65" s="17" t="s">
        <v>1030</v>
      </c>
      <c r="D65" s="17" t="str">
        <f t="shared" si="4"/>
        <v>20/08/61</v>
      </c>
      <c r="E65" s="3" t="s">
        <v>3540</v>
      </c>
      <c r="F65" s="6">
        <v>5639.808</v>
      </c>
      <c r="G65" s="6">
        <f>IF(F65=0,$Y$3,F65)</f>
        <v>5639.808</v>
      </c>
      <c r="H65" s="79">
        <f t="shared" si="0"/>
        <v>11</v>
      </c>
      <c r="I65">
        <f t="shared" si="1"/>
        <v>61</v>
      </c>
      <c r="J65">
        <f t="shared" si="2"/>
        <v>10</v>
      </c>
      <c r="K65">
        <f t="shared" si="5"/>
        <v>4</v>
      </c>
      <c r="L65" s="80">
        <f t="shared" si="6"/>
        <v>11</v>
      </c>
      <c r="M65" s="80">
        <f t="shared" si="7"/>
        <v>15</v>
      </c>
      <c r="N65">
        <f t="shared" si="8"/>
        <v>3149.2393300040972</v>
      </c>
      <c r="O65" s="87">
        <f>(((1-((1+$W$11)/(1+$W$10))^(6*(J65+K65)))/($W$10-$W$11))*(1+$W$10)^(6*(J65+K65)))</f>
        <v>200.84542022923995</v>
      </c>
      <c r="P65" s="69">
        <f>N65*0.065*O65</f>
        <v>41113.169281412993</v>
      </c>
      <c r="Q65" s="69">
        <f t="shared" si="9"/>
        <v>274.08779520941994</v>
      </c>
      <c r="R65" s="69">
        <f>G65*(1+0.06)^K65</f>
        <v>7120.1276588236815</v>
      </c>
      <c r="S65" s="77">
        <f t="shared" si="10"/>
        <v>3.8494786658741183E-2</v>
      </c>
    </row>
    <row r="66" spans="1:19" ht="15.5" x14ac:dyDescent="0.35">
      <c r="A66" s="3" t="s">
        <v>172</v>
      </c>
      <c r="B66" s="16" t="s">
        <v>2720</v>
      </c>
      <c r="C66" s="17" t="s">
        <v>1032</v>
      </c>
      <c r="D66" s="17" t="str">
        <f t="shared" si="4"/>
        <v>20/04/85</v>
      </c>
      <c r="E66" s="3" t="s">
        <v>3541</v>
      </c>
      <c r="F66" s="6">
        <v>15991.919999999998</v>
      </c>
      <c r="G66" s="6">
        <f>IF(F66=0,$Y$3,F66)</f>
        <v>15991.919999999998</v>
      </c>
      <c r="H66" s="79">
        <f t="shared" ref="H66:H129" si="11">_xlfn.NUMBERVALUE(MID(B66,3,2))</f>
        <v>1</v>
      </c>
      <c r="I66">
        <f t="shared" ref="I66:I129" si="12">2022-YEAR(D66)</f>
        <v>37</v>
      </c>
      <c r="J66">
        <f t="shared" ref="J66:J129" si="13">2022-YEAR(E66)</f>
        <v>10</v>
      </c>
      <c r="K66">
        <f t="shared" si="5"/>
        <v>28</v>
      </c>
      <c r="L66" s="80">
        <f t="shared" si="6"/>
        <v>21</v>
      </c>
      <c r="M66" s="80">
        <f t="shared" si="7"/>
        <v>49</v>
      </c>
      <c r="N66">
        <f t="shared" si="8"/>
        <v>8929.8046008444107</v>
      </c>
      <c r="O66" s="87">
        <f>(((1-((1+$W$11)/(1+$W$10))^(6*(J66+K66)))/($W$10-$W$11))*(1+$W$10)^(6*(J66+K66)))</f>
        <v>2481.8865373152853</v>
      </c>
      <c r="P66" s="69">
        <f>N66*0.065*O66</f>
        <v>1440579.5182799695</v>
      </c>
      <c r="Q66" s="69">
        <f t="shared" si="9"/>
        <v>9603.8634551997966</v>
      </c>
      <c r="R66" s="69">
        <f>G66*(1+0.06)^K66</f>
        <v>81745.684725823245</v>
      </c>
      <c r="S66" s="77">
        <f t="shared" si="10"/>
        <v>0.11748465362314058</v>
      </c>
    </row>
    <row r="67" spans="1:19" ht="15.5" x14ac:dyDescent="0.35">
      <c r="A67" s="3" t="s">
        <v>175</v>
      </c>
      <c r="B67" s="16" t="s">
        <v>2723</v>
      </c>
      <c r="C67" s="17" t="s">
        <v>1035</v>
      </c>
      <c r="D67" s="17" t="str">
        <f t="shared" ref="D67:D130" si="14">_xlfn.CONCAT(MID(C67,5,2),"/",MID(C67,3,2),"/",MID(C67,1,2))</f>
        <v>03/12/83</v>
      </c>
      <c r="E67" s="3" t="s">
        <v>3543</v>
      </c>
      <c r="F67" s="6">
        <v>12196.48</v>
      </c>
      <c r="G67" s="6">
        <f>IF(F67=0,$Y$3,F67)</f>
        <v>12196.48</v>
      </c>
      <c r="H67" s="79">
        <f t="shared" si="11"/>
        <v>6</v>
      </c>
      <c r="I67">
        <f t="shared" si="12"/>
        <v>39</v>
      </c>
      <c r="J67">
        <f t="shared" si="13"/>
        <v>9</v>
      </c>
      <c r="K67">
        <f t="shared" ref="K67:K130" si="15">65-I67</f>
        <v>26</v>
      </c>
      <c r="L67" s="80">
        <f t="shared" ref="L67:L130" si="16">IF(H67&gt;22,122-H67,22-H67)</f>
        <v>16</v>
      </c>
      <c r="M67" s="80">
        <f t="shared" ref="M67:M130" si="17">L67+K67</f>
        <v>42</v>
      </c>
      <c r="N67">
        <f t="shared" ref="N67:N130" si="18">G67*(1+0.06)^-J67</f>
        <v>7219.0777724746786</v>
      </c>
      <c r="O67" s="87">
        <f>(((1-((1+$W$11)/(1+$W$10))^(6*(J67+K67)))/($W$10-$W$11))*(1+$W$10)^(6*(J67+K67)))</f>
        <v>1890.963685662718</v>
      </c>
      <c r="P67" s="69">
        <f>N67*0.065*O67</f>
        <v>887315.90426209394</v>
      </c>
      <c r="Q67" s="69">
        <f t="shared" ref="Q67:Q130" si="19">P67/150</f>
        <v>5915.4393617472933</v>
      </c>
      <c r="R67" s="69">
        <f>G67*(1+0.06)^K67</f>
        <v>55486.45831969328</v>
      </c>
      <c r="S67" s="77">
        <f t="shared" si="10"/>
        <v>0.10661050535366001</v>
      </c>
    </row>
    <row r="68" spans="1:19" ht="15.5" x14ac:dyDescent="0.35">
      <c r="A68" s="3" t="s">
        <v>176</v>
      </c>
      <c r="B68" s="16" t="s">
        <v>2724</v>
      </c>
      <c r="C68" s="17" t="s">
        <v>1036</v>
      </c>
      <c r="D68" s="17" t="str">
        <f t="shared" si="14"/>
        <v>07/12/87</v>
      </c>
      <c r="E68" s="3" t="s">
        <v>3543</v>
      </c>
      <c r="F68" s="6">
        <v>9900.9759999999987</v>
      </c>
      <c r="G68" s="6">
        <f>IF(F68=0,$Y$3,F68)</f>
        <v>9900.9759999999987</v>
      </c>
      <c r="H68" s="79">
        <f t="shared" si="11"/>
        <v>7</v>
      </c>
      <c r="I68">
        <f t="shared" si="12"/>
        <v>35</v>
      </c>
      <c r="J68">
        <f t="shared" si="13"/>
        <v>9</v>
      </c>
      <c r="K68">
        <f t="shared" si="15"/>
        <v>30</v>
      </c>
      <c r="L68" s="80">
        <f t="shared" si="16"/>
        <v>15</v>
      </c>
      <c r="M68" s="80">
        <f t="shared" si="17"/>
        <v>45</v>
      </c>
      <c r="N68">
        <f t="shared" si="18"/>
        <v>5860.3724818476512</v>
      </c>
      <c r="O68" s="87">
        <f>(((1-((1+$W$11)/(1+$W$10))^(6*(J68+K68)))/($W$10-$W$11))*(1+$W$10)^(6*(J68+K68)))</f>
        <v>2713.5031944291845</v>
      </c>
      <c r="P68" s="69">
        <f>N68*0.065*O68</f>
        <v>1033639.0642525019</v>
      </c>
      <c r="Q68" s="69">
        <f t="shared" si="19"/>
        <v>6890.9270950166792</v>
      </c>
      <c r="R68" s="69">
        <f>G68*(1+0.06)^K68</f>
        <v>56866.168259226026</v>
      </c>
      <c r="S68" s="77">
        <f t="shared" si="10"/>
        <v>0.12117797463694396</v>
      </c>
    </row>
    <row r="69" spans="1:19" ht="15.5" x14ac:dyDescent="0.35">
      <c r="A69" s="3" t="s">
        <v>178</v>
      </c>
      <c r="B69" s="16" t="s">
        <v>2726</v>
      </c>
      <c r="C69" s="17" t="s">
        <v>929</v>
      </c>
      <c r="D69" s="17" t="str">
        <f t="shared" si="14"/>
        <v>25/11/78</v>
      </c>
      <c r="E69" s="3" t="s">
        <v>3544</v>
      </c>
      <c r="F69" s="6">
        <v>17572.719999999998</v>
      </c>
      <c r="G69" s="6">
        <f>IF(F69=0,$Y$3,F69)</f>
        <v>17572.719999999998</v>
      </c>
      <c r="H69" s="79">
        <f t="shared" si="11"/>
        <v>5</v>
      </c>
      <c r="I69">
        <f t="shared" si="12"/>
        <v>44</v>
      </c>
      <c r="J69">
        <f t="shared" si="13"/>
        <v>9</v>
      </c>
      <c r="K69">
        <f t="shared" si="15"/>
        <v>21</v>
      </c>
      <c r="L69" s="80">
        <f t="shared" si="16"/>
        <v>17</v>
      </c>
      <c r="M69" s="80">
        <f t="shared" si="17"/>
        <v>38</v>
      </c>
      <c r="N69">
        <f t="shared" si="18"/>
        <v>10401.265968043339</v>
      </c>
      <c r="O69" s="87">
        <f>(((1-((1+$W$11)/(1+$W$10))^(6*(J69+K69)))/($W$10-$W$11))*(1+$W$10)^(6*(J69+K69)))</f>
        <v>1181.6655698699749</v>
      </c>
      <c r="P69" s="69">
        <f>N69*0.065*O69</f>
        <v>798903.16203731205</v>
      </c>
      <c r="Q69" s="69">
        <f t="shared" si="19"/>
        <v>5326.0210802487472</v>
      </c>
      <c r="R69" s="69">
        <f>G69*(1+0.06)^K69</f>
        <v>59739.579274580014</v>
      </c>
      <c r="S69" s="77">
        <f t="shared" ref="S69:S132" si="20">Q69/R69</f>
        <v>8.9153977060481907E-2</v>
      </c>
    </row>
    <row r="70" spans="1:19" ht="15.5" x14ac:dyDescent="0.35">
      <c r="A70" s="3" t="s">
        <v>184</v>
      </c>
      <c r="B70" s="16" t="s">
        <v>2732</v>
      </c>
      <c r="C70" s="17" t="s">
        <v>1043</v>
      </c>
      <c r="D70" s="17" t="str">
        <f t="shared" si="14"/>
        <v>26/02/80</v>
      </c>
      <c r="E70" s="3" t="s">
        <v>3547</v>
      </c>
      <c r="F70" s="6">
        <v>5639.808</v>
      </c>
      <c r="G70" s="6">
        <f>IF(F70=0,$Y$3,F70)</f>
        <v>5639.808</v>
      </c>
      <c r="H70" s="79">
        <f t="shared" si="11"/>
        <v>2</v>
      </c>
      <c r="I70">
        <f t="shared" si="12"/>
        <v>42</v>
      </c>
      <c r="J70">
        <f t="shared" si="13"/>
        <v>9</v>
      </c>
      <c r="K70">
        <f t="shared" si="15"/>
        <v>23</v>
      </c>
      <c r="L70" s="80">
        <f t="shared" si="16"/>
        <v>20</v>
      </c>
      <c r="M70" s="80">
        <f t="shared" si="17"/>
        <v>43</v>
      </c>
      <c r="N70">
        <f t="shared" si="18"/>
        <v>3338.1936898043432</v>
      </c>
      <c r="O70" s="87">
        <f>(((1-((1+$W$11)/(1+$W$10))^(6*(J70+K70)))/($W$10-$W$11))*(1+$W$10)^(6*(J70+K70)))</f>
        <v>1430.2452154182549</v>
      </c>
      <c r="P70" s="69">
        <f>N70*0.065*O70</f>
        <v>310338.31094383472</v>
      </c>
      <c r="Q70" s="69">
        <f t="shared" si="19"/>
        <v>2068.9220729588983</v>
      </c>
      <c r="R70" s="69">
        <f>G70*(1+0.06)^K70</f>
        <v>21542.654699337028</v>
      </c>
      <c r="S70" s="77">
        <f t="shared" si="20"/>
        <v>9.603839925181408E-2</v>
      </c>
    </row>
    <row r="71" spans="1:19" ht="15.5" x14ac:dyDescent="0.35">
      <c r="A71" s="3" t="s">
        <v>185</v>
      </c>
      <c r="B71" s="16" t="s">
        <v>2733</v>
      </c>
      <c r="C71" s="17" t="s">
        <v>1044</v>
      </c>
      <c r="D71" s="17" t="str">
        <f t="shared" si="14"/>
        <v>27/09/86</v>
      </c>
      <c r="E71" s="3" t="s">
        <v>3548</v>
      </c>
      <c r="F71" s="6">
        <v>13235.248</v>
      </c>
      <c r="G71" s="6">
        <f>IF(F71=0,$Y$3,F71)</f>
        <v>13235.248</v>
      </c>
      <c r="H71" s="79">
        <f t="shared" si="11"/>
        <v>5</v>
      </c>
      <c r="I71">
        <f t="shared" si="12"/>
        <v>36</v>
      </c>
      <c r="J71">
        <f t="shared" si="13"/>
        <v>9</v>
      </c>
      <c r="K71">
        <f t="shared" si="15"/>
        <v>29</v>
      </c>
      <c r="L71" s="80">
        <f t="shared" si="16"/>
        <v>17</v>
      </c>
      <c r="M71" s="80">
        <f t="shared" si="17"/>
        <v>46</v>
      </c>
      <c r="N71">
        <f t="shared" si="18"/>
        <v>7833.9229556388354</v>
      </c>
      <c r="O71" s="87">
        <f>(((1-((1+$W$11)/(1+$W$10))^(6*(J71+K71)))/($W$10-$W$11))*(1+$W$10)^(6*(J71+K71)))</f>
        <v>2481.8865373152853</v>
      </c>
      <c r="P71" s="69">
        <f>N71*0.065*O71</f>
        <v>1263789.0146677375</v>
      </c>
      <c r="Q71" s="69">
        <f t="shared" si="19"/>
        <v>8425.2600977849161</v>
      </c>
      <c r="R71" s="69">
        <f>G71*(1+0.06)^K71</f>
        <v>71713.707603130068</v>
      </c>
      <c r="S71" s="77">
        <f t="shared" si="20"/>
        <v>0.11748465362314053</v>
      </c>
    </row>
    <row r="72" spans="1:19" ht="15.5" x14ac:dyDescent="0.35">
      <c r="A72" s="3" t="s">
        <v>187</v>
      </c>
      <c r="B72" s="16" t="s">
        <v>2735</v>
      </c>
      <c r="C72" s="17" t="s">
        <v>1046</v>
      </c>
      <c r="D72" s="17" t="str">
        <f t="shared" si="14"/>
        <v>27/04/87</v>
      </c>
      <c r="E72" s="3" t="s">
        <v>3549</v>
      </c>
      <c r="F72" s="6">
        <v>19263.263999999999</v>
      </c>
      <c r="G72" s="6">
        <f>IF(F72=0,$Y$3,F72)</f>
        <v>19263.263999999999</v>
      </c>
      <c r="H72" s="79">
        <f t="shared" si="11"/>
        <v>5</v>
      </c>
      <c r="I72">
        <f t="shared" si="12"/>
        <v>35</v>
      </c>
      <c r="J72">
        <f t="shared" si="13"/>
        <v>9</v>
      </c>
      <c r="K72">
        <f t="shared" si="15"/>
        <v>30</v>
      </c>
      <c r="L72" s="80">
        <f t="shared" si="16"/>
        <v>17</v>
      </c>
      <c r="M72" s="80">
        <f t="shared" si="17"/>
        <v>47</v>
      </c>
      <c r="N72">
        <f t="shared" si="18"/>
        <v>11401.896364173243</v>
      </c>
      <c r="O72" s="87">
        <f>(((1-((1+$W$11)/(1+$W$10))^(6*(J72+K72)))/($W$10-$W$11))*(1+$W$10)^(6*(J72+K72)))</f>
        <v>2713.5031944291845</v>
      </c>
      <c r="P72" s="69">
        <f>N72*0.065*O72</f>
        <v>2011040.343437749</v>
      </c>
      <c r="Q72" s="69">
        <f t="shared" si="19"/>
        <v>13406.935622918327</v>
      </c>
      <c r="R72" s="69">
        <f>G72*(1+0.06)^K72</f>
        <v>110638.38674549776</v>
      </c>
      <c r="S72" s="77">
        <f t="shared" si="20"/>
        <v>0.12117797463694398</v>
      </c>
    </row>
    <row r="73" spans="1:19" ht="15.5" x14ac:dyDescent="0.35">
      <c r="A73" s="3" t="s">
        <v>190</v>
      </c>
      <c r="B73" s="16" t="s">
        <v>2738</v>
      </c>
      <c r="C73" s="17" t="s">
        <v>1049</v>
      </c>
      <c r="D73" s="17" t="str">
        <f t="shared" si="14"/>
        <v>04/08/85</v>
      </c>
      <c r="E73" s="3" t="s">
        <v>3551</v>
      </c>
      <c r="F73" s="6">
        <v>24264.671999999999</v>
      </c>
      <c r="G73" s="6">
        <f>IF(F73=0,$Y$3,F73)</f>
        <v>24264.671999999999</v>
      </c>
      <c r="H73" s="79">
        <f t="shared" si="11"/>
        <v>4</v>
      </c>
      <c r="I73">
        <f t="shared" si="12"/>
        <v>37</v>
      </c>
      <c r="J73">
        <f t="shared" si="13"/>
        <v>9</v>
      </c>
      <c r="K73">
        <f t="shared" si="15"/>
        <v>28</v>
      </c>
      <c r="L73" s="80">
        <f t="shared" si="16"/>
        <v>18</v>
      </c>
      <c r="M73" s="80">
        <f t="shared" si="17"/>
        <v>46</v>
      </c>
      <c r="N73">
        <f t="shared" si="18"/>
        <v>14362.222074860018</v>
      </c>
      <c r="O73" s="87">
        <f>(((1-((1+$W$11)/(1+$W$10))^(6*(J73+K73)))/($W$10-$W$11))*(1+$W$10)^(6*(J73+K73)))</f>
        <v>2268.4845089511282</v>
      </c>
      <c r="P73" s="69">
        <f>N73*0.065*O73</f>
        <v>2117731.0889108321</v>
      </c>
      <c r="Q73" s="69">
        <f t="shared" si="19"/>
        <v>14118.207259405548</v>
      </c>
      <c r="R73" s="69">
        <f>G73*(1+0.06)^K73</f>
        <v>124033.40107301131</v>
      </c>
      <c r="S73" s="77">
        <f t="shared" si="20"/>
        <v>0.11382584962815762</v>
      </c>
    </row>
    <row r="74" spans="1:19" ht="15.5" x14ac:dyDescent="0.35">
      <c r="A74" s="3" t="s">
        <v>195</v>
      </c>
      <c r="B74" s="16" t="s">
        <v>2743</v>
      </c>
      <c r="C74" s="17" t="s">
        <v>1054</v>
      </c>
      <c r="D74" s="17" t="str">
        <f t="shared" si="14"/>
        <v>27/11/88</v>
      </c>
      <c r="E74" s="3" t="s">
        <v>3553</v>
      </c>
      <c r="F74" s="6">
        <v>22150.047999999999</v>
      </c>
      <c r="G74" s="6">
        <f>IF(F74=0,$Y$3,F74)</f>
        <v>22150.047999999999</v>
      </c>
      <c r="H74" s="79">
        <f t="shared" si="11"/>
        <v>6</v>
      </c>
      <c r="I74">
        <f t="shared" si="12"/>
        <v>34</v>
      </c>
      <c r="J74">
        <f t="shared" si="13"/>
        <v>9</v>
      </c>
      <c r="K74">
        <f t="shared" si="15"/>
        <v>31</v>
      </c>
      <c r="L74" s="80">
        <f t="shared" si="16"/>
        <v>16</v>
      </c>
      <c r="M74" s="80">
        <f t="shared" si="17"/>
        <v>47</v>
      </c>
      <c r="N74">
        <f t="shared" si="18"/>
        <v>13110.579378316301</v>
      </c>
      <c r="O74" s="87">
        <f>(((1-((1+$W$11)/(1+$W$10))^(6*(J74+K74)))/($W$10-$W$11))*(1+$W$10)^(6*(J74+K74)))</f>
        <v>2964.8060935111685</v>
      </c>
      <c r="P74" s="69">
        <f>N74*0.065*O74</f>
        <v>2526571.1659691124</v>
      </c>
      <c r="Q74" s="69">
        <f t="shared" si="19"/>
        <v>16843.807773127417</v>
      </c>
      <c r="R74" s="69">
        <f>G74*(1+0.06)^K74</f>
        <v>134851.72147766131</v>
      </c>
      <c r="S74" s="77">
        <f t="shared" si="20"/>
        <v>0.12490613830182105</v>
      </c>
    </row>
    <row r="75" spans="1:19" ht="15.5" x14ac:dyDescent="0.35">
      <c r="A75" s="3" t="s">
        <v>197</v>
      </c>
      <c r="B75" s="16" t="s">
        <v>2745</v>
      </c>
      <c r="C75" s="17" t="s">
        <v>1056</v>
      </c>
      <c r="D75" s="17" t="str">
        <f t="shared" si="14"/>
        <v>27/11/82</v>
      </c>
      <c r="E75" s="3" t="s">
        <v>3554</v>
      </c>
      <c r="F75" s="6">
        <v>22966.896000000001</v>
      </c>
      <c r="G75" s="6">
        <f>IF(F75=0,$Y$3,F75)</f>
        <v>22966.896000000001</v>
      </c>
      <c r="H75" s="79">
        <f t="shared" si="11"/>
        <v>3</v>
      </c>
      <c r="I75">
        <f t="shared" si="12"/>
        <v>40</v>
      </c>
      <c r="J75">
        <f t="shared" si="13"/>
        <v>1</v>
      </c>
      <c r="K75">
        <f t="shared" si="15"/>
        <v>25</v>
      </c>
      <c r="L75" s="80">
        <f t="shared" si="16"/>
        <v>19</v>
      </c>
      <c r="M75" s="80">
        <f t="shared" si="17"/>
        <v>44</v>
      </c>
      <c r="N75">
        <f t="shared" si="18"/>
        <v>21666.883018867924</v>
      </c>
      <c r="O75" s="87">
        <f>(((1-((1+$W$11)/(1+$W$10))^(6*(J75+K75)))/($W$10-$W$11))*(1+$W$10)^(6*(J75+K75)))</f>
        <v>795.44548998043808</v>
      </c>
      <c r="P75" s="69">
        <f>N75*0.065*O75</f>
        <v>1120263.584653995</v>
      </c>
      <c r="Q75" s="69">
        <f t="shared" si="19"/>
        <v>7468.4238976933002</v>
      </c>
      <c r="R75" s="69">
        <f>G75*(1+0.06)^K75</f>
        <v>98570.948465793845</v>
      </c>
      <c r="S75" s="77">
        <f t="shared" si="20"/>
        <v>7.5766988285447992E-2</v>
      </c>
    </row>
    <row r="76" spans="1:19" ht="15.5" x14ac:dyDescent="0.35">
      <c r="A76" s="3" t="s">
        <v>198</v>
      </c>
      <c r="B76" s="16" t="s">
        <v>2746</v>
      </c>
      <c r="C76" s="17" t="s">
        <v>1057</v>
      </c>
      <c r="D76" s="17" t="str">
        <f t="shared" si="14"/>
        <v>19/03/81</v>
      </c>
      <c r="E76" s="3" t="s">
        <v>3555</v>
      </c>
      <c r="F76" s="6">
        <v>11312.751999999999</v>
      </c>
      <c r="G76" s="6">
        <f>IF(F76=0,$Y$3,F76)</f>
        <v>11312.751999999999</v>
      </c>
      <c r="H76" s="79">
        <f t="shared" si="11"/>
        <v>1</v>
      </c>
      <c r="I76">
        <f t="shared" si="12"/>
        <v>41</v>
      </c>
      <c r="J76">
        <f t="shared" si="13"/>
        <v>9</v>
      </c>
      <c r="K76">
        <f t="shared" si="15"/>
        <v>24</v>
      </c>
      <c r="L76" s="80">
        <f t="shared" si="16"/>
        <v>21</v>
      </c>
      <c r="M76" s="80">
        <f t="shared" si="17"/>
        <v>45</v>
      </c>
      <c r="N76">
        <f t="shared" si="18"/>
        <v>6696.0005270962156</v>
      </c>
      <c r="O76" s="87">
        <f>(((1-((1+$W$11)/(1+$W$10))^(6*(J76+K76)))/($W$10-$W$11))*(1+$W$10)^(6*(J76+K76)))</f>
        <v>1571.1687390454781</v>
      </c>
      <c r="P76" s="69">
        <f>N76*0.065*O76</f>
        <v>683835.53581236524</v>
      </c>
      <c r="Q76" s="69">
        <f t="shared" si="19"/>
        <v>4558.9035720824349</v>
      </c>
      <c r="R76" s="69">
        <f>G76*(1+0.06)^K76</f>
        <v>45804.593460867531</v>
      </c>
      <c r="S76" s="77">
        <f t="shared" si="20"/>
        <v>9.9529397111171092E-2</v>
      </c>
    </row>
    <row r="77" spans="1:19" ht="15.5" x14ac:dyDescent="0.35">
      <c r="A77" s="3" t="s">
        <v>201</v>
      </c>
      <c r="B77" s="16" t="s">
        <v>2749</v>
      </c>
      <c r="C77" s="17" t="s">
        <v>1060</v>
      </c>
      <c r="D77" s="17" t="str">
        <f t="shared" si="14"/>
        <v>29/08/81</v>
      </c>
      <c r="E77" s="3" t="s">
        <v>3558</v>
      </c>
      <c r="F77" s="6">
        <v>20103.215999999997</v>
      </c>
      <c r="G77" s="6">
        <f>IF(F77=0,$Y$3,F77)</f>
        <v>20103.215999999997</v>
      </c>
      <c r="H77" s="79">
        <f t="shared" si="11"/>
        <v>12</v>
      </c>
      <c r="I77">
        <f t="shared" si="12"/>
        <v>41</v>
      </c>
      <c r="J77">
        <f t="shared" si="13"/>
        <v>9</v>
      </c>
      <c r="K77">
        <f t="shared" si="15"/>
        <v>24</v>
      </c>
      <c r="L77" s="80">
        <f t="shared" si="16"/>
        <v>10</v>
      </c>
      <c r="M77" s="80">
        <f t="shared" si="17"/>
        <v>34</v>
      </c>
      <c r="N77">
        <f t="shared" si="18"/>
        <v>11899.062662412212</v>
      </c>
      <c r="O77" s="87">
        <f>(((1-((1+$W$11)/(1+$W$10))^(6*(J77+K77)))/($W$10-$W$11))*(1+$W$10)^(6*(J77+K77)))</f>
        <v>1571.1687390454781</v>
      </c>
      <c r="P77" s="69">
        <f>N77*0.065*O77</f>
        <v>1215203.2931431462</v>
      </c>
      <c r="Q77" s="69">
        <f t="shared" si="19"/>
        <v>8101.3552876209751</v>
      </c>
      <c r="R77" s="69">
        <f>G77*(1+0.06)^K77</f>
        <v>81396.607663281888</v>
      </c>
      <c r="S77" s="77">
        <f t="shared" si="20"/>
        <v>9.9529397111171092E-2</v>
      </c>
    </row>
    <row r="78" spans="1:19" ht="15.5" x14ac:dyDescent="0.35">
      <c r="A78" s="3" t="s">
        <v>203</v>
      </c>
      <c r="B78" s="16" t="s">
        <v>2751</v>
      </c>
      <c r="C78" s="17" t="s">
        <v>1062</v>
      </c>
      <c r="D78" s="17" t="str">
        <f t="shared" si="14"/>
        <v>30/07/71</v>
      </c>
      <c r="E78" s="3" t="s">
        <v>3559</v>
      </c>
      <c r="F78" s="6">
        <v>37314.480000000003</v>
      </c>
      <c r="G78" s="6">
        <f>IF(F78=0,$Y$3,F78)</f>
        <v>37314.480000000003</v>
      </c>
      <c r="H78" s="79">
        <f t="shared" si="11"/>
        <v>13</v>
      </c>
      <c r="I78">
        <f t="shared" si="12"/>
        <v>51</v>
      </c>
      <c r="J78">
        <f t="shared" si="13"/>
        <v>9</v>
      </c>
      <c r="K78">
        <f t="shared" si="15"/>
        <v>14</v>
      </c>
      <c r="L78" s="80">
        <f t="shared" si="16"/>
        <v>9</v>
      </c>
      <c r="M78" s="80">
        <f t="shared" si="17"/>
        <v>23</v>
      </c>
      <c r="N78">
        <f t="shared" si="18"/>
        <v>22086.383379421848</v>
      </c>
      <c r="O78" s="87">
        <f>(((1-((1+$W$11)/(1+$W$10))^(6*(J78+K78)))/($W$10-$W$11))*(1+$W$10)^(6*(J78+K78)))</f>
        <v>582.2320727785642</v>
      </c>
      <c r="P78" s="69">
        <f>N78*0.065*O78</f>
        <v>835861.05038688274</v>
      </c>
      <c r="Q78" s="69">
        <f t="shared" si="19"/>
        <v>5572.407002579218</v>
      </c>
      <c r="R78" s="69">
        <f>G78*(1+0.06)^K78</f>
        <v>84364.455438919424</v>
      </c>
      <c r="S78" s="77">
        <f t="shared" si="20"/>
        <v>6.6051596890987913E-2</v>
      </c>
    </row>
    <row r="79" spans="1:19" ht="15.5" x14ac:dyDescent="0.35">
      <c r="A79" s="3" t="s">
        <v>204</v>
      </c>
      <c r="B79" s="16" t="s">
        <v>2752</v>
      </c>
      <c r="C79" s="17" t="s">
        <v>1063</v>
      </c>
      <c r="D79" s="17" t="str">
        <f t="shared" si="14"/>
        <v>26/12/76</v>
      </c>
      <c r="E79" s="3" t="s">
        <v>3560</v>
      </c>
      <c r="F79" s="6">
        <v>10150.255999999999</v>
      </c>
      <c r="G79" s="6">
        <f>IF(F79=0,$Y$3,F79)</f>
        <v>10150.255999999999</v>
      </c>
      <c r="H79" s="79">
        <f t="shared" si="11"/>
        <v>0</v>
      </c>
      <c r="I79">
        <f t="shared" si="12"/>
        <v>46</v>
      </c>
      <c r="J79">
        <f t="shared" si="13"/>
        <v>9</v>
      </c>
      <c r="K79">
        <f t="shared" si="15"/>
        <v>19</v>
      </c>
      <c r="L79" s="80">
        <f t="shared" si="16"/>
        <v>22</v>
      </c>
      <c r="M79" s="80">
        <f t="shared" si="17"/>
        <v>41</v>
      </c>
      <c r="N79">
        <f t="shared" si="18"/>
        <v>6007.920930836417</v>
      </c>
      <c r="O79" s="87">
        <f>(((1-((1+$W$11)/(1+$W$10))^(6*(J79+K79)))/($W$10-$W$11))*(1+$W$10)^(6*(J79+K79)))</f>
        <v>971.97898006406626</v>
      </c>
      <c r="P79" s="69">
        <f>N79*0.065*O79</f>
        <v>379572.23581289587</v>
      </c>
      <c r="Q79" s="69">
        <f t="shared" si="19"/>
        <v>2530.4815720859724</v>
      </c>
      <c r="R79" s="69">
        <f>G79*(1+0.06)^K79</f>
        <v>30710.609499661598</v>
      </c>
      <c r="S79" s="77">
        <f t="shared" si="20"/>
        <v>8.2397634345676402E-2</v>
      </c>
    </row>
    <row r="80" spans="1:19" ht="15.5" x14ac:dyDescent="0.35">
      <c r="A80" s="3" t="s">
        <v>205</v>
      </c>
      <c r="B80" s="16" t="s">
        <v>2753</v>
      </c>
      <c r="C80" s="17" t="s">
        <v>1064</v>
      </c>
      <c r="D80" s="17" t="str">
        <f t="shared" si="14"/>
        <v>07/11/85</v>
      </c>
      <c r="E80" s="3" t="s">
        <v>3561</v>
      </c>
      <c r="F80" s="6">
        <v>9264.0959999999995</v>
      </c>
      <c r="G80" s="6">
        <f>IF(F80=0,$Y$3,F80)</f>
        <v>9264.0959999999995</v>
      </c>
      <c r="H80" s="79">
        <f t="shared" si="11"/>
        <v>4</v>
      </c>
      <c r="I80">
        <f t="shared" si="12"/>
        <v>37</v>
      </c>
      <c r="J80">
        <f t="shared" si="13"/>
        <v>9</v>
      </c>
      <c r="K80">
        <f t="shared" si="15"/>
        <v>28</v>
      </c>
      <c r="L80" s="80">
        <f t="shared" si="16"/>
        <v>18</v>
      </c>
      <c r="M80" s="80">
        <f t="shared" si="17"/>
        <v>46</v>
      </c>
      <c r="N80">
        <f t="shared" si="18"/>
        <v>5483.4041883946502</v>
      </c>
      <c r="O80" s="87">
        <f>(((1-((1+$W$11)/(1+$W$10))^(6*(J80+K80)))/($W$10-$W$11))*(1+$W$10)^(6*(J80+K80)))</f>
        <v>2268.4845089511282</v>
      </c>
      <c r="P80" s="69">
        <f>N80*0.065*O80</f>
        <v>808536.13474991487</v>
      </c>
      <c r="Q80" s="69">
        <f t="shared" si="19"/>
        <v>5390.2408983327659</v>
      </c>
      <c r="R80" s="69">
        <f>G80*(1+0.06)^K80</f>
        <v>47355.156284283577</v>
      </c>
      <c r="S80" s="77">
        <f t="shared" si="20"/>
        <v>0.11382584962815762</v>
      </c>
    </row>
    <row r="81" spans="1:19" ht="15.5" x14ac:dyDescent="0.35">
      <c r="A81" s="3" t="s">
        <v>207</v>
      </c>
      <c r="B81" s="16" t="s">
        <v>2755</v>
      </c>
      <c r="C81" s="17" t="s">
        <v>1066</v>
      </c>
      <c r="D81" s="17" t="str">
        <f t="shared" si="14"/>
        <v>27/03/92</v>
      </c>
      <c r="E81" s="3" t="s">
        <v>3563</v>
      </c>
      <c r="F81" s="6">
        <v>7011.76</v>
      </c>
      <c r="G81" s="6">
        <f>IF(F81=0,$Y$3,F81)</f>
        <v>7011.76</v>
      </c>
      <c r="H81" s="79">
        <f t="shared" si="11"/>
        <v>13</v>
      </c>
      <c r="I81">
        <f t="shared" si="12"/>
        <v>30</v>
      </c>
      <c r="J81">
        <f t="shared" si="13"/>
        <v>9</v>
      </c>
      <c r="K81">
        <f t="shared" si="15"/>
        <v>35</v>
      </c>
      <c r="L81" s="80">
        <f t="shared" si="16"/>
        <v>9</v>
      </c>
      <c r="M81" s="80">
        <f t="shared" si="17"/>
        <v>44</v>
      </c>
      <c r="N81">
        <f t="shared" si="18"/>
        <v>4150.2499706412882</v>
      </c>
      <c r="O81" s="87">
        <f>(((1-((1+$W$11)/(1+$W$10))^(6*(J81+K81)))/($W$10-$W$11))*(1+$W$10)^(6*(J81+K81)))</f>
        <v>4200.5189242334509</v>
      </c>
      <c r="P81" s="69">
        <f>N81*0.065*O81</f>
        <v>1133158.2302285735</v>
      </c>
      <c r="Q81" s="69">
        <f t="shared" si="19"/>
        <v>7554.3882015238232</v>
      </c>
      <c r="R81" s="69">
        <f>G81*(1+0.06)^K81</f>
        <v>53892.995926864045</v>
      </c>
      <c r="S81" s="77">
        <f t="shared" si="20"/>
        <v>0.14017384024773036</v>
      </c>
    </row>
    <row r="82" spans="1:19" ht="15.5" x14ac:dyDescent="0.35">
      <c r="A82" s="3" t="s">
        <v>211</v>
      </c>
      <c r="B82" s="16" t="s">
        <v>2759</v>
      </c>
      <c r="C82" s="17" t="s">
        <v>1070</v>
      </c>
      <c r="D82" s="17" t="str">
        <f t="shared" si="14"/>
        <v>08/05/78</v>
      </c>
      <c r="E82" s="3" t="s">
        <v>3566</v>
      </c>
      <c r="F82" s="6">
        <v>10397.712</v>
      </c>
      <c r="G82" s="6">
        <f>IF(F82=0,$Y$3,F82)</f>
        <v>10397.712</v>
      </c>
      <c r="H82" s="79">
        <f t="shared" si="11"/>
        <v>98</v>
      </c>
      <c r="I82">
        <f t="shared" si="12"/>
        <v>44</v>
      </c>
      <c r="J82">
        <f t="shared" si="13"/>
        <v>8</v>
      </c>
      <c r="K82">
        <f t="shared" si="15"/>
        <v>21</v>
      </c>
      <c r="L82" s="80">
        <f t="shared" si="16"/>
        <v>24</v>
      </c>
      <c r="M82" s="80">
        <f t="shared" si="17"/>
        <v>45</v>
      </c>
      <c r="N82">
        <f t="shared" si="18"/>
        <v>6523.6531424493651</v>
      </c>
      <c r="O82" s="87">
        <f>(((1-((1+$W$11)/(1+$W$10))^(6*(J82+K82)))/($W$10-$W$11))*(1+$W$10)^(6*(J82+K82)))</f>
        <v>1072.3399666941964</v>
      </c>
      <c r="P82" s="69">
        <f>N82*0.065*O82</f>
        <v>454712.30957741174</v>
      </c>
      <c r="Q82" s="69">
        <f t="shared" si="19"/>
        <v>3031.415397182745</v>
      </c>
      <c r="R82" s="69">
        <f>G82*(1+0.06)^K82</f>
        <v>35347.683244156397</v>
      </c>
      <c r="S82" s="77">
        <f t="shared" si="20"/>
        <v>8.5759945743654697E-2</v>
      </c>
    </row>
    <row r="83" spans="1:19" ht="15.5" x14ac:dyDescent="0.35">
      <c r="A83" s="3" t="s">
        <v>212</v>
      </c>
      <c r="B83" s="16" t="s">
        <v>2760</v>
      </c>
      <c r="C83" s="17" t="s">
        <v>1071</v>
      </c>
      <c r="D83" s="17" t="str">
        <f t="shared" si="14"/>
        <v>18/03/65</v>
      </c>
      <c r="E83" s="3" t="s">
        <v>3567</v>
      </c>
      <c r="F83" s="6">
        <v>7999.7599999999993</v>
      </c>
      <c r="G83" s="6">
        <f>IF(F83=0,$Y$3,F83)</f>
        <v>7999.7599999999993</v>
      </c>
      <c r="H83" s="79">
        <f t="shared" si="11"/>
        <v>1</v>
      </c>
      <c r="I83">
        <f t="shared" si="12"/>
        <v>57</v>
      </c>
      <c r="J83">
        <f t="shared" si="13"/>
        <v>8</v>
      </c>
      <c r="K83">
        <f t="shared" si="15"/>
        <v>8</v>
      </c>
      <c r="L83" s="80">
        <f t="shared" si="16"/>
        <v>21</v>
      </c>
      <c r="M83" s="80">
        <f t="shared" si="17"/>
        <v>29</v>
      </c>
      <c r="N83">
        <f t="shared" si="18"/>
        <v>5019.1483917654896</v>
      </c>
      <c r="O83" s="87">
        <f>(((1-((1+$W$11)/(1+$W$10))^(6*(J83+K83)))/($W$10-$W$11))*(1+$W$10)^(6*(J83+K83)))</f>
        <v>260.39894339844835</v>
      </c>
      <c r="P83" s="69">
        <f>N83*0.065*O83</f>
        <v>84953.760968424074</v>
      </c>
      <c r="Q83" s="69">
        <f t="shared" si="19"/>
        <v>566.35840645616054</v>
      </c>
      <c r="R83" s="69">
        <f>G83*(1+0.06)^K83</f>
        <v>12750.40207270885</v>
      </c>
      <c r="S83" s="77">
        <f t="shared" si="20"/>
        <v>4.441886641899729E-2</v>
      </c>
    </row>
    <row r="84" spans="1:19" ht="15.5" x14ac:dyDescent="0.35">
      <c r="A84" s="3" t="s">
        <v>213</v>
      </c>
      <c r="B84" s="16" t="s">
        <v>2761</v>
      </c>
      <c r="C84" s="17" t="s">
        <v>1072</v>
      </c>
      <c r="D84" s="17" t="str">
        <f t="shared" si="14"/>
        <v>14/07/74</v>
      </c>
      <c r="E84" s="3" t="s">
        <v>3568</v>
      </c>
      <c r="F84" s="6">
        <v>23270.592000000001</v>
      </c>
      <c r="G84" s="6">
        <f>IF(F84=0,$Y$3,F84)</f>
        <v>23270.592000000001</v>
      </c>
      <c r="H84" s="79">
        <f t="shared" si="11"/>
        <v>99</v>
      </c>
      <c r="I84">
        <f t="shared" si="12"/>
        <v>48</v>
      </c>
      <c r="J84">
        <f t="shared" si="13"/>
        <v>8</v>
      </c>
      <c r="K84">
        <f t="shared" si="15"/>
        <v>17</v>
      </c>
      <c r="L84" s="80">
        <f t="shared" si="16"/>
        <v>23</v>
      </c>
      <c r="M84" s="80">
        <f t="shared" si="17"/>
        <v>40</v>
      </c>
      <c r="N84">
        <f t="shared" si="18"/>
        <v>14600.257309248136</v>
      </c>
      <c r="O84" s="87">
        <f>(((1-((1+$W$11)/(1+$W$10))^(6*(J84+K84)))/($W$10-$W$11))*(1+$W$10)^(6*(J84+K84)))</f>
        <v>718.04386069822795</v>
      </c>
      <c r="P84" s="69">
        <f>N84*0.065*O84</f>
        <v>681435.63315880345</v>
      </c>
      <c r="Q84" s="69">
        <f t="shared" si="19"/>
        <v>4542.9042210586895</v>
      </c>
      <c r="R84" s="69">
        <f>G84*(1+0.06)^K84</f>
        <v>62662.41684628294</v>
      </c>
      <c r="S84" s="77">
        <f t="shared" si="20"/>
        <v>7.2498069013247277E-2</v>
      </c>
    </row>
    <row r="85" spans="1:19" ht="15.5" x14ac:dyDescent="0.35">
      <c r="A85" s="3" t="s">
        <v>215</v>
      </c>
      <c r="B85" s="16" t="s">
        <v>2763</v>
      </c>
      <c r="C85" s="17" t="s">
        <v>1051</v>
      </c>
      <c r="D85" s="17" t="str">
        <f t="shared" si="14"/>
        <v>30/07/78</v>
      </c>
      <c r="E85" s="3" t="s">
        <v>3569</v>
      </c>
      <c r="F85" s="6">
        <v>10070</v>
      </c>
      <c r="G85" s="6">
        <f>IF(F85=0,$Y$3,F85)</f>
        <v>10070</v>
      </c>
      <c r="H85" s="79">
        <f t="shared" si="11"/>
        <v>14</v>
      </c>
      <c r="I85">
        <f t="shared" si="12"/>
        <v>44</v>
      </c>
      <c r="J85">
        <f t="shared" si="13"/>
        <v>8</v>
      </c>
      <c r="K85">
        <f t="shared" si="15"/>
        <v>21</v>
      </c>
      <c r="L85" s="80">
        <f t="shared" si="16"/>
        <v>8</v>
      </c>
      <c r="M85" s="80">
        <f t="shared" si="17"/>
        <v>29</v>
      </c>
      <c r="N85">
        <f t="shared" si="18"/>
        <v>6318.0425794121929</v>
      </c>
      <c r="O85" s="87">
        <f>(((1-((1+$W$11)/(1+$W$10))^(6*(J85+K85)))/($W$10-$W$11))*(1+$W$10)^(6*(J85+K85)))</f>
        <v>1072.3399666941964</v>
      </c>
      <c r="P85" s="69">
        <f>N85*0.065*O85</f>
        <v>440380.82199666003</v>
      </c>
      <c r="Q85" s="69">
        <f t="shared" si="19"/>
        <v>2935.8721466444003</v>
      </c>
      <c r="R85" s="69">
        <f>G85*(1+0.06)^K85</f>
        <v>34233.605457494392</v>
      </c>
      <c r="S85" s="77">
        <f t="shared" si="20"/>
        <v>8.5759945743654697E-2</v>
      </c>
    </row>
    <row r="86" spans="1:19" ht="15.5" x14ac:dyDescent="0.35">
      <c r="A86" s="3" t="s">
        <v>219</v>
      </c>
      <c r="B86" s="16" t="s">
        <v>2767</v>
      </c>
      <c r="C86" s="17" t="s">
        <v>1077</v>
      </c>
      <c r="D86" s="17" t="str">
        <f t="shared" si="14"/>
        <v>06/04/85</v>
      </c>
      <c r="E86" s="3" t="s">
        <v>3570</v>
      </c>
      <c r="F86" s="6">
        <v>11468.704</v>
      </c>
      <c r="G86" s="6">
        <f>IF(F86=0,$Y$3,F86)</f>
        <v>11468.704</v>
      </c>
      <c r="H86" s="79">
        <f t="shared" si="11"/>
        <v>14</v>
      </c>
      <c r="I86">
        <f t="shared" si="12"/>
        <v>37</v>
      </c>
      <c r="J86">
        <f t="shared" si="13"/>
        <v>8</v>
      </c>
      <c r="K86">
        <f t="shared" si="15"/>
        <v>28</v>
      </c>
      <c r="L86" s="80">
        <f t="shared" si="16"/>
        <v>8</v>
      </c>
      <c r="M86" s="80">
        <f t="shared" si="17"/>
        <v>36</v>
      </c>
      <c r="N86">
        <f t="shared" si="18"/>
        <v>7195.6067728574908</v>
      </c>
      <c r="O86" s="87">
        <f>(((1-((1+$W$11)/(1+$W$10))^(6*(J86+K86)))/($W$10-$W$11))*(1+$W$10)^(6*(J86+K86)))</f>
        <v>2071.9321695914473</v>
      </c>
      <c r="P86" s="69">
        <f>N86*0.065*O86</f>
        <v>969072.59490687971</v>
      </c>
      <c r="Q86" s="69">
        <f t="shared" si="19"/>
        <v>6460.4839660458647</v>
      </c>
      <c r="R86" s="69">
        <f>G86*(1+0.06)^K86</f>
        <v>58624.421670305252</v>
      </c>
      <c r="S86" s="77">
        <f t="shared" si="20"/>
        <v>0.11020124006303439</v>
      </c>
    </row>
    <row r="87" spans="1:19" ht="15.5" x14ac:dyDescent="0.35">
      <c r="A87" s="3" t="s">
        <v>220</v>
      </c>
      <c r="B87" s="16" t="s">
        <v>2768</v>
      </c>
      <c r="C87" s="17" t="s">
        <v>1078</v>
      </c>
      <c r="D87" s="17" t="str">
        <f t="shared" si="14"/>
        <v>17/07/90</v>
      </c>
      <c r="E87" s="3" t="s">
        <v>3571</v>
      </c>
      <c r="F87" s="6">
        <v>18441.856</v>
      </c>
      <c r="G87" s="6">
        <f>IF(F87=0,$Y$3,F87)</f>
        <v>18441.856</v>
      </c>
      <c r="H87" s="79">
        <f t="shared" si="11"/>
        <v>12</v>
      </c>
      <c r="I87">
        <f t="shared" si="12"/>
        <v>32</v>
      </c>
      <c r="J87">
        <f t="shared" si="13"/>
        <v>8</v>
      </c>
      <c r="K87">
        <f t="shared" si="15"/>
        <v>33</v>
      </c>
      <c r="L87" s="80">
        <f t="shared" si="16"/>
        <v>10</v>
      </c>
      <c r="M87" s="80">
        <f t="shared" si="17"/>
        <v>43</v>
      </c>
      <c r="N87">
        <f t="shared" si="18"/>
        <v>11570.648604904491</v>
      </c>
      <c r="O87" s="87">
        <f>(((1-((1+$W$11)/(1+$W$10))^(6*(J87+K87)))/($W$10-$W$11))*(1+$W$10)^(6*(J87+K87)))</f>
        <v>3237.3816560572077</v>
      </c>
      <c r="P87" s="69">
        <f>N87*0.065*O87</f>
        <v>2434809.3602431118</v>
      </c>
      <c r="Q87" s="69">
        <f t="shared" si="19"/>
        <v>16232.062401620746</v>
      </c>
      <c r="R87" s="69">
        <f>G87*(1+0.06)^K87</f>
        <v>126153.17357362606</v>
      </c>
      <c r="S87" s="77">
        <f t="shared" si="20"/>
        <v>0.12866947332202722</v>
      </c>
    </row>
    <row r="88" spans="1:19" ht="15.5" x14ac:dyDescent="0.35">
      <c r="A88" s="3" t="s">
        <v>224</v>
      </c>
      <c r="B88" s="16" t="s">
        <v>2772</v>
      </c>
      <c r="C88" s="17" t="s">
        <v>1082</v>
      </c>
      <c r="D88" s="17" t="str">
        <f t="shared" si="14"/>
        <v>24/09/74</v>
      </c>
      <c r="E88" s="3" t="s">
        <v>3573</v>
      </c>
      <c r="F88" s="6">
        <v>7848.9759999999997</v>
      </c>
      <c r="G88" s="6">
        <f>IF(F88=0,$Y$3,F88)</f>
        <v>7848.9759999999997</v>
      </c>
      <c r="H88" s="79">
        <f t="shared" si="11"/>
        <v>6</v>
      </c>
      <c r="I88">
        <f t="shared" si="12"/>
        <v>48</v>
      </c>
      <c r="J88">
        <f t="shared" si="13"/>
        <v>8</v>
      </c>
      <c r="K88">
        <f t="shared" si="15"/>
        <v>17</v>
      </c>
      <c r="L88" s="80">
        <f t="shared" si="16"/>
        <v>16</v>
      </c>
      <c r="M88" s="80">
        <f t="shared" si="17"/>
        <v>33</v>
      </c>
      <c r="N88">
        <f t="shared" si="18"/>
        <v>4924.5446447650838</v>
      </c>
      <c r="O88" s="87">
        <f>(((1-((1+$W$11)/(1+$W$10))^(6*(J88+K88)))/($W$10-$W$11))*(1+$W$10)^(6*(J88+K88)))</f>
        <v>718.04386069822795</v>
      </c>
      <c r="P88" s="69">
        <f>N88*0.065*O88</f>
        <v>229842.53817901379</v>
      </c>
      <c r="Q88" s="69">
        <f t="shared" si="19"/>
        <v>1532.283587860092</v>
      </c>
      <c r="R88" s="69">
        <f>G88*(1+0.06)^K88</f>
        <v>21135.508968936865</v>
      </c>
      <c r="S88" s="77">
        <f t="shared" si="20"/>
        <v>7.249806901324729E-2</v>
      </c>
    </row>
    <row r="89" spans="1:19" ht="15.5" x14ac:dyDescent="0.35">
      <c r="A89" s="3" t="s">
        <v>227</v>
      </c>
      <c r="B89" s="16" t="s">
        <v>2775</v>
      </c>
      <c r="C89" s="17" t="s">
        <v>1085</v>
      </c>
      <c r="D89" s="17" t="str">
        <f t="shared" si="14"/>
        <v>03/07/90</v>
      </c>
      <c r="E89" s="3" t="s">
        <v>3575</v>
      </c>
      <c r="F89" s="6">
        <v>19202.464</v>
      </c>
      <c r="G89" s="6">
        <f>IF(F89=0,$Y$3,F89)</f>
        <v>19202.464</v>
      </c>
      <c r="H89" s="79">
        <f t="shared" si="11"/>
        <v>14</v>
      </c>
      <c r="I89">
        <f t="shared" si="12"/>
        <v>32</v>
      </c>
      <c r="J89">
        <f t="shared" si="13"/>
        <v>8</v>
      </c>
      <c r="K89">
        <f t="shared" si="15"/>
        <v>33</v>
      </c>
      <c r="L89" s="80">
        <f t="shared" si="16"/>
        <v>8</v>
      </c>
      <c r="M89" s="80">
        <f t="shared" si="17"/>
        <v>41</v>
      </c>
      <c r="N89">
        <f t="shared" si="18"/>
        <v>12047.863473846055</v>
      </c>
      <c r="O89" s="87">
        <f>(((1-((1+$W$11)/(1+$W$10))^(6*(J89+K89)))/($W$10-$W$11))*(1+$W$10)^(6*(J89+K89)))</f>
        <v>3237.3816560572077</v>
      </c>
      <c r="P89" s="69">
        <f>N89*0.065*O89</f>
        <v>2535229.5933192074</v>
      </c>
      <c r="Q89" s="69">
        <f t="shared" si="19"/>
        <v>16901.530622128048</v>
      </c>
      <c r="R89" s="69">
        <f>G89*(1+0.06)^K89</f>
        <v>131356.18096320162</v>
      </c>
      <c r="S89" s="77">
        <f t="shared" si="20"/>
        <v>0.12866947332202719</v>
      </c>
    </row>
    <row r="90" spans="1:19" ht="15.5" x14ac:dyDescent="0.35">
      <c r="A90" s="3" t="s">
        <v>229</v>
      </c>
      <c r="B90" s="16" t="s">
        <v>2777</v>
      </c>
      <c r="C90" s="17" t="s">
        <v>1087</v>
      </c>
      <c r="D90" s="17" t="str">
        <f t="shared" si="14"/>
        <v>14/11/77</v>
      </c>
      <c r="E90" s="3" t="s">
        <v>3577</v>
      </c>
      <c r="F90" s="6">
        <v>21577.311999999998</v>
      </c>
      <c r="G90" s="6">
        <f>IF(F90=0,$Y$3,F90)</f>
        <v>21577.311999999998</v>
      </c>
      <c r="H90" s="79">
        <f t="shared" si="11"/>
        <v>6</v>
      </c>
      <c r="I90">
        <f t="shared" si="12"/>
        <v>45</v>
      </c>
      <c r="J90">
        <f t="shared" si="13"/>
        <v>8</v>
      </c>
      <c r="K90">
        <f t="shared" si="15"/>
        <v>20</v>
      </c>
      <c r="L90" s="80">
        <f t="shared" si="16"/>
        <v>16</v>
      </c>
      <c r="M90" s="80">
        <f t="shared" si="17"/>
        <v>36</v>
      </c>
      <c r="N90">
        <f t="shared" si="18"/>
        <v>13537.872489102447</v>
      </c>
      <c r="O90" s="87">
        <f>(((1-((1+$W$11)/(1+$W$10))^(6*(J90+K90)))/($W$10-$W$11))*(1+$W$10)^(6*(J90+K90)))</f>
        <v>971.97898006406626</v>
      </c>
      <c r="P90" s="69">
        <f>N90*0.065*O90</f>
        <v>855304.28712268651</v>
      </c>
      <c r="Q90" s="69">
        <f t="shared" si="19"/>
        <v>5702.0285808179096</v>
      </c>
      <c r="R90" s="69">
        <f>G90*(1+0.06)^K90</f>
        <v>69201.362710203946</v>
      </c>
      <c r="S90" s="77">
        <f t="shared" si="20"/>
        <v>8.2397634345676388E-2</v>
      </c>
    </row>
    <row r="91" spans="1:19" ht="15.5" x14ac:dyDescent="0.35">
      <c r="A91" s="3" t="s">
        <v>236</v>
      </c>
      <c r="B91" s="16" t="s">
        <v>2784</v>
      </c>
      <c r="C91" s="17" t="s">
        <v>1094</v>
      </c>
      <c r="D91" s="17" t="str">
        <f t="shared" si="14"/>
        <v>12/07/89</v>
      </c>
      <c r="E91" s="3" t="s">
        <v>3580</v>
      </c>
      <c r="F91" s="6">
        <v>17135.567999999999</v>
      </c>
      <c r="G91" s="6">
        <f>IF(F91=0,$Y$3,F91)</f>
        <v>17135.567999999999</v>
      </c>
      <c r="H91" s="79">
        <f t="shared" si="11"/>
        <v>5</v>
      </c>
      <c r="I91">
        <f t="shared" si="12"/>
        <v>33</v>
      </c>
      <c r="J91">
        <f t="shared" si="13"/>
        <v>8</v>
      </c>
      <c r="K91">
        <f t="shared" si="15"/>
        <v>32</v>
      </c>
      <c r="L91" s="80">
        <f t="shared" si="16"/>
        <v>17</v>
      </c>
      <c r="M91" s="80">
        <f t="shared" si="17"/>
        <v>49</v>
      </c>
      <c r="N91">
        <f t="shared" si="18"/>
        <v>10751.067353169119</v>
      </c>
      <c r="O91" s="87">
        <f>(((1-((1+$W$11)/(1+$W$10))^(6*(J91+K91)))/($W$10-$W$11))*(1+$W$10)^(6*(J91+K91)))</f>
        <v>2964.8060935111685</v>
      </c>
      <c r="P91" s="69">
        <f>N91*0.065*O91</f>
        <v>2071863.9500276116</v>
      </c>
      <c r="Q91" s="69">
        <f t="shared" si="19"/>
        <v>13812.426333517411</v>
      </c>
      <c r="R91" s="69">
        <f>G91*(1+0.06)^K91</f>
        <v>110582.44631774059</v>
      </c>
      <c r="S91" s="77">
        <f t="shared" si="20"/>
        <v>0.12490613830182108</v>
      </c>
    </row>
    <row r="92" spans="1:19" ht="15.5" x14ac:dyDescent="0.35">
      <c r="A92" s="3" t="s">
        <v>3581</v>
      </c>
      <c r="B92" s="16" t="s">
        <v>3582</v>
      </c>
      <c r="C92" s="17" t="s">
        <v>3584</v>
      </c>
      <c r="D92" s="17" t="str">
        <f t="shared" si="14"/>
        <v>17/06/93</v>
      </c>
      <c r="E92" s="3" t="s">
        <v>3585</v>
      </c>
      <c r="F92" s="6">
        <v>13656.592000000001</v>
      </c>
      <c r="G92" s="6">
        <f>IF(F92=0,$Y$3,F92)</f>
        <v>13656.592000000001</v>
      </c>
      <c r="H92" s="79">
        <f t="shared" si="11"/>
        <v>14</v>
      </c>
      <c r="I92">
        <f t="shared" si="12"/>
        <v>29</v>
      </c>
      <c r="J92">
        <f t="shared" si="13"/>
        <v>1</v>
      </c>
      <c r="K92">
        <f t="shared" si="15"/>
        <v>36</v>
      </c>
      <c r="L92" s="80">
        <f t="shared" si="16"/>
        <v>8</v>
      </c>
      <c r="M92" s="80">
        <f t="shared" si="17"/>
        <v>44</v>
      </c>
      <c r="N92">
        <f t="shared" si="18"/>
        <v>12883.577358490566</v>
      </c>
      <c r="O92" s="87">
        <f>(((1-((1+$W$11)/(1+$W$10))^(6*(J92+K92)))/($W$10-$W$11))*(1+$W$10)^(6*(J92+K92)))</f>
        <v>2268.4845089511282</v>
      </c>
      <c r="P92" s="69">
        <f>N92*0.065*O92</f>
        <v>1899702.7177446075</v>
      </c>
      <c r="Q92" s="69">
        <f t="shared" si="19"/>
        <v>12664.684784964049</v>
      </c>
      <c r="R92" s="69">
        <f>G92*(1+0.06)^K92</f>
        <v>111263.69648315042</v>
      </c>
      <c r="S92" s="77">
        <f t="shared" si="20"/>
        <v>0.11382584962815762</v>
      </c>
    </row>
    <row r="93" spans="1:19" ht="15.5" x14ac:dyDescent="0.35">
      <c r="A93" s="3" t="s">
        <v>237</v>
      </c>
      <c r="B93" s="16" t="s">
        <v>2785</v>
      </c>
      <c r="C93" s="17" t="s">
        <v>1095</v>
      </c>
      <c r="D93" s="17" t="str">
        <f t="shared" si="14"/>
        <v>30/11/90</v>
      </c>
      <c r="E93" s="3" t="s">
        <v>3591</v>
      </c>
      <c r="F93" s="6">
        <v>16772.896000000001</v>
      </c>
      <c r="G93" s="6">
        <f>IF(F93=0,$Y$3,F93)</f>
        <v>16772.896000000001</v>
      </c>
      <c r="H93" s="79">
        <f t="shared" si="11"/>
        <v>12</v>
      </c>
      <c r="I93">
        <f t="shared" si="12"/>
        <v>32</v>
      </c>
      <c r="J93">
        <f t="shared" si="13"/>
        <v>8</v>
      </c>
      <c r="K93">
        <f t="shared" si="15"/>
        <v>33</v>
      </c>
      <c r="L93" s="80">
        <f t="shared" si="16"/>
        <v>10</v>
      </c>
      <c r="M93" s="80">
        <f t="shared" si="17"/>
        <v>43</v>
      </c>
      <c r="N93">
        <f t="shared" si="18"/>
        <v>10523.522453629836</v>
      </c>
      <c r="O93" s="87">
        <f>(((1-((1+$W$11)/(1+$W$10))^(6*(J93+K93)))/($W$10-$W$11))*(1+$W$10)^(6*(J93+K93)))</f>
        <v>3237.3816560572077</v>
      </c>
      <c r="P93" s="69">
        <f>N93*0.065*O93</f>
        <v>2214462.8056516792</v>
      </c>
      <c r="Q93" s="69">
        <f t="shared" si="19"/>
        <v>14763.085371011195</v>
      </c>
      <c r="R93" s="69">
        <f>G93*(1+0.06)^K93</f>
        <v>114736.50268283075</v>
      </c>
      <c r="S93" s="77">
        <f t="shared" si="20"/>
        <v>0.12866947332202722</v>
      </c>
    </row>
    <row r="94" spans="1:19" ht="15.5" x14ac:dyDescent="0.35">
      <c r="A94" s="3" t="s">
        <v>238</v>
      </c>
      <c r="B94" s="16" t="s">
        <v>2786</v>
      </c>
      <c r="C94" s="17" t="s">
        <v>1096</v>
      </c>
      <c r="D94" s="17" t="str">
        <f t="shared" si="14"/>
        <v>16/09/90</v>
      </c>
      <c r="E94" s="3" t="s">
        <v>3592</v>
      </c>
      <c r="F94" s="6">
        <v>14165.183999999999</v>
      </c>
      <c r="G94" s="6">
        <f>IF(F94=0,$Y$3,F94)</f>
        <v>14165.183999999999</v>
      </c>
      <c r="H94" s="79">
        <f t="shared" si="11"/>
        <v>9</v>
      </c>
      <c r="I94">
        <f t="shared" si="12"/>
        <v>32</v>
      </c>
      <c r="J94">
        <f t="shared" si="13"/>
        <v>8</v>
      </c>
      <c r="K94">
        <f t="shared" si="15"/>
        <v>33</v>
      </c>
      <c r="L94" s="80">
        <f t="shared" si="16"/>
        <v>13</v>
      </c>
      <c r="M94" s="80">
        <f t="shared" si="17"/>
        <v>46</v>
      </c>
      <c r="N94">
        <f t="shared" si="18"/>
        <v>8887.4116839332983</v>
      </c>
      <c r="O94" s="87">
        <f>(((1-((1+$W$11)/(1+$W$10))^(6*(J94+K94)))/($W$10-$W$11))*(1+$W$10)^(6*(J94+K94)))</f>
        <v>3237.3816560572077</v>
      </c>
      <c r="P94" s="69">
        <f>N94*0.065*O94</f>
        <v>1870176.3311006203</v>
      </c>
      <c r="Q94" s="69">
        <f t="shared" si="19"/>
        <v>12467.84220733747</v>
      </c>
      <c r="R94" s="69">
        <f>G94*(1+0.06)^K94</f>
        <v>96898.214358378595</v>
      </c>
      <c r="S94" s="77">
        <f t="shared" si="20"/>
        <v>0.12866947332202722</v>
      </c>
    </row>
    <row r="95" spans="1:19" ht="15.5" x14ac:dyDescent="0.35">
      <c r="A95" s="3" t="s">
        <v>241</v>
      </c>
      <c r="B95" s="16" t="s">
        <v>2789</v>
      </c>
      <c r="C95" s="17" t="s">
        <v>1099</v>
      </c>
      <c r="D95" s="17" t="str">
        <f t="shared" si="14"/>
        <v>28/02/93</v>
      </c>
      <c r="E95" s="3" t="s">
        <v>3593</v>
      </c>
      <c r="F95" s="6">
        <v>13798.56</v>
      </c>
      <c r="G95" s="6">
        <f>IF(F95=0,$Y$3,F95)</f>
        <v>13798.56</v>
      </c>
      <c r="H95" s="79">
        <f t="shared" si="11"/>
        <v>14</v>
      </c>
      <c r="I95">
        <f t="shared" si="12"/>
        <v>29</v>
      </c>
      <c r="J95">
        <f t="shared" si="13"/>
        <v>8</v>
      </c>
      <c r="K95">
        <f t="shared" si="15"/>
        <v>36</v>
      </c>
      <c r="L95" s="80">
        <f t="shared" si="16"/>
        <v>8</v>
      </c>
      <c r="M95" s="80">
        <f t="shared" si="17"/>
        <v>44</v>
      </c>
      <c r="N95">
        <f t="shared" si="18"/>
        <v>8657.3872507024735</v>
      </c>
      <c r="O95" s="87">
        <f>(((1-((1+$W$11)/(1+$W$10))^(6*(J95+K95)))/($W$10-$W$11))*(1+$W$10)^(6*(J95+K95)))</f>
        <v>4200.5189242334509</v>
      </c>
      <c r="P95" s="69">
        <f>N95*0.065*O95</f>
        <v>2363758.7337645544</v>
      </c>
      <c r="Q95" s="69">
        <f t="shared" si="19"/>
        <v>15758.391558430363</v>
      </c>
      <c r="R95" s="69">
        <f>G95*(1+0.06)^K95</f>
        <v>112420.34555506527</v>
      </c>
      <c r="S95" s="77">
        <f t="shared" si="20"/>
        <v>0.14017384024773036</v>
      </c>
    </row>
    <row r="96" spans="1:19" ht="15.5" x14ac:dyDescent="0.35">
      <c r="A96" s="3" t="s">
        <v>242</v>
      </c>
      <c r="B96" s="16" t="s">
        <v>2790</v>
      </c>
      <c r="C96" s="17" t="s">
        <v>1100</v>
      </c>
      <c r="D96" s="17" t="str">
        <f t="shared" si="14"/>
        <v>04/04/87</v>
      </c>
      <c r="E96" s="3" t="s">
        <v>3594</v>
      </c>
      <c r="F96" s="6">
        <v>12287.679999999998</v>
      </c>
      <c r="G96" s="6">
        <f>IF(F96=0,$Y$3,F96)</f>
        <v>12287.679999999998</v>
      </c>
      <c r="H96" s="79">
        <f t="shared" si="11"/>
        <v>7</v>
      </c>
      <c r="I96">
        <f t="shared" si="12"/>
        <v>35</v>
      </c>
      <c r="J96">
        <f t="shared" si="13"/>
        <v>8</v>
      </c>
      <c r="K96">
        <f t="shared" si="15"/>
        <v>30</v>
      </c>
      <c r="L96" s="80">
        <f t="shared" si="16"/>
        <v>15</v>
      </c>
      <c r="M96" s="80">
        <f t="shared" si="17"/>
        <v>45</v>
      </c>
      <c r="N96">
        <f t="shared" si="18"/>
        <v>7709.4424470895337</v>
      </c>
      <c r="O96" s="87">
        <f>(((1-((1+$W$11)/(1+$W$10))^(6*(J96+K96)))/($W$10-$W$11))*(1+$W$10)^(6*(J96+K96)))</f>
        <v>2481.8865373152853</v>
      </c>
      <c r="P96" s="69">
        <f>N96*0.065*O96</f>
        <v>1243707.4922765039</v>
      </c>
      <c r="Q96" s="69">
        <f t="shared" si="19"/>
        <v>8291.3832818433602</v>
      </c>
      <c r="R96" s="69">
        <f>G96*(1+0.06)^K96</f>
        <v>70574.181615582784</v>
      </c>
      <c r="S96" s="77">
        <f t="shared" si="20"/>
        <v>0.11748465362314059</v>
      </c>
    </row>
    <row r="97" spans="1:19" ht="15.5" x14ac:dyDescent="0.35">
      <c r="A97" s="3" t="s">
        <v>243</v>
      </c>
      <c r="B97" s="16" t="s">
        <v>2791</v>
      </c>
      <c r="C97" s="17" t="s">
        <v>1101</v>
      </c>
      <c r="D97" s="17" t="str">
        <f t="shared" si="14"/>
        <v>14/09/86</v>
      </c>
      <c r="E97" s="3" t="s">
        <v>3595</v>
      </c>
      <c r="F97" s="6">
        <v>19260.223999999998</v>
      </c>
      <c r="G97" s="6">
        <f>IF(F97=0,$Y$3,F97)</f>
        <v>19260.223999999998</v>
      </c>
      <c r="H97" s="79">
        <f t="shared" si="11"/>
        <v>8</v>
      </c>
      <c r="I97">
        <f t="shared" si="12"/>
        <v>36</v>
      </c>
      <c r="J97">
        <f t="shared" si="13"/>
        <v>8</v>
      </c>
      <c r="K97">
        <f t="shared" si="15"/>
        <v>29</v>
      </c>
      <c r="L97" s="80">
        <f t="shared" si="16"/>
        <v>14</v>
      </c>
      <c r="M97" s="80">
        <f t="shared" si="17"/>
        <v>43</v>
      </c>
      <c r="N97">
        <f t="shared" si="18"/>
        <v>12084.102812414758</v>
      </c>
      <c r="O97" s="87">
        <f>(((1-((1+$W$11)/(1+$W$10))^(6*(J97+K97)))/($W$10-$W$11))*(1+$W$10)^(6*(J97+K97)))</f>
        <v>2268.4845089511282</v>
      </c>
      <c r="P97" s="69">
        <f>N97*0.065*O97</f>
        <v>1781819.0022448166</v>
      </c>
      <c r="Q97" s="69">
        <f t="shared" si="19"/>
        <v>11878.793348298777</v>
      </c>
      <c r="R97" s="69">
        <f>G97*(1+0.06)^K97</f>
        <v>104359.36465314349</v>
      </c>
      <c r="S97" s="77">
        <f t="shared" si="20"/>
        <v>0.1138258496281576</v>
      </c>
    </row>
    <row r="98" spans="1:19" ht="15.5" x14ac:dyDescent="0.35">
      <c r="A98" s="3" t="s">
        <v>246</v>
      </c>
      <c r="B98" s="16" t="s">
        <v>2794</v>
      </c>
      <c r="C98" s="17" t="s">
        <v>1104</v>
      </c>
      <c r="D98" s="17" t="str">
        <f t="shared" si="14"/>
        <v>18/05/85</v>
      </c>
      <c r="E98" s="3" t="s">
        <v>3596</v>
      </c>
      <c r="F98" s="6">
        <v>8326.56</v>
      </c>
      <c r="G98" s="6">
        <f>IF(F98=0,$Y$3,F98)</f>
        <v>8326.56</v>
      </c>
      <c r="H98" s="79">
        <f t="shared" si="11"/>
        <v>4</v>
      </c>
      <c r="I98">
        <f t="shared" si="12"/>
        <v>37</v>
      </c>
      <c r="J98">
        <f t="shared" si="13"/>
        <v>8</v>
      </c>
      <c r="K98">
        <f t="shared" si="15"/>
        <v>28</v>
      </c>
      <c r="L98" s="80">
        <f t="shared" si="16"/>
        <v>18</v>
      </c>
      <c r="M98" s="80">
        <f t="shared" si="17"/>
        <v>46</v>
      </c>
      <c r="N98">
        <f t="shared" si="18"/>
        <v>5224.1867547199981</v>
      </c>
      <c r="O98" s="87">
        <f>(((1-((1+$W$11)/(1+$W$10))^(6*(J98+K98)))/($W$10-$W$11))*(1+$W$10)^(6*(J98+K98)))</f>
        <v>2071.9321695914473</v>
      </c>
      <c r="P98" s="69">
        <f>N98*0.065*O98</f>
        <v>703570.43880876398</v>
      </c>
      <c r="Q98" s="69">
        <f t="shared" si="19"/>
        <v>4690.4695920584263</v>
      </c>
      <c r="R98" s="69">
        <f>G98*(1+0.06)^K98</f>
        <v>42562.765984988095</v>
      </c>
      <c r="S98" s="77">
        <f t="shared" si="20"/>
        <v>0.11020124006303436</v>
      </c>
    </row>
    <row r="99" spans="1:19" ht="15.5" x14ac:dyDescent="0.35">
      <c r="A99" s="3" t="s">
        <v>247</v>
      </c>
      <c r="B99" s="16" t="s">
        <v>2795</v>
      </c>
      <c r="C99" s="17" t="s">
        <v>1105</v>
      </c>
      <c r="D99" s="17" t="str">
        <f t="shared" si="14"/>
        <v>18/12/80</v>
      </c>
      <c r="E99" s="3" t="s">
        <v>3597</v>
      </c>
      <c r="F99" s="6">
        <v>6000.655999999999</v>
      </c>
      <c r="G99" s="6">
        <f>IF(F99=0,$Y$3,F99)</f>
        <v>6000.655999999999</v>
      </c>
      <c r="H99" s="79">
        <f t="shared" si="11"/>
        <v>14</v>
      </c>
      <c r="I99">
        <f t="shared" si="12"/>
        <v>42</v>
      </c>
      <c r="J99">
        <f t="shared" si="13"/>
        <v>8</v>
      </c>
      <c r="K99">
        <f t="shared" si="15"/>
        <v>23</v>
      </c>
      <c r="L99" s="80">
        <f t="shared" si="16"/>
        <v>8</v>
      </c>
      <c r="M99" s="80">
        <f t="shared" si="17"/>
        <v>31</v>
      </c>
      <c r="N99">
        <f t="shared" si="18"/>
        <v>3764.8858105665586</v>
      </c>
      <c r="O99" s="87">
        <f>(((1-((1+$W$11)/(1+$W$10))^(6*(J99+K99)))/($W$10-$W$11))*(1+$W$10)^(6*(J99+K99)))</f>
        <v>1300.6996735984885</v>
      </c>
      <c r="P99" s="69">
        <f>N99*0.065*O99</f>
        <v>318304.07342106773</v>
      </c>
      <c r="Q99" s="69">
        <f t="shared" si="19"/>
        <v>2122.0271561404516</v>
      </c>
      <c r="R99" s="69">
        <f>G99*(1+0.06)^K99</f>
        <v>22921.003725216342</v>
      </c>
      <c r="S99" s="77">
        <f t="shared" si="20"/>
        <v>9.2580027540675361E-2</v>
      </c>
    </row>
    <row r="100" spans="1:19" ht="15.5" x14ac:dyDescent="0.35">
      <c r="A100" s="3" t="s">
        <v>248</v>
      </c>
      <c r="B100" s="16" t="s">
        <v>2796</v>
      </c>
      <c r="C100" s="17" t="s">
        <v>1106</v>
      </c>
      <c r="D100" s="17" t="str">
        <f t="shared" si="14"/>
        <v>03/06/85</v>
      </c>
      <c r="E100" s="3" t="s">
        <v>3598</v>
      </c>
      <c r="F100" s="6">
        <v>22369.84</v>
      </c>
      <c r="G100" s="6">
        <f>IF(F100=0,$Y$3,F100)</f>
        <v>22369.84</v>
      </c>
      <c r="H100" s="79">
        <f t="shared" si="11"/>
        <v>8</v>
      </c>
      <c r="I100">
        <f t="shared" si="12"/>
        <v>37</v>
      </c>
      <c r="J100">
        <f t="shared" si="13"/>
        <v>8</v>
      </c>
      <c r="K100">
        <f t="shared" si="15"/>
        <v>28</v>
      </c>
      <c r="L100" s="80">
        <f t="shared" si="16"/>
        <v>14</v>
      </c>
      <c r="M100" s="80">
        <f t="shared" si="17"/>
        <v>42</v>
      </c>
      <c r="N100">
        <f t="shared" si="18"/>
        <v>14035.114360937243</v>
      </c>
      <c r="O100" s="87">
        <f>(((1-((1+$W$11)/(1+$W$10))^(6*(J100+K100)))/($W$10-$W$11))*(1+$W$10)^(6*(J100+K100)))</f>
        <v>2071.9321695914473</v>
      </c>
      <c r="P100" s="69">
        <f>N100*0.065*O100</f>
        <v>1890187.321640851</v>
      </c>
      <c r="Q100" s="69">
        <f t="shared" si="19"/>
        <v>12601.248810939007</v>
      </c>
      <c r="R100" s="69">
        <f>G100*(1+0.06)^K100</f>
        <v>114347.61354528474</v>
      </c>
      <c r="S100" s="77">
        <f t="shared" si="20"/>
        <v>0.11020124006303439</v>
      </c>
    </row>
    <row r="101" spans="1:19" ht="15.5" x14ac:dyDescent="0.35">
      <c r="A101" s="3" t="s">
        <v>250</v>
      </c>
      <c r="B101" s="16" t="s">
        <v>2798</v>
      </c>
      <c r="C101" s="17" t="s">
        <v>1108</v>
      </c>
      <c r="D101" s="17" t="str">
        <f t="shared" si="14"/>
        <v>21/09/75</v>
      </c>
      <c r="E101" s="3" t="s">
        <v>3600</v>
      </c>
      <c r="F101" s="6">
        <v>9179.2799999999988</v>
      </c>
      <c r="G101" s="6">
        <f>IF(F101=0,$Y$3,F101)</f>
        <v>9179.2799999999988</v>
      </c>
      <c r="H101" s="79">
        <f t="shared" si="11"/>
        <v>7</v>
      </c>
      <c r="I101">
        <f t="shared" si="12"/>
        <v>47</v>
      </c>
      <c r="J101">
        <f t="shared" si="13"/>
        <v>8</v>
      </c>
      <c r="K101">
        <f t="shared" si="15"/>
        <v>18</v>
      </c>
      <c r="L101" s="80">
        <f t="shared" si="16"/>
        <v>15</v>
      </c>
      <c r="M101" s="80">
        <f t="shared" si="17"/>
        <v>33</v>
      </c>
      <c r="N101">
        <f t="shared" si="18"/>
        <v>5759.1938320106001</v>
      </c>
      <c r="O101" s="87">
        <f>(((1-((1+$W$11)/(1+$W$10))^(6*(J101+K101)))/($W$10-$W$11))*(1+$W$10)^(6*(J101+K101)))</f>
        <v>795.44548998043808</v>
      </c>
      <c r="P101" s="69">
        <f>N101*0.065*O101</f>
        <v>297773.10937373928</v>
      </c>
      <c r="Q101" s="69">
        <f t="shared" si="19"/>
        <v>1985.1540624915951</v>
      </c>
      <c r="R101" s="69">
        <f>G101*(1+0.06)^K101</f>
        <v>26200.778299549613</v>
      </c>
      <c r="S101" s="77">
        <f t="shared" si="20"/>
        <v>7.5766988285447978E-2</v>
      </c>
    </row>
    <row r="102" spans="1:19" ht="15.5" x14ac:dyDescent="0.35">
      <c r="A102" s="3" t="s">
        <v>252</v>
      </c>
      <c r="B102" s="16" t="s">
        <v>2800</v>
      </c>
      <c r="C102" s="17" t="s">
        <v>1110</v>
      </c>
      <c r="D102" s="17" t="str">
        <f t="shared" si="14"/>
        <v>02/05/89</v>
      </c>
      <c r="E102" s="3" t="s">
        <v>3601</v>
      </c>
      <c r="F102" s="6">
        <v>15892.815999999999</v>
      </c>
      <c r="G102" s="6">
        <f>IF(F102=0,$Y$3,F102)</f>
        <v>15892.815999999999</v>
      </c>
      <c r="H102" s="79">
        <f t="shared" si="11"/>
        <v>4</v>
      </c>
      <c r="I102">
        <f t="shared" si="12"/>
        <v>33</v>
      </c>
      <c r="J102">
        <f t="shared" si="13"/>
        <v>8</v>
      </c>
      <c r="K102">
        <f t="shared" si="15"/>
        <v>32</v>
      </c>
      <c r="L102" s="80">
        <f t="shared" si="16"/>
        <v>18</v>
      </c>
      <c r="M102" s="80">
        <f t="shared" si="17"/>
        <v>50</v>
      </c>
      <c r="N102">
        <f t="shared" si="18"/>
        <v>9971.3493738593206</v>
      </c>
      <c r="O102" s="87">
        <f>(((1-((1+$W$11)/(1+$W$10))^(6*(J102+K102)))/($W$10-$W$11))*(1+$W$10)^(6*(J102+K102)))</f>
        <v>2964.8060935111685</v>
      </c>
      <c r="P102" s="69">
        <f>N102*0.065*O102</f>
        <v>1921602.6299695477</v>
      </c>
      <c r="Q102" s="69">
        <f t="shared" si="19"/>
        <v>12810.684199796984</v>
      </c>
      <c r="R102" s="69">
        <f>G102*(1+0.06)^K102</f>
        <v>102562.48711205421</v>
      </c>
      <c r="S102" s="77">
        <f t="shared" si="20"/>
        <v>0.12490613830182107</v>
      </c>
    </row>
    <row r="103" spans="1:19" ht="15.5" x14ac:dyDescent="0.35">
      <c r="A103" s="3" t="s">
        <v>253</v>
      </c>
      <c r="B103" s="16" t="s">
        <v>2801</v>
      </c>
      <c r="C103" s="17" t="s">
        <v>1111</v>
      </c>
      <c r="D103" s="17" t="str">
        <f t="shared" si="14"/>
        <v>14/02/95</v>
      </c>
      <c r="E103" s="3" t="s">
        <v>3602</v>
      </c>
      <c r="F103" s="6">
        <v>7430.0639999999994</v>
      </c>
      <c r="G103" s="6">
        <f>IF(F103=0,$Y$3,F103)</f>
        <v>7430.0639999999994</v>
      </c>
      <c r="H103" s="79">
        <f t="shared" si="11"/>
        <v>10</v>
      </c>
      <c r="I103">
        <f t="shared" si="12"/>
        <v>27</v>
      </c>
      <c r="J103">
        <f t="shared" si="13"/>
        <v>8</v>
      </c>
      <c r="K103">
        <f t="shared" si="15"/>
        <v>38</v>
      </c>
      <c r="L103" s="80">
        <f t="shared" si="16"/>
        <v>12</v>
      </c>
      <c r="M103" s="80">
        <f t="shared" si="17"/>
        <v>50</v>
      </c>
      <c r="N103">
        <f t="shared" si="18"/>
        <v>4661.7140734615359</v>
      </c>
      <c r="O103" s="87">
        <f>(((1-((1+$W$11)/(1+$W$10))^(6*(J103+K103)))/($W$10-$W$11))*(1+$W$10)^(6*(J103+K103)))</f>
        <v>4984.0692911429642</v>
      </c>
      <c r="P103" s="69">
        <f>N103*0.065*O103</f>
        <v>1510229.88724586</v>
      </c>
      <c r="Q103" s="69">
        <f t="shared" si="19"/>
        <v>10068.199248305733</v>
      </c>
      <c r="R103" s="69">
        <f>G103*(1+0.06)^K103</f>
        <v>68016.68081060308</v>
      </c>
      <c r="S103" s="77">
        <f t="shared" si="20"/>
        <v>0.14802544211678451</v>
      </c>
    </row>
    <row r="104" spans="1:19" ht="15.5" x14ac:dyDescent="0.35">
      <c r="A104" s="3" t="s">
        <v>256</v>
      </c>
      <c r="B104" s="16" t="s">
        <v>2804</v>
      </c>
      <c r="C104" s="17" t="s">
        <v>1114</v>
      </c>
      <c r="D104" s="17" t="str">
        <f t="shared" si="14"/>
        <v>28/12/85</v>
      </c>
      <c r="E104" s="3" t="s">
        <v>3604</v>
      </c>
      <c r="F104" s="6">
        <v>19443.84</v>
      </c>
      <c r="G104" s="6">
        <f>IF(F104=0,$Y$3,F104)</f>
        <v>19443.84</v>
      </c>
      <c r="H104" s="79">
        <f t="shared" si="11"/>
        <v>14</v>
      </c>
      <c r="I104">
        <f t="shared" si="12"/>
        <v>37</v>
      </c>
      <c r="J104">
        <f t="shared" si="13"/>
        <v>8</v>
      </c>
      <c r="K104">
        <f t="shared" si="15"/>
        <v>28</v>
      </c>
      <c r="L104" s="80">
        <f t="shared" si="16"/>
        <v>8</v>
      </c>
      <c r="M104" s="80">
        <f t="shared" si="17"/>
        <v>36</v>
      </c>
      <c r="N104">
        <f t="shared" si="18"/>
        <v>12199.305762391059</v>
      </c>
      <c r="O104" s="87">
        <f>(((1-((1+$W$11)/(1+$W$10))^(6*(J104+K104)))/($W$10-$W$11))*(1+$W$10)^(6*(J104+K104)))</f>
        <v>2071.9321695914473</v>
      </c>
      <c r="P104" s="69">
        <f>N104*0.065*O104</f>
        <v>1642948.713625723</v>
      </c>
      <c r="Q104" s="69">
        <f t="shared" si="19"/>
        <v>10952.991424171487</v>
      </c>
      <c r="R104" s="69">
        <f>G104*(1+0.06)^K104</f>
        <v>99390.818269435505</v>
      </c>
      <c r="S104" s="77">
        <f t="shared" si="20"/>
        <v>0.11020124006303439</v>
      </c>
    </row>
    <row r="105" spans="1:19" ht="15.5" x14ac:dyDescent="0.35">
      <c r="A105" s="3" t="s">
        <v>258</v>
      </c>
      <c r="B105" s="16" t="s">
        <v>2806</v>
      </c>
      <c r="C105" s="17" t="s">
        <v>1116</v>
      </c>
      <c r="D105" s="17" t="str">
        <f t="shared" si="14"/>
        <v>13/07/84</v>
      </c>
      <c r="E105" s="3" t="s">
        <v>3605</v>
      </c>
      <c r="F105" s="6">
        <v>13217.92</v>
      </c>
      <c r="G105" s="6">
        <f>IF(F105=0,$Y$3,F105)</f>
        <v>13217.92</v>
      </c>
      <c r="H105" s="79">
        <f t="shared" si="11"/>
        <v>3</v>
      </c>
      <c r="I105">
        <f t="shared" si="12"/>
        <v>38</v>
      </c>
      <c r="J105">
        <f t="shared" si="13"/>
        <v>8</v>
      </c>
      <c r="K105">
        <f t="shared" si="15"/>
        <v>27</v>
      </c>
      <c r="L105" s="80">
        <f t="shared" si="16"/>
        <v>19</v>
      </c>
      <c r="M105" s="80">
        <f t="shared" si="17"/>
        <v>46</v>
      </c>
      <c r="N105">
        <f t="shared" si="18"/>
        <v>8293.0865314065559</v>
      </c>
      <c r="O105" s="87">
        <f>(((1-((1+$W$11)/(1+$W$10))^(6*(J105+K105)))/($W$10-$W$11))*(1+$W$10)^(6*(J105+K105)))</f>
        <v>1890.963685662718</v>
      </c>
      <c r="P105" s="69">
        <f>N105*0.065*O105</f>
        <v>1019325.1557416451</v>
      </c>
      <c r="Q105" s="69">
        <f t="shared" si="19"/>
        <v>6795.5010382776345</v>
      </c>
      <c r="R105" s="69">
        <f>G105*(1+0.06)^K105</f>
        <v>63741.382856547367</v>
      </c>
      <c r="S105" s="77">
        <f t="shared" si="20"/>
        <v>0.10661050535366</v>
      </c>
    </row>
    <row r="106" spans="1:19" ht="15.5" x14ac:dyDescent="0.35">
      <c r="A106" s="3" t="s">
        <v>259</v>
      </c>
      <c r="B106" s="16" t="s">
        <v>2807</v>
      </c>
      <c r="C106" s="17" t="s">
        <v>1117</v>
      </c>
      <c r="D106" s="17" t="str">
        <f t="shared" si="14"/>
        <v>23/08/85</v>
      </c>
      <c r="E106" s="3" t="s">
        <v>3606</v>
      </c>
      <c r="F106" s="6">
        <v>18177.68</v>
      </c>
      <c r="G106" s="6">
        <f>IF(F106=0,$Y$3,F106)</f>
        <v>18177.68</v>
      </c>
      <c r="H106" s="79">
        <f t="shared" si="11"/>
        <v>9</v>
      </c>
      <c r="I106">
        <f t="shared" si="12"/>
        <v>37</v>
      </c>
      <c r="J106">
        <f t="shared" si="13"/>
        <v>8</v>
      </c>
      <c r="K106">
        <f t="shared" si="15"/>
        <v>28</v>
      </c>
      <c r="L106" s="80">
        <f t="shared" si="16"/>
        <v>13</v>
      </c>
      <c r="M106" s="80">
        <f t="shared" si="17"/>
        <v>41</v>
      </c>
      <c r="N106">
        <f t="shared" si="18"/>
        <v>11404.901314292892</v>
      </c>
      <c r="O106" s="87">
        <f>(((1-((1+$W$11)/(1+$W$10))^(6*(J106+K106)))/($W$10-$W$11))*(1+$W$10)^(6*(J106+K106)))</f>
        <v>2071.9321695914473</v>
      </c>
      <c r="P106" s="69">
        <f>N106*0.065*O106</f>
        <v>1535961.8250664496</v>
      </c>
      <c r="Q106" s="69">
        <f t="shared" si="19"/>
        <v>10239.745500442998</v>
      </c>
      <c r="R106" s="69">
        <f>G106*(1+0.06)^K106</f>
        <v>92918.605040977112</v>
      </c>
      <c r="S106" s="77">
        <f t="shared" si="20"/>
        <v>0.1102012400630344</v>
      </c>
    </row>
    <row r="107" spans="1:19" ht="15.5" x14ac:dyDescent="0.35">
      <c r="A107" s="3" t="s">
        <v>260</v>
      </c>
      <c r="B107" s="16" t="s">
        <v>2808</v>
      </c>
      <c r="C107" s="17" t="s">
        <v>1118</v>
      </c>
      <c r="D107" s="17" t="str">
        <f t="shared" si="14"/>
        <v>07/09/72</v>
      </c>
      <c r="E107" s="3" t="s">
        <v>3607</v>
      </c>
      <c r="F107" s="6">
        <v>7430.0639999999994</v>
      </c>
      <c r="G107" s="6">
        <f>IF(F107=0,$Y$3,F107)</f>
        <v>7430.0639999999994</v>
      </c>
      <c r="H107" s="79">
        <f t="shared" si="11"/>
        <v>0</v>
      </c>
      <c r="I107">
        <f t="shared" si="12"/>
        <v>50</v>
      </c>
      <c r="J107">
        <f t="shared" si="13"/>
        <v>8</v>
      </c>
      <c r="K107">
        <f t="shared" si="15"/>
        <v>15</v>
      </c>
      <c r="L107" s="80">
        <f t="shared" si="16"/>
        <v>22</v>
      </c>
      <c r="M107" s="80">
        <f t="shared" si="17"/>
        <v>37</v>
      </c>
      <c r="N107">
        <f t="shared" si="18"/>
        <v>4661.7140734615359</v>
      </c>
      <c r="O107" s="87">
        <f>(((1-((1+$W$11)/(1+$W$10))^(6*(J107+K107)))/($W$10-$W$11))*(1+$W$10)^(6*(J107+K107)))</f>
        <v>582.2320727785642</v>
      </c>
      <c r="P107" s="69">
        <f>N107*0.065*O107</f>
        <v>176422.9641000134</v>
      </c>
      <c r="Q107" s="69">
        <f t="shared" si="19"/>
        <v>1176.1530940000894</v>
      </c>
      <c r="R107" s="69">
        <f>G107*(1+0.06)^K107</f>
        <v>17806.58075445507</v>
      </c>
      <c r="S107" s="77">
        <f t="shared" si="20"/>
        <v>6.6051596890987899E-2</v>
      </c>
    </row>
    <row r="108" spans="1:19" ht="15.5" x14ac:dyDescent="0.35">
      <c r="A108" s="3" t="s">
        <v>261</v>
      </c>
      <c r="B108" s="16" t="s">
        <v>2809</v>
      </c>
      <c r="C108" s="17" t="s">
        <v>1119</v>
      </c>
      <c r="D108" s="17" t="str">
        <f t="shared" si="14"/>
        <v>03/09/93</v>
      </c>
      <c r="E108" s="3" t="s">
        <v>3608</v>
      </c>
      <c r="F108" s="6">
        <v>11595.776</v>
      </c>
      <c r="G108" s="6">
        <f>IF(F108=0,$Y$3,F108)</f>
        <v>11595.776</v>
      </c>
      <c r="H108" s="79">
        <f t="shared" si="11"/>
        <v>14</v>
      </c>
      <c r="I108">
        <f t="shared" si="12"/>
        <v>29</v>
      </c>
      <c r="J108">
        <f t="shared" si="13"/>
        <v>8</v>
      </c>
      <c r="K108">
        <f t="shared" si="15"/>
        <v>36</v>
      </c>
      <c r="L108" s="80">
        <f t="shared" si="16"/>
        <v>8</v>
      </c>
      <c r="M108" s="80">
        <f t="shared" si="17"/>
        <v>44</v>
      </c>
      <c r="N108">
        <f t="shared" si="18"/>
        <v>7275.3333177086388</v>
      </c>
      <c r="O108" s="87">
        <f>(((1-((1+$W$11)/(1+$W$10))^(6*(J108+K108)))/($W$10-$W$11))*(1+$W$10)^(6*(J108+K108)))</f>
        <v>4200.5189242334509</v>
      </c>
      <c r="P108" s="69">
        <f>N108*0.065*O108</f>
        <v>1986411.3932741829</v>
      </c>
      <c r="Q108" s="69">
        <f t="shared" si="19"/>
        <v>13242.742621827887</v>
      </c>
      <c r="R108" s="69">
        <f>G108*(1+0.06)^K108</f>
        <v>94473.709205825289</v>
      </c>
      <c r="S108" s="77">
        <f t="shared" si="20"/>
        <v>0.14017384024773036</v>
      </c>
    </row>
    <row r="109" spans="1:19" ht="15.5" x14ac:dyDescent="0.35">
      <c r="A109" s="3" t="s">
        <v>262</v>
      </c>
      <c r="B109" s="16" t="s">
        <v>2810</v>
      </c>
      <c r="C109" s="17" t="s">
        <v>1120</v>
      </c>
      <c r="D109" s="17" t="str">
        <f t="shared" si="14"/>
        <v>30/05/84</v>
      </c>
      <c r="E109" s="3" t="s">
        <v>3609</v>
      </c>
      <c r="F109" s="6">
        <v>15753.28</v>
      </c>
      <c r="G109" s="6">
        <f>IF(F109=0,$Y$3,F109)</f>
        <v>15753.28</v>
      </c>
      <c r="H109" s="79">
        <f t="shared" si="11"/>
        <v>7</v>
      </c>
      <c r="I109">
        <f t="shared" si="12"/>
        <v>38</v>
      </c>
      <c r="J109">
        <f t="shared" si="13"/>
        <v>8</v>
      </c>
      <c r="K109">
        <f t="shared" si="15"/>
        <v>27</v>
      </c>
      <c r="L109" s="80">
        <f t="shared" si="16"/>
        <v>15</v>
      </c>
      <c r="M109" s="80">
        <f t="shared" si="17"/>
        <v>42</v>
      </c>
      <c r="N109">
        <f t="shared" si="18"/>
        <v>9883.8027612117694</v>
      </c>
      <c r="O109" s="87">
        <f>(((1-((1+$W$11)/(1+$W$10))^(6*(J109+K109)))/($W$10-$W$11))*(1+$W$10)^(6*(J109+K109)))</f>
        <v>1890.963685662718</v>
      </c>
      <c r="P109" s="69">
        <f>N109*0.065*O109</f>
        <v>1214844.2863507832</v>
      </c>
      <c r="Q109" s="69">
        <f t="shared" si="19"/>
        <v>8098.9619090052211</v>
      </c>
      <c r="R109" s="69">
        <f>G109*(1+0.06)^K109</f>
        <v>75967.765860770116</v>
      </c>
      <c r="S109" s="77">
        <f t="shared" si="20"/>
        <v>0.10661050535365998</v>
      </c>
    </row>
    <row r="110" spans="1:19" ht="15.5" x14ac:dyDescent="0.35">
      <c r="A110" s="3" t="s">
        <v>265</v>
      </c>
      <c r="B110" s="16" t="s">
        <v>2813</v>
      </c>
      <c r="C110" s="17" t="s">
        <v>1123</v>
      </c>
      <c r="D110" s="17" t="str">
        <f t="shared" si="14"/>
        <v>07/08/73</v>
      </c>
      <c r="E110" s="3" t="s">
        <v>3611</v>
      </c>
      <c r="F110" s="6">
        <v>10073.951999999999</v>
      </c>
      <c r="G110" s="6">
        <f>IF(F110=0,$Y$3,F110)</f>
        <v>10073.951999999999</v>
      </c>
      <c r="H110" s="79">
        <f t="shared" si="11"/>
        <v>7</v>
      </c>
      <c r="I110">
        <f t="shared" si="12"/>
        <v>49</v>
      </c>
      <c r="J110">
        <f t="shared" si="13"/>
        <v>7</v>
      </c>
      <c r="K110">
        <f t="shared" si="15"/>
        <v>16</v>
      </c>
      <c r="L110" s="80">
        <f t="shared" si="16"/>
        <v>15</v>
      </c>
      <c r="M110" s="80">
        <f t="shared" si="17"/>
        <v>31</v>
      </c>
      <c r="N110">
        <f t="shared" si="18"/>
        <v>6699.7534398899588</v>
      </c>
      <c r="O110" s="87">
        <f>(((1-((1+$W$11)/(1+$W$10))^(6*(J110+K110)))/($W$10-$W$11))*(1+$W$10)^(6*(J110+K110)))</f>
        <v>582.2320727785642</v>
      </c>
      <c r="P110" s="69">
        <f>N110*0.065*O110</f>
        <v>253552.73660680902</v>
      </c>
      <c r="Q110" s="69">
        <f t="shared" si="19"/>
        <v>1690.3515773787267</v>
      </c>
      <c r="R110" s="69">
        <f>G110*(1+0.06)^K110</f>
        <v>25591.380934642606</v>
      </c>
      <c r="S110" s="77">
        <f t="shared" si="20"/>
        <v>6.6051596890987899E-2</v>
      </c>
    </row>
    <row r="111" spans="1:19" ht="15.5" x14ac:dyDescent="0.35">
      <c r="A111" s="3" t="s">
        <v>267</v>
      </c>
      <c r="B111" s="16" t="s">
        <v>2815</v>
      </c>
      <c r="C111" s="17" t="s">
        <v>1125</v>
      </c>
      <c r="D111" s="17" t="str">
        <f t="shared" si="14"/>
        <v>31/10/85</v>
      </c>
      <c r="E111" s="3" t="s">
        <v>3613</v>
      </c>
      <c r="F111" s="6">
        <v>17380.896000000001</v>
      </c>
      <c r="G111" s="6">
        <f>IF(F111=0,$Y$3,F111)</f>
        <v>17380.896000000001</v>
      </c>
      <c r="H111" s="79">
        <f t="shared" si="11"/>
        <v>4</v>
      </c>
      <c r="I111">
        <f t="shared" si="12"/>
        <v>37</v>
      </c>
      <c r="J111">
        <f t="shared" si="13"/>
        <v>7</v>
      </c>
      <c r="K111">
        <f t="shared" si="15"/>
        <v>28</v>
      </c>
      <c r="L111" s="80">
        <f t="shared" si="16"/>
        <v>18</v>
      </c>
      <c r="M111" s="80">
        <f t="shared" si="17"/>
        <v>46</v>
      </c>
      <c r="N111">
        <f t="shared" si="18"/>
        <v>11559.288525930006</v>
      </c>
      <c r="O111" s="87">
        <f>(((1-((1+$W$11)/(1+$W$10))^(6*(J111+K111)))/($W$10-$W$11))*(1+$W$10)^(6*(J111+K111)))</f>
        <v>1890.963685662718</v>
      </c>
      <c r="P111" s="69">
        <f>N111*0.065*O111</f>
        <v>1420782.664251039</v>
      </c>
      <c r="Q111" s="69">
        <f t="shared" si="19"/>
        <v>9471.8844283402595</v>
      </c>
      <c r="R111" s="69">
        <f>G111*(1+0.06)^K111</f>
        <v>88845.694867678336</v>
      </c>
      <c r="S111" s="77">
        <f t="shared" si="20"/>
        <v>0.10661050535365994</v>
      </c>
    </row>
    <row r="112" spans="1:19" ht="15.5" x14ac:dyDescent="0.35">
      <c r="A112" s="3" t="s">
        <v>269</v>
      </c>
      <c r="B112" s="16" t="s">
        <v>2817</v>
      </c>
      <c r="C112" s="17" t="s">
        <v>1127</v>
      </c>
      <c r="D112" s="17" t="str">
        <f t="shared" si="14"/>
        <v>01/09/81</v>
      </c>
      <c r="E112" s="3" t="s">
        <v>3614</v>
      </c>
      <c r="F112" s="6">
        <v>27210.128000000001</v>
      </c>
      <c r="G112" s="6">
        <f>IF(F112=0,$Y$3,F112)</f>
        <v>27210.128000000001</v>
      </c>
      <c r="H112" s="79">
        <f t="shared" si="11"/>
        <v>0</v>
      </c>
      <c r="I112">
        <f t="shared" si="12"/>
        <v>41</v>
      </c>
      <c r="J112">
        <f t="shared" si="13"/>
        <v>7</v>
      </c>
      <c r="K112">
        <f t="shared" si="15"/>
        <v>24</v>
      </c>
      <c r="L112" s="80">
        <f t="shared" si="16"/>
        <v>22</v>
      </c>
      <c r="M112" s="80">
        <f t="shared" si="17"/>
        <v>46</v>
      </c>
      <c r="N112">
        <f t="shared" si="18"/>
        <v>18096.289188974308</v>
      </c>
      <c r="O112" s="87">
        <f>(((1-((1+$W$11)/(1+$W$10))^(6*(J112+K112)))/($W$10-$W$11))*(1+$W$10)^(6*(J112+K112)))</f>
        <v>1300.6996735984885</v>
      </c>
      <c r="P112" s="69">
        <f>N112*0.065*O112</f>
        <v>1529959.433693778</v>
      </c>
      <c r="Q112" s="69">
        <f t="shared" si="19"/>
        <v>10199.729557958521</v>
      </c>
      <c r="R112" s="69">
        <f>G112*(1+0.06)^K112</f>
        <v>110172.02985252118</v>
      </c>
      <c r="S112" s="77">
        <f t="shared" si="20"/>
        <v>9.2580027540675375E-2</v>
      </c>
    </row>
    <row r="113" spans="1:19" ht="15.5" x14ac:dyDescent="0.35">
      <c r="A113" s="3" t="s">
        <v>272</v>
      </c>
      <c r="B113" s="16" t="s">
        <v>2820</v>
      </c>
      <c r="C113" s="17" t="s">
        <v>1130</v>
      </c>
      <c r="D113" s="17" t="str">
        <f t="shared" si="14"/>
        <v>01/02/91</v>
      </c>
      <c r="E113" s="3" t="s">
        <v>3615</v>
      </c>
      <c r="F113" s="6">
        <v>12936.111999999999</v>
      </c>
      <c r="G113" s="6">
        <f>IF(F113=0,$Y$3,F113)</f>
        <v>12936.111999999999</v>
      </c>
      <c r="H113" s="79">
        <f t="shared" si="11"/>
        <v>15</v>
      </c>
      <c r="I113">
        <f t="shared" si="12"/>
        <v>31</v>
      </c>
      <c r="J113">
        <f t="shared" si="13"/>
        <v>7</v>
      </c>
      <c r="K113">
        <f t="shared" si="15"/>
        <v>34</v>
      </c>
      <c r="L113" s="80">
        <f t="shared" si="16"/>
        <v>7</v>
      </c>
      <c r="M113" s="80">
        <f t="shared" si="17"/>
        <v>41</v>
      </c>
      <c r="N113">
        <f t="shared" si="18"/>
        <v>8603.253308215264</v>
      </c>
      <c r="O113" s="87">
        <f>(((1-((1+$W$11)/(1+$W$10))^(6*(J113+K113)))/($W$10-$W$11))*(1+$W$10)^(6*(J113+K113)))</f>
        <v>3237.3816560572077</v>
      </c>
      <c r="P113" s="69">
        <f>N113*0.065*O113</f>
        <v>1810380.938757923</v>
      </c>
      <c r="Q113" s="69">
        <f t="shared" si="19"/>
        <v>12069.206258386153</v>
      </c>
      <c r="R113" s="69">
        <f>G113*(1+0.06)^K113</f>
        <v>93800.075082144613</v>
      </c>
      <c r="S113" s="77">
        <f t="shared" si="20"/>
        <v>0.12866947332202719</v>
      </c>
    </row>
    <row r="114" spans="1:19" ht="15.5" x14ac:dyDescent="0.35">
      <c r="A114" s="3" t="s">
        <v>275</v>
      </c>
      <c r="B114" s="16" t="s">
        <v>2823</v>
      </c>
      <c r="C114" s="17" t="s">
        <v>1133</v>
      </c>
      <c r="D114" s="17" t="str">
        <f t="shared" si="14"/>
        <v>12/12/79</v>
      </c>
      <c r="E114" s="3" t="s">
        <v>3616</v>
      </c>
      <c r="F114" s="6">
        <v>18738.863999999998</v>
      </c>
      <c r="G114" s="6">
        <f>IF(F114=0,$Y$3,F114)</f>
        <v>18738.863999999998</v>
      </c>
      <c r="H114" s="79">
        <f t="shared" si="11"/>
        <v>6</v>
      </c>
      <c r="I114">
        <f t="shared" si="12"/>
        <v>43</v>
      </c>
      <c r="J114">
        <f t="shared" si="13"/>
        <v>7</v>
      </c>
      <c r="K114">
        <f t="shared" si="15"/>
        <v>22</v>
      </c>
      <c r="L114" s="80">
        <f t="shared" si="16"/>
        <v>16</v>
      </c>
      <c r="M114" s="80">
        <f t="shared" si="17"/>
        <v>38</v>
      </c>
      <c r="N114">
        <f t="shared" si="18"/>
        <v>12462.4148044015</v>
      </c>
      <c r="O114" s="87">
        <f>(((1-((1+$W$11)/(1+$W$10))^(6*(J114+K114)))/($W$10-$W$11))*(1+$W$10)^(6*(J114+K114)))</f>
        <v>1072.3399666941964</v>
      </c>
      <c r="P114" s="69">
        <f>N114*0.065*O114</f>
        <v>868656.45595827582</v>
      </c>
      <c r="Q114" s="69">
        <f t="shared" si="19"/>
        <v>5791.0430397218388</v>
      </c>
      <c r="R114" s="69">
        <f>G114*(1+0.06)^K114</f>
        <v>67526.197568173171</v>
      </c>
      <c r="S114" s="77">
        <f t="shared" si="20"/>
        <v>8.5759945743654697E-2</v>
      </c>
    </row>
    <row r="115" spans="1:19" ht="15.5" x14ac:dyDescent="0.35">
      <c r="A115" s="3" t="s">
        <v>276</v>
      </c>
      <c r="B115" s="16" t="s">
        <v>2824</v>
      </c>
      <c r="C115" s="17" t="s">
        <v>1134</v>
      </c>
      <c r="D115" s="17" t="str">
        <f t="shared" si="14"/>
        <v>25/09/78</v>
      </c>
      <c r="E115" s="3" t="s">
        <v>3617</v>
      </c>
      <c r="F115" s="6">
        <v>19748.144</v>
      </c>
      <c r="G115" s="6">
        <f>IF(F115=0,$Y$3,F115)</f>
        <v>19748.144</v>
      </c>
      <c r="H115" s="79">
        <f t="shared" si="11"/>
        <v>4</v>
      </c>
      <c r="I115">
        <f t="shared" si="12"/>
        <v>44</v>
      </c>
      <c r="J115">
        <f t="shared" si="13"/>
        <v>7</v>
      </c>
      <c r="K115">
        <f t="shared" si="15"/>
        <v>21</v>
      </c>
      <c r="L115" s="80">
        <f t="shared" si="16"/>
        <v>18</v>
      </c>
      <c r="M115" s="80">
        <f t="shared" si="17"/>
        <v>39</v>
      </c>
      <c r="N115">
        <f t="shared" si="18"/>
        <v>13133.643648038253</v>
      </c>
      <c r="O115" s="87">
        <f>(((1-((1+$W$11)/(1+$W$10))^(6*(J115+K115)))/($W$10-$W$11))*(1+$W$10)^(6*(J115+K115)))</f>
        <v>971.97898006406626</v>
      </c>
      <c r="P115" s="69">
        <f>N115*0.065*O115</f>
        <v>829765.66124043299</v>
      </c>
      <c r="Q115" s="69">
        <f t="shared" si="19"/>
        <v>5531.7710749362195</v>
      </c>
      <c r="R115" s="69">
        <f>G115*(1+0.06)^K115</f>
        <v>67135.071520733371</v>
      </c>
      <c r="S115" s="77">
        <f t="shared" si="20"/>
        <v>8.2397634345676374E-2</v>
      </c>
    </row>
    <row r="116" spans="1:19" ht="15.5" x14ac:dyDescent="0.35">
      <c r="A116" s="3" t="s">
        <v>277</v>
      </c>
      <c r="B116" s="16" t="s">
        <v>2825</v>
      </c>
      <c r="C116" s="17" t="s">
        <v>1135</v>
      </c>
      <c r="D116" s="17" t="str">
        <f t="shared" si="14"/>
        <v>13/09/88</v>
      </c>
      <c r="E116" s="3" t="s">
        <v>3618</v>
      </c>
      <c r="F116" s="6">
        <v>14659.791999999999</v>
      </c>
      <c r="G116" s="6">
        <f>IF(F116=0,$Y$3,F116)</f>
        <v>14659.791999999999</v>
      </c>
      <c r="H116" s="79">
        <f t="shared" si="11"/>
        <v>15</v>
      </c>
      <c r="I116">
        <f t="shared" si="12"/>
        <v>34</v>
      </c>
      <c r="J116">
        <f t="shared" si="13"/>
        <v>7</v>
      </c>
      <c r="K116">
        <f t="shared" si="15"/>
        <v>31</v>
      </c>
      <c r="L116" s="80">
        <f t="shared" si="16"/>
        <v>7</v>
      </c>
      <c r="M116" s="80">
        <f t="shared" si="17"/>
        <v>38</v>
      </c>
      <c r="N116">
        <f t="shared" si="18"/>
        <v>9749.5989538238118</v>
      </c>
      <c r="O116" s="87">
        <f>(((1-((1+$W$11)/(1+$W$10))^(6*(J116+K116)))/($W$10-$W$11))*(1+$W$10)^(6*(J116+K116)))</f>
        <v>2481.8865373152853</v>
      </c>
      <c r="P116" s="69">
        <f>N116*0.065*O116</f>
        <v>1572830.8952017031</v>
      </c>
      <c r="Q116" s="69">
        <f t="shared" si="19"/>
        <v>10485.539301344686</v>
      </c>
      <c r="R116" s="69">
        <f>G116*(1+0.06)^K116</f>
        <v>89250.289105669101</v>
      </c>
      <c r="S116" s="77">
        <f t="shared" si="20"/>
        <v>0.11748465362314052</v>
      </c>
    </row>
    <row r="117" spans="1:19" ht="15.5" x14ac:dyDescent="0.35">
      <c r="A117" s="3" t="s">
        <v>278</v>
      </c>
      <c r="B117" s="16" t="s">
        <v>2826</v>
      </c>
      <c r="C117" s="17" t="s">
        <v>1136</v>
      </c>
      <c r="D117" s="17" t="str">
        <f t="shared" si="14"/>
        <v>08/04/82</v>
      </c>
      <c r="E117" s="3" t="s">
        <v>3619</v>
      </c>
      <c r="F117" s="6">
        <v>8480.9920000000002</v>
      </c>
      <c r="G117" s="6">
        <f>IF(F117=0,$Y$3,F117)</f>
        <v>8480.9920000000002</v>
      </c>
      <c r="H117" s="79">
        <f t="shared" si="11"/>
        <v>2</v>
      </c>
      <c r="I117">
        <f t="shared" si="12"/>
        <v>40</v>
      </c>
      <c r="J117">
        <f t="shared" si="13"/>
        <v>7</v>
      </c>
      <c r="K117">
        <f t="shared" si="15"/>
        <v>25</v>
      </c>
      <c r="L117" s="80">
        <f t="shared" si="16"/>
        <v>20</v>
      </c>
      <c r="M117" s="80">
        <f t="shared" si="17"/>
        <v>45</v>
      </c>
      <c r="N117">
        <f t="shared" si="18"/>
        <v>5640.3440601741231</v>
      </c>
      <c r="O117" s="87">
        <f>(((1-((1+$W$11)/(1+$W$10))^(6*(J117+K117)))/($W$10-$W$11))*(1+$W$10)^(6*(J117+K117)))</f>
        <v>1430.2452154182549</v>
      </c>
      <c r="P117" s="69">
        <f>N117*0.065*O117</f>
        <v>524359.8818494929</v>
      </c>
      <c r="Q117" s="69">
        <f t="shared" si="19"/>
        <v>3495.7325456632861</v>
      </c>
      <c r="R117" s="69">
        <f>G117*(1+0.06)^K117</f>
        <v>36399.321239178767</v>
      </c>
      <c r="S117" s="77">
        <f t="shared" si="20"/>
        <v>9.6038399251814066E-2</v>
      </c>
    </row>
    <row r="118" spans="1:19" ht="15.5" x14ac:dyDescent="0.35">
      <c r="A118" s="3" t="s">
        <v>280</v>
      </c>
      <c r="B118" s="16" t="s">
        <v>2828</v>
      </c>
      <c r="C118" s="17" t="s">
        <v>1138</v>
      </c>
      <c r="D118" s="17" t="str">
        <f t="shared" si="14"/>
        <v>06/06/92</v>
      </c>
      <c r="E118" s="3" t="s">
        <v>3620</v>
      </c>
      <c r="F118" s="6">
        <v>11839.279999999999</v>
      </c>
      <c r="G118" s="6">
        <f>IF(F118=0,$Y$3,F118)</f>
        <v>11839.279999999999</v>
      </c>
      <c r="H118" s="79">
        <f t="shared" si="11"/>
        <v>11</v>
      </c>
      <c r="I118">
        <f t="shared" si="12"/>
        <v>30</v>
      </c>
      <c r="J118">
        <f t="shared" si="13"/>
        <v>7</v>
      </c>
      <c r="K118">
        <f t="shared" si="15"/>
        <v>35</v>
      </c>
      <c r="L118" s="80">
        <f t="shared" si="16"/>
        <v>11</v>
      </c>
      <c r="M118" s="80">
        <f t="shared" si="17"/>
        <v>46</v>
      </c>
      <c r="N118">
        <f t="shared" si="18"/>
        <v>7873.797384166649</v>
      </c>
      <c r="O118" s="87">
        <f>(((1-((1+$W$11)/(1+$W$10))^(6*(J118+K118)))/($W$10-$W$11))*(1+$W$10)^(6*(J118+K118)))</f>
        <v>3532.9398561414855</v>
      </c>
      <c r="P118" s="69">
        <f>N118*0.065*O118</f>
        <v>1808147.4188508203</v>
      </c>
      <c r="Q118" s="69">
        <f t="shared" si="19"/>
        <v>12054.316125672136</v>
      </c>
      <c r="R118" s="69">
        <f>G118*(1+0.06)^K118</f>
        <v>90997.733638487756</v>
      </c>
      <c r="S118" s="77">
        <f t="shared" si="20"/>
        <v>0.13246831150280131</v>
      </c>
    </row>
    <row r="119" spans="1:19" ht="15.5" x14ac:dyDescent="0.35">
      <c r="A119" s="3" t="s">
        <v>281</v>
      </c>
      <c r="B119" s="16" t="s">
        <v>2829</v>
      </c>
      <c r="C119" s="17" t="s">
        <v>1139</v>
      </c>
      <c r="D119" s="17" t="str">
        <f t="shared" si="14"/>
        <v>12/06/89</v>
      </c>
      <c r="E119" s="3" t="s">
        <v>3621</v>
      </c>
      <c r="F119" s="6">
        <v>9169.2479999999996</v>
      </c>
      <c r="G119" s="6">
        <f>IF(F119=0,$Y$3,F119)</f>
        <v>9169.2479999999996</v>
      </c>
      <c r="H119" s="79">
        <f t="shared" si="11"/>
        <v>6</v>
      </c>
      <c r="I119">
        <f t="shared" si="12"/>
        <v>33</v>
      </c>
      <c r="J119">
        <f t="shared" si="13"/>
        <v>7</v>
      </c>
      <c r="K119">
        <f t="shared" si="15"/>
        <v>32</v>
      </c>
      <c r="L119" s="80">
        <f t="shared" si="16"/>
        <v>16</v>
      </c>
      <c r="M119" s="80">
        <f t="shared" si="17"/>
        <v>48</v>
      </c>
      <c r="N119">
        <f t="shared" si="18"/>
        <v>6098.0736089673765</v>
      </c>
      <c r="O119" s="87">
        <f>(((1-((1+$W$11)/(1+$W$10))^(6*(J119+K119)))/($W$10-$W$11))*(1+$W$10)^(6*(J119+K119)))</f>
        <v>2713.5031944291845</v>
      </c>
      <c r="P119" s="69">
        <f>N119*0.065*O119</f>
        <v>1075564.2441568235</v>
      </c>
      <c r="Q119" s="69">
        <f t="shared" si="19"/>
        <v>7170.428294378823</v>
      </c>
      <c r="R119" s="69">
        <f>G119*(1+0.06)^K119</f>
        <v>59172.702926103775</v>
      </c>
      <c r="S119" s="77">
        <f t="shared" si="20"/>
        <v>0.12117797463694396</v>
      </c>
    </row>
    <row r="120" spans="1:19" ht="15.5" x14ac:dyDescent="0.35">
      <c r="A120" s="3" t="s">
        <v>287</v>
      </c>
      <c r="B120" s="16" t="s">
        <v>2835</v>
      </c>
      <c r="C120" s="17" t="s">
        <v>1145</v>
      </c>
      <c r="D120" s="17" t="str">
        <f t="shared" si="14"/>
        <v>06/01/72</v>
      </c>
      <c r="E120" s="3" t="s">
        <v>3624</v>
      </c>
      <c r="F120" s="6">
        <v>5602.72</v>
      </c>
      <c r="G120" s="6">
        <f>IF(F120=0,$Y$3,F120)</f>
        <v>5602.72</v>
      </c>
      <c r="H120" s="79">
        <f t="shared" si="11"/>
        <v>13</v>
      </c>
      <c r="I120">
        <f t="shared" si="12"/>
        <v>50</v>
      </c>
      <c r="J120">
        <f t="shared" si="13"/>
        <v>0</v>
      </c>
      <c r="K120">
        <f t="shared" si="15"/>
        <v>15</v>
      </c>
      <c r="L120" s="80">
        <f t="shared" si="16"/>
        <v>9</v>
      </c>
      <c r="M120" s="80">
        <f t="shared" si="17"/>
        <v>24</v>
      </c>
      <c r="N120">
        <f t="shared" si="18"/>
        <v>5602.72</v>
      </c>
      <c r="O120" s="87">
        <f>(((1-((1+$W$11)/(1+$W$10))^(6*(J120+K120)))/($W$10-$W$11))*(1+$W$10)^(6*(J120+K120)))</f>
        <v>229.20085400115141</v>
      </c>
      <c r="P120" s="69">
        <f>N120*0.065*O120</f>
        <v>83469.633567406519</v>
      </c>
      <c r="Q120" s="69">
        <f t="shared" si="19"/>
        <v>556.46422378271018</v>
      </c>
      <c r="R120" s="69">
        <f>G120*(1+0.06)^K120</f>
        <v>13427.244519643509</v>
      </c>
      <c r="S120" s="77">
        <f t="shared" si="20"/>
        <v>4.1442920248352208E-2</v>
      </c>
    </row>
    <row r="121" spans="1:19" ht="15.5" x14ac:dyDescent="0.35">
      <c r="A121" s="3" t="s">
        <v>289</v>
      </c>
      <c r="B121" s="16" t="s">
        <v>2837</v>
      </c>
      <c r="C121" s="17" t="s">
        <v>1147</v>
      </c>
      <c r="D121" s="17" t="str">
        <f t="shared" si="14"/>
        <v>04/04/89</v>
      </c>
      <c r="E121" s="3" t="s">
        <v>3626</v>
      </c>
      <c r="F121" s="6">
        <v>11377.503999999999</v>
      </c>
      <c r="G121" s="6">
        <f>IF(F121=0,$Y$3,F121)</f>
        <v>11377.503999999999</v>
      </c>
      <c r="H121" s="79">
        <f t="shared" si="11"/>
        <v>15</v>
      </c>
      <c r="I121">
        <f t="shared" si="12"/>
        <v>33</v>
      </c>
      <c r="J121">
        <f t="shared" si="13"/>
        <v>7</v>
      </c>
      <c r="K121">
        <f t="shared" si="15"/>
        <v>32</v>
      </c>
      <c r="L121" s="80">
        <f t="shared" si="16"/>
        <v>7</v>
      </c>
      <c r="M121" s="80">
        <f t="shared" si="17"/>
        <v>39</v>
      </c>
      <c r="N121">
        <f t="shared" si="18"/>
        <v>7566.6899704665811</v>
      </c>
      <c r="O121" s="87">
        <f>(((1-((1+$W$11)/(1+$W$10))^(6*(J121+K121)))/($W$10-$W$11))*(1+$W$10)^(6*(J121+K121)))</f>
        <v>2713.5031944291845</v>
      </c>
      <c r="P121" s="69">
        <f>N121*0.065*O121</f>
        <v>1334595.4313975621</v>
      </c>
      <c r="Q121" s="69">
        <f t="shared" si="19"/>
        <v>8897.3028759837471</v>
      </c>
      <c r="R121" s="69">
        <f>G121*(1+0.06)^K121</f>
        <v>73423.432786697158</v>
      </c>
      <c r="S121" s="77">
        <f t="shared" si="20"/>
        <v>0.12117797463694395</v>
      </c>
    </row>
    <row r="122" spans="1:19" ht="15.5" x14ac:dyDescent="0.35">
      <c r="A122" s="3" t="s">
        <v>294</v>
      </c>
      <c r="B122" s="16" t="s">
        <v>2842</v>
      </c>
      <c r="C122" s="17" t="s">
        <v>1152</v>
      </c>
      <c r="D122" s="17" t="str">
        <f t="shared" si="14"/>
        <v>26/09/86</v>
      </c>
      <c r="E122" s="3" t="s">
        <v>3627</v>
      </c>
      <c r="F122" s="6">
        <v>61487.039999999994</v>
      </c>
      <c r="G122" s="6">
        <f>IF(F122=0,$Y$3,F122)</f>
        <v>61487.039999999994</v>
      </c>
      <c r="H122" s="79">
        <f t="shared" si="11"/>
        <v>6</v>
      </c>
      <c r="I122">
        <f t="shared" si="12"/>
        <v>36</v>
      </c>
      <c r="J122">
        <f t="shared" si="13"/>
        <v>7</v>
      </c>
      <c r="K122">
        <f t="shared" si="15"/>
        <v>29</v>
      </c>
      <c r="L122" s="80">
        <f t="shared" si="16"/>
        <v>16</v>
      </c>
      <c r="M122" s="80">
        <f t="shared" si="17"/>
        <v>45</v>
      </c>
      <c r="N122">
        <f t="shared" si="18"/>
        <v>40892.393347581114</v>
      </c>
      <c r="O122" s="87">
        <f>(((1-((1+$W$11)/(1+$W$10))^(6*(J122+K122)))/($W$10-$W$11))*(1+$W$10)^(6*(J122+K122)))</f>
        <v>2071.9321695914473</v>
      </c>
      <c r="P122" s="69">
        <f>N122*0.065*O122</f>
        <v>5507207.2424486391</v>
      </c>
      <c r="Q122" s="69">
        <f t="shared" si="19"/>
        <v>36714.714949657595</v>
      </c>
      <c r="R122" s="69">
        <f>G122*(1+0.06)^K122</f>
        <v>333160.63347977778</v>
      </c>
      <c r="S122" s="77">
        <f t="shared" si="20"/>
        <v>0.11020124006303436</v>
      </c>
    </row>
    <row r="123" spans="1:19" ht="15.5" x14ac:dyDescent="0.35">
      <c r="A123" s="3" t="s">
        <v>297</v>
      </c>
      <c r="B123" s="16" t="s">
        <v>2845</v>
      </c>
      <c r="C123" s="17" t="s">
        <v>1155</v>
      </c>
      <c r="D123" s="17" t="str">
        <f t="shared" si="14"/>
        <v>16/01/94</v>
      </c>
      <c r="E123" s="3" t="s">
        <v>3628</v>
      </c>
      <c r="F123" s="6">
        <v>18743.423999999999</v>
      </c>
      <c r="G123" s="6">
        <f>IF(F123=0,$Y$3,F123)</f>
        <v>18743.423999999999</v>
      </c>
      <c r="H123" s="79">
        <f t="shared" si="11"/>
        <v>15</v>
      </c>
      <c r="I123">
        <f t="shared" si="12"/>
        <v>28</v>
      </c>
      <c r="J123">
        <f t="shared" si="13"/>
        <v>7</v>
      </c>
      <c r="K123">
        <f t="shared" si="15"/>
        <v>37</v>
      </c>
      <c r="L123" s="80">
        <f t="shared" si="16"/>
        <v>7</v>
      </c>
      <c r="M123" s="80">
        <f t="shared" si="17"/>
        <v>44</v>
      </c>
      <c r="N123">
        <f t="shared" si="18"/>
        <v>12465.447464839619</v>
      </c>
      <c r="O123" s="87">
        <f>(((1-((1+$W$11)/(1+$W$10))^(6*(J123+K123)))/($W$10-$W$11))*(1+$W$10)^(6*(J123+K123)))</f>
        <v>4200.5189242334509</v>
      </c>
      <c r="P123" s="69">
        <f>N123*0.065*O123</f>
        <v>3403487.6183812865</v>
      </c>
      <c r="Q123" s="69">
        <f t="shared" si="19"/>
        <v>22689.917455875242</v>
      </c>
      <c r="R123" s="69">
        <f>G123*(1+0.06)^K123</f>
        <v>161869.84258814037</v>
      </c>
      <c r="S123" s="77">
        <f t="shared" si="20"/>
        <v>0.14017384024773033</v>
      </c>
    </row>
    <row r="124" spans="1:19" ht="15.5" x14ac:dyDescent="0.35">
      <c r="A124" s="3" t="s">
        <v>299</v>
      </c>
      <c r="B124" s="16" t="s">
        <v>2847</v>
      </c>
      <c r="C124" s="17" t="s">
        <v>1157</v>
      </c>
      <c r="D124" s="17" t="str">
        <f t="shared" si="14"/>
        <v>28/11/69</v>
      </c>
      <c r="E124" s="3" t="s">
        <v>3629</v>
      </c>
      <c r="F124" s="6">
        <v>5632.2079999999996</v>
      </c>
      <c r="G124" s="6">
        <f>IF(F124=0,$Y$3,F124)</f>
        <v>5632.2079999999996</v>
      </c>
      <c r="H124" s="79">
        <f t="shared" si="11"/>
        <v>99</v>
      </c>
      <c r="I124">
        <f t="shared" si="12"/>
        <v>53</v>
      </c>
      <c r="J124">
        <f t="shared" si="13"/>
        <v>7</v>
      </c>
      <c r="K124">
        <f t="shared" si="15"/>
        <v>12</v>
      </c>
      <c r="L124" s="80">
        <f t="shared" si="16"/>
        <v>23</v>
      </c>
      <c r="M124" s="80">
        <f t="shared" si="17"/>
        <v>35</v>
      </c>
      <c r="N124">
        <f t="shared" si="18"/>
        <v>3745.7399958006295</v>
      </c>
      <c r="O124" s="87">
        <f>(((1-((1+$W$11)/(1+$W$10))^(6*(J124+K124)))/($W$10-$W$11))*(1+$W$10)^(6*(J124+K124)))</f>
        <v>373.65839639087795</v>
      </c>
      <c r="P124" s="69">
        <f>N124*0.065*O124</f>
        <v>90975.768008322426</v>
      </c>
      <c r="Q124" s="69">
        <f t="shared" si="19"/>
        <v>606.50512005548285</v>
      </c>
      <c r="R124" s="69">
        <f>G124*(1+0.06)^K124</f>
        <v>11333.109066243969</v>
      </c>
      <c r="S124" s="77">
        <f t="shared" si="20"/>
        <v>5.3516216645437382E-2</v>
      </c>
    </row>
    <row r="125" spans="1:19" ht="15.5" x14ac:dyDescent="0.35">
      <c r="A125" s="3" t="s">
        <v>304</v>
      </c>
      <c r="B125" s="16" t="s">
        <v>2852</v>
      </c>
      <c r="C125" s="17" t="s">
        <v>1162</v>
      </c>
      <c r="D125" s="17" t="str">
        <f t="shared" si="14"/>
        <v>14/09/68</v>
      </c>
      <c r="E125" s="3" t="s">
        <v>3632</v>
      </c>
      <c r="F125" s="6">
        <v>5632.2079999999996</v>
      </c>
      <c r="G125" s="6">
        <f>IF(F125=0,$Y$3,F125)</f>
        <v>5632.2079999999996</v>
      </c>
      <c r="H125" s="79">
        <f t="shared" si="11"/>
        <v>10</v>
      </c>
      <c r="I125">
        <f t="shared" si="12"/>
        <v>54</v>
      </c>
      <c r="J125">
        <f t="shared" si="13"/>
        <v>7</v>
      </c>
      <c r="K125">
        <f t="shared" si="15"/>
        <v>11</v>
      </c>
      <c r="L125" s="80">
        <f t="shared" si="16"/>
        <v>12</v>
      </c>
      <c r="M125" s="80">
        <f t="shared" si="17"/>
        <v>23</v>
      </c>
      <c r="N125">
        <f t="shared" si="18"/>
        <v>3745.7399958006295</v>
      </c>
      <c r="O125" s="87">
        <f>(((1-((1+$W$11)/(1+$W$10))^(6*(J125+K125)))/($W$10-$W$11))*(1+$W$10)^(6*(J125+K125)))</f>
        <v>332.34551836663485</v>
      </c>
      <c r="P125" s="69">
        <f>N125*0.065*O125</f>
        <v>80917.193537114799</v>
      </c>
      <c r="Q125" s="69">
        <f t="shared" si="19"/>
        <v>539.44795691409865</v>
      </c>
      <c r="R125" s="69">
        <f>G125*(1+0.06)^K125</f>
        <v>10691.612326645252</v>
      </c>
      <c r="S125" s="77">
        <f t="shared" si="20"/>
        <v>5.0455248510059218E-2</v>
      </c>
    </row>
    <row r="126" spans="1:19" ht="15.5" x14ac:dyDescent="0.35">
      <c r="A126" s="3" t="s">
        <v>305</v>
      </c>
      <c r="B126" s="16" t="s">
        <v>2853</v>
      </c>
      <c r="C126" s="17" t="s">
        <v>1163</v>
      </c>
      <c r="D126" s="17" t="str">
        <f t="shared" si="14"/>
        <v>26/11/84</v>
      </c>
      <c r="E126" s="3" t="s">
        <v>3633</v>
      </c>
      <c r="F126" s="6">
        <v>21924.48</v>
      </c>
      <c r="G126" s="6">
        <f>IF(F126=0,$Y$3,F126)</f>
        <v>21924.48</v>
      </c>
      <c r="H126" s="79">
        <f t="shared" si="11"/>
        <v>11</v>
      </c>
      <c r="I126">
        <f t="shared" si="12"/>
        <v>38</v>
      </c>
      <c r="J126">
        <f t="shared" si="13"/>
        <v>7</v>
      </c>
      <c r="K126">
        <f t="shared" si="15"/>
        <v>27</v>
      </c>
      <c r="L126" s="80">
        <f t="shared" si="16"/>
        <v>11</v>
      </c>
      <c r="M126" s="80">
        <f t="shared" si="17"/>
        <v>38</v>
      </c>
      <c r="N126">
        <f t="shared" si="18"/>
        <v>14581.031386470633</v>
      </c>
      <c r="O126" s="87">
        <f>(((1-((1+$W$11)/(1+$W$10))^(6*(J126+K126)))/($W$10-$W$11))*(1+$W$10)^(6*(J126+K126)))</f>
        <v>1724.4052908394829</v>
      </c>
      <c r="P126" s="69">
        <f>N126*0.065*O126</f>
        <v>1634334.498467224</v>
      </c>
      <c r="Q126" s="69">
        <f t="shared" si="19"/>
        <v>10895.563323114826</v>
      </c>
      <c r="R126" s="69">
        <f>G126*(1+0.06)^K126</f>
        <v>105727.42713004131</v>
      </c>
      <c r="S126" s="77">
        <f t="shared" si="20"/>
        <v>0.10305332891259744</v>
      </c>
    </row>
    <row r="127" spans="1:19" ht="15.5" x14ac:dyDescent="0.35">
      <c r="A127" s="3" t="s">
        <v>306</v>
      </c>
      <c r="B127" s="16" t="s">
        <v>2854</v>
      </c>
      <c r="C127" s="17" t="s">
        <v>1164</v>
      </c>
      <c r="D127" s="17" t="str">
        <f t="shared" si="14"/>
        <v>12/11/79</v>
      </c>
      <c r="E127" s="3" t="s">
        <v>3634</v>
      </c>
      <c r="F127" s="6">
        <v>9002.655999999999</v>
      </c>
      <c r="G127" s="6">
        <f>IF(F127=0,$Y$3,F127)</f>
        <v>9002.655999999999</v>
      </c>
      <c r="H127" s="79">
        <f t="shared" si="11"/>
        <v>4</v>
      </c>
      <c r="I127">
        <f t="shared" si="12"/>
        <v>43</v>
      </c>
      <c r="J127">
        <f t="shared" si="13"/>
        <v>7</v>
      </c>
      <c r="K127">
        <f t="shared" si="15"/>
        <v>22</v>
      </c>
      <c r="L127" s="80">
        <f t="shared" si="16"/>
        <v>18</v>
      </c>
      <c r="M127" s="80">
        <f t="shared" si="17"/>
        <v>40</v>
      </c>
      <c r="N127">
        <f t="shared" si="18"/>
        <v>5987.2804142948044</v>
      </c>
      <c r="O127" s="87">
        <f>(((1-((1+$W$11)/(1+$W$10))^(6*(J127+K127)))/($W$10-$W$11))*(1+$W$10)^(6*(J127+K127)))</f>
        <v>1072.3399666941964</v>
      </c>
      <c r="P127" s="69">
        <f>N127*0.065*O127</f>
        <v>417326.00520349084</v>
      </c>
      <c r="Q127" s="69">
        <f t="shared" si="19"/>
        <v>2782.1733680232724</v>
      </c>
      <c r="R127" s="69">
        <f>G127*(1+0.06)^K127</f>
        <v>32441.407744583641</v>
      </c>
      <c r="S127" s="77">
        <f t="shared" si="20"/>
        <v>8.5759945743654697E-2</v>
      </c>
    </row>
    <row r="128" spans="1:19" ht="15.5" x14ac:dyDescent="0.35">
      <c r="A128" s="3" t="s">
        <v>307</v>
      </c>
      <c r="B128" s="16" t="s">
        <v>2855</v>
      </c>
      <c r="C128" s="17" t="s">
        <v>1165</v>
      </c>
      <c r="D128" s="17" t="str">
        <f t="shared" si="14"/>
        <v>16/02/92</v>
      </c>
      <c r="E128" s="3" t="s">
        <v>3635</v>
      </c>
      <c r="F128" s="6">
        <v>20141.823999999997</v>
      </c>
      <c r="G128" s="6">
        <f>IF(F128=0,$Y$3,F128)</f>
        <v>20141.823999999997</v>
      </c>
      <c r="H128" s="79">
        <f t="shared" si="11"/>
        <v>8</v>
      </c>
      <c r="I128">
        <f t="shared" si="12"/>
        <v>30</v>
      </c>
      <c r="J128">
        <f t="shared" si="13"/>
        <v>7</v>
      </c>
      <c r="K128">
        <f t="shared" si="15"/>
        <v>35</v>
      </c>
      <c r="L128" s="80">
        <f t="shared" si="16"/>
        <v>14</v>
      </c>
      <c r="M128" s="80">
        <f t="shared" si="17"/>
        <v>49</v>
      </c>
      <c r="N128">
        <f t="shared" si="18"/>
        <v>13395.463332529092</v>
      </c>
      <c r="O128" s="87">
        <f>(((1-((1+$W$11)/(1+$W$10))^(6*(J128+K128)))/($W$10-$W$11))*(1+$W$10)^(6*(J128+K128)))</f>
        <v>3532.9398561414855</v>
      </c>
      <c r="P128" s="69">
        <f>N128*0.065*O128</f>
        <v>3076148.8094333019</v>
      </c>
      <c r="Q128" s="69">
        <f t="shared" si="19"/>
        <v>20507.658729555347</v>
      </c>
      <c r="R128" s="69">
        <f>G128*(1+0.06)^K128</f>
        <v>154811.80741947988</v>
      </c>
      <c r="S128" s="77">
        <f t="shared" si="20"/>
        <v>0.13246831150280131</v>
      </c>
    </row>
    <row r="129" spans="1:19" ht="15.5" x14ac:dyDescent="0.35">
      <c r="A129" s="3" t="s">
        <v>308</v>
      </c>
      <c r="B129" s="16" t="s">
        <v>2856</v>
      </c>
      <c r="C129" s="17" t="s">
        <v>1166</v>
      </c>
      <c r="D129" s="17" t="str">
        <f t="shared" si="14"/>
        <v>16/02/84</v>
      </c>
      <c r="E129" s="3" t="s">
        <v>3635</v>
      </c>
      <c r="F129" s="6">
        <v>6117.0879999999997</v>
      </c>
      <c r="G129" s="6">
        <f>IF(F129=0,$Y$3,F129)</f>
        <v>6117.0879999999997</v>
      </c>
      <c r="H129" s="79">
        <f t="shared" si="11"/>
        <v>0</v>
      </c>
      <c r="I129">
        <f t="shared" si="12"/>
        <v>38</v>
      </c>
      <c r="J129">
        <f t="shared" si="13"/>
        <v>7</v>
      </c>
      <c r="K129">
        <f t="shared" si="15"/>
        <v>27</v>
      </c>
      <c r="L129" s="80">
        <f t="shared" si="16"/>
        <v>22</v>
      </c>
      <c r="M129" s="80">
        <f t="shared" si="17"/>
        <v>49</v>
      </c>
      <c r="N129">
        <f t="shared" si="18"/>
        <v>4068.2128890538279</v>
      </c>
      <c r="O129" s="87">
        <f>(((1-((1+$W$11)/(1+$W$10))^(6*(J129+K129)))/($W$10-$W$11))*(1+$W$10)^(6*(J129+K129)))</f>
        <v>1724.4052908394829</v>
      </c>
      <c r="P129" s="69">
        <f>N129*0.065*O129</f>
        <v>455991.10895947693</v>
      </c>
      <c r="Q129" s="69">
        <f t="shared" si="19"/>
        <v>3039.9407263965127</v>
      </c>
      <c r="R129" s="69">
        <f>G129*(1+0.06)^K129</f>
        <v>29498.714485727829</v>
      </c>
      <c r="S129" s="77">
        <f t="shared" si="20"/>
        <v>0.10305332891259744</v>
      </c>
    </row>
    <row r="130" spans="1:19" ht="15.5" x14ac:dyDescent="0.35">
      <c r="A130" s="3" t="s">
        <v>315</v>
      </c>
      <c r="B130" s="16" t="s">
        <v>2863</v>
      </c>
      <c r="C130" s="17" t="s">
        <v>1173</v>
      </c>
      <c r="D130" s="17" t="str">
        <f t="shared" si="14"/>
        <v>25/07/79</v>
      </c>
      <c r="E130" s="3" t="s">
        <v>3636</v>
      </c>
      <c r="F130" s="6">
        <v>14994.495999999999</v>
      </c>
      <c r="G130" s="6">
        <f>IF(F130=0,$Y$3,F130)</f>
        <v>14994.495999999999</v>
      </c>
      <c r="H130" s="79">
        <f t="shared" ref="H130:H193" si="21">_xlfn.NUMBERVALUE(MID(B130,3,2))</f>
        <v>5</v>
      </c>
      <c r="I130">
        <f t="shared" ref="I130:I193" si="22">2022-YEAR(D130)</f>
        <v>43</v>
      </c>
      <c r="J130">
        <f t="shared" ref="J130:J193" si="23">2022-YEAR(E130)</f>
        <v>7</v>
      </c>
      <c r="K130">
        <f t="shared" si="15"/>
        <v>22</v>
      </c>
      <c r="L130" s="80">
        <f t="shared" si="16"/>
        <v>17</v>
      </c>
      <c r="M130" s="80">
        <f t="shared" si="17"/>
        <v>39</v>
      </c>
      <c r="N130">
        <f t="shared" si="18"/>
        <v>9972.1962299816623</v>
      </c>
      <c r="O130" s="87">
        <f>(((1-((1+$W$11)/(1+$W$10))^(6*(J130+K130)))/($W$10-$W$11))*(1+$W$10)^(6*(J130+K130)))</f>
        <v>1072.3399666941964</v>
      </c>
      <c r="P130" s="69">
        <f>N130*0.065*O130</f>
        <v>695082.99725322425</v>
      </c>
      <c r="Q130" s="69">
        <f t="shared" si="19"/>
        <v>4633.8866483548281</v>
      </c>
      <c r="R130" s="69">
        <f>G130*(1+0.06)^K130</f>
        <v>54033.227378734504</v>
      </c>
      <c r="S130" s="77">
        <f t="shared" si="20"/>
        <v>8.5759945743654684E-2</v>
      </c>
    </row>
    <row r="131" spans="1:19" ht="15.5" x14ac:dyDescent="0.35">
      <c r="A131" s="3" t="s">
        <v>317</v>
      </c>
      <c r="B131" s="16" t="s">
        <v>2865</v>
      </c>
      <c r="C131" s="17" t="s">
        <v>1175</v>
      </c>
      <c r="D131" s="17" t="str">
        <f t="shared" ref="D131:D194" si="24">_xlfn.CONCAT(MID(C131,5,2),"/",MID(C131,3,2),"/",MID(C131,1,2))</f>
        <v>25/03/81</v>
      </c>
      <c r="E131" s="3" t="s">
        <v>3638</v>
      </c>
      <c r="F131" s="6">
        <v>12573.135999999999</v>
      </c>
      <c r="G131" s="6">
        <f>IF(F131=0,$Y$3,F131)</f>
        <v>12573.135999999999</v>
      </c>
      <c r="H131" s="79">
        <f t="shared" si="21"/>
        <v>98</v>
      </c>
      <c r="I131">
        <f t="shared" si="22"/>
        <v>41</v>
      </c>
      <c r="J131">
        <f t="shared" si="23"/>
        <v>7</v>
      </c>
      <c r="K131">
        <f t="shared" ref="K131:K194" si="25">65-I131</f>
        <v>24</v>
      </c>
      <c r="L131" s="80">
        <f t="shared" ref="L131:L194" si="26">IF(H131&gt;22,122-H131,22-H131)</f>
        <v>24</v>
      </c>
      <c r="M131" s="80">
        <f t="shared" ref="M131:M194" si="27">L131+K131</f>
        <v>48</v>
      </c>
      <c r="N131">
        <f t="shared" ref="N131:N194" si="28">G131*(1+0.06)^-J131</f>
        <v>8361.8535373410814</v>
      </c>
      <c r="O131" s="87">
        <f>(((1-((1+$W$11)/(1+$W$10))^(6*(J131+K131)))/($W$10-$W$11))*(1+$W$10)^(6*(J131+K131)))</f>
        <v>1300.6996735984885</v>
      </c>
      <c r="P131" s="69">
        <f>N131*0.065*O131</f>
        <v>706956.91083536425</v>
      </c>
      <c r="Q131" s="69">
        <f t="shared" ref="Q131:Q194" si="29">P131/150</f>
        <v>4713.046072235762</v>
      </c>
      <c r="R131" s="69">
        <f>G131*(1+0.06)^K131</f>
        <v>50907.805899766754</v>
      </c>
      <c r="S131" s="77">
        <f t="shared" si="20"/>
        <v>9.2580027540675361E-2</v>
      </c>
    </row>
    <row r="132" spans="1:19" ht="15.5" x14ac:dyDescent="0.35">
      <c r="A132" s="3" t="s">
        <v>318</v>
      </c>
      <c r="B132" s="16" t="s">
        <v>2866</v>
      </c>
      <c r="C132" s="17" t="s">
        <v>1176</v>
      </c>
      <c r="D132" s="17" t="str">
        <f t="shared" si="24"/>
        <v>27/02/87</v>
      </c>
      <c r="E132" s="3" t="s">
        <v>3639</v>
      </c>
      <c r="F132" s="6">
        <v>19207.936000000002</v>
      </c>
      <c r="G132" s="6">
        <f>IF(F132=0,$Y$3,F132)</f>
        <v>19207.936000000002</v>
      </c>
      <c r="H132" s="79">
        <f t="shared" si="21"/>
        <v>14</v>
      </c>
      <c r="I132">
        <f t="shared" si="22"/>
        <v>35</v>
      </c>
      <c r="J132">
        <f t="shared" si="23"/>
        <v>7</v>
      </c>
      <c r="K132">
        <f t="shared" si="25"/>
        <v>30</v>
      </c>
      <c r="L132" s="80">
        <f t="shared" si="26"/>
        <v>8</v>
      </c>
      <c r="M132" s="80">
        <f t="shared" si="27"/>
        <v>38</v>
      </c>
      <c r="N132">
        <f t="shared" si="28"/>
        <v>12774.374474802558</v>
      </c>
      <c r="O132" s="87">
        <f>(((1-((1+$W$11)/(1+$W$10))^(6*(J132+K132)))/($W$10-$W$11))*(1+$W$10)^(6*(J132+K132)))</f>
        <v>2268.4845089511282</v>
      </c>
      <c r="P132" s="69">
        <f>N132*0.065*O132</f>
        <v>1883600.5894959699</v>
      </c>
      <c r="Q132" s="69">
        <f t="shared" si="29"/>
        <v>12557.337263306466</v>
      </c>
      <c r="R132" s="69">
        <f>G132*(1+0.06)^K132</f>
        <v>110320.61086588283</v>
      </c>
      <c r="S132" s="77">
        <f t="shared" si="20"/>
        <v>0.11382584962815757</v>
      </c>
    </row>
    <row r="133" spans="1:19" ht="15.5" x14ac:dyDescent="0.35">
      <c r="A133" s="3" t="s">
        <v>320</v>
      </c>
      <c r="B133" s="16" t="s">
        <v>2868</v>
      </c>
      <c r="C133" s="17" t="s">
        <v>1178</v>
      </c>
      <c r="D133" s="17" t="str">
        <f t="shared" si="24"/>
        <v>21/03/73</v>
      </c>
      <c r="E133" s="3" t="s">
        <v>3640</v>
      </c>
      <c r="F133" s="6">
        <v>7610.9440000000004</v>
      </c>
      <c r="G133" s="6">
        <f>IF(F133=0,$Y$3,F133)</f>
        <v>7610.9440000000004</v>
      </c>
      <c r="H133" s="79">
        <f t="shared" si="21"/>
        <v>8</v>
      </c>
      <c r="I133">
        <f t="shared" si="22"/>
        <v>49</v>
      </c>
      <c r="J133">
        <f t="shared" si="23"/>
        <v>7</v>
      </c>
      <c r="K133">
        <f t="shared" si="25"/>
        <v>16</v>
      </c>
      <c r="L133" s="80">
        <f t="shared" si="26"/>
        <v>14</v>
      </c>
      <c r="M133" s="80">
        <f t="shared" si="27"/>
        <v>30</v>
      </c>
      <c r="N133">
        <f t="shared" si="28"/>
        <v>5061.7124485812365</v>
      </c>
      <c r="O133" s="87">
        <f>(((1-((1+$W$11)/(1+$W$10))^(6*(J133+K133)))/($W$10-$W$11))*(1+$W$10)^(6*(J133+K133)))</f>
        <v>582.2320727785642</v>
      </c>
      <c r="P133" s="69">
        <f>N133*0.065*O133</f>
        <v>191560.93649852346</v>
      </c>
      <c r="Q133" s="69">
        <f t="shared" si="29"/>
        <v>1277.0729099901564</v>
      </c>
      <c r="R133" s="69">
        <f>G133*(1+0.06)^K133</f>
        <v>19334.474412448319</v>
      </c>
      <c r="S133" s="77">
        <f t="shared" ref="S133:S196" si="30">Q133/R133</f>
        <v>6.6051596890987899E-2</v>
      </c>
    </row>
    <row r="134" spans="1:19" ht="15.5" x14ac:dyDescent="0.35">
      <c r="A134" s="3" t="s">
        <v>321</v>
      </c>
      <c r="B134" s="16" t="s">
        <v>2869</v>
      </c>
      <c r="C134" s="17" t="s">
        <v>1179</v>
      </c>
      <c r="D134" s="17" t="str">
        <f t="shared" si="24"/>
        <v>02/02/68</v>
      </c>
      <c r="E134" s="3" t="s">
        <v>3641</v>
      </c>
      <c r="F134" s="6">
        <v>5632.2079999999996</v>
      </c>
      <c r="G134" s="6">
        <f>IF(F134=0,$Y$3,F134)</f>
        <v>5632.2079999999996</v>
      </c>
      <c r="H134" s="79">
        <f t="shared" si="21"/>
        <v>15</v>
      </c>
      <c r="I134">
        <f t="shared" si="22"/>
        <v>54</v>
      </c>
      <c r="J134">
        <f t="shared" si="23"/>
        <v>7</v>
      </c>
      <c r="K134">
        <f t="shared" si="25"/>
        <v>11</v>
      </c>
      <c r="L134" s="80">
        <f t="shared" si="26"/>
        <v>7</v>
      </c>
      <c r="M134" s="80">
        <f t="shared" si="27"/>
        <v>18</v>
      </c>
      <c r="N134">
        <f t="shared" si="28"/>
        <v>3745.7399958006295</v>
      </c>
      <c r="O134" s="87">
        <f>(((1-((1+$W$11)/(1+$W$10))^(6*(J134+K134)))/($W$10-$W$11))*(1+$W$10)^(6*(J134+K134)))</f>
        <v>332.34551836663485</v>
      </c>
      <c r="P134" s="69">
        <f>N134*0.065*O134</f>
        <v>80917.193537114799</v>
      </c>
      <c r="Q134" s="69">
        <f t="shared" si="29"/>
        <v>539.44795691409865</v>
      </c>
      <c r="R134" s="69">
        <f>G134*(1+0.06)^K134</f>
        <v>10691.612326645252</v>
      </c>
      <c r="S134" s="77">
        <f t="shared" si="30"/>
        <v>5.0455248510059218E-2</v>
      </c>
    </row>
    <row r="135" spans="1:19" ht="15.5" x14ac:dyDescent="0.35">
      <c r="A135" s="3" t="s">
        <v>323</v>
      </c>
      <c r="B135" s="16" t="s">
        <v>2871</v>
      </c>
      <c r="C135" s="17" t="s">
        <v>1181</v>
      </c>
      <c r="D135" s="17" t="str">
        <f t="shared" si="24"/>
        <v>14/05/81</v>
      </c>
      <c r="E135" s="3" t="s">
        <v>3643</v>
      </c>
      <c r="F135" s="6">
        <v>7709.7439999999997</v>
      </c>
      <c r="G135" s="6">
        <f>IF(F135=0,$Y$3,F135)</f>
        <v>7709.7439999999997</v>
      </c>
      <c r="H135" s="79">
        <f t="shared" si="21"/>
        <v>9</v>
      </c>
      <c r="I135">
        <f t="shared" si="22"/>
        <v>41</v>
      </c>
      <c r="J135">
        <f t="shared" si="23"/>
        <v>7</v>
      </c>
      <c r="K135">
        <f t="shared" si="25"/>
        <v>24</v>
      </c>
      <c r="L135" s="80">
        <f t="shared" si="26"/>
        <v>13</v>
      </c>
      <c r="M135" s="80">
        <f t="shared" si="27"/>
        <v>37</v>
      </c>
      <c r="N135">
        <f t="shared" si="28"/>
        <v>5127.4200914071234</v>
      </c>
      <c r="O135" s="87">
        <f>(((1-((1+$W$11)/(1+$W$10))^(6*(J135+K135)))/($W$10-$W$11))*(1+$W$10)^(6*(J135+K135)))</f>
        <v>1300.6996735984885</v>
      </c>
      <c r="P135" s="69">
        <f>N135*0.065*O135</f>
        <v>433500.18655421259</v>
      </c>
      <c r="Q135" s="69">
        <f t="shared" si="29"/>
        <v>2890.0012436947504</v>
      </c>
      <c r="R135" s="69">
        <f>G135*(1+0.06)^K135</f>
        <v>31216.249556903811</v>
      </c>
      <c r="S135" s="77">
        <f t="shared" si="30"/>
        <v>9.2580027540675375E-2</v>
      </c>
    </row>
    <row r="136" spans="1:19" ht="15.5" x14ac:dyDescent="0.35">
      <c r="A136" s="3" t="s">
        <v>327</v>
      </c>
      <c r="B136" s="16" t="s">
        <v>2875</v>
      </c>
      <c r="C136" s="17" t="s">
        <v>1185</v>
      </c>
      <c r="D136" s="17" t="str">
        <f t="shared" si="24"/>
        <v>27/10/75</v>
      </c>
      <c r="E136" s="3" t="s">
        <v>3645</v>
      </c>
      <c r="F136" s="6">
        <v>5632.2079999999996</v>
      </c>
      <c r="G136" s="6">
        <f>IF(F136=0,$Y$3,F136)</f>
        <v>5632.2079999999996</v>
      </c>
      <c r="H136" s="79">
        <f t="shared" si="21"/>
        <v>16</v>
      </c>
      <c r="I136">
        <f t="shared" si="22"/>
        <v>47</v>
      </c>
      <c r="J136">
        <f t="shared" si="23"/>
        <v>6</v>
      </c>
      <c r="K136">
        <f t="shared" si="25"/>
        <v>18</v>
      </c>
      <c r="L136" s="80">
        <f t="shared" si="26"/>
        <v>6</v>
      </c>
      <c r="M136" s="80">
        <f t="shared" si="27"/>
        <v>24</v>
      </c>
      <c r="N136">
        <f t="shared" si="28"/>
        <v>3970.4843955486681</v>
      </c>
      <c r="O136" s="87">
        <f>(((1-((1+$W$11)/(1+$W$10))^(6*(J136+K136)))/($W$10-$W$11))*(1+$W$10)^(6*(J136+K136)))</f>
        <v>647.14153879984769</v>
      </c>
      <c r="P136" s="69">
        <f>N136*0.065*O136</f>
        <v>167015.24979854966</v>
      </c>
      <c r="Q136" s="69">
        <f t="shared" si="29"/>
        <v>1113.4349986569978</v>
      </c>
      <c r="R136" s="69">
        <f>G136*(1+0.06)^K136</f>
        <v>16076.231811748823</v>
      </c>
      <c r="S136" s="77">
        <f t="shared" si="30"/>
        <v>6.9259700388450349E-2</v>
      </c>
    </row>
    <row r="137" spans="1:19" ht="15.5" x14ac:dyDescent="0.35">
      <c r="A137" s="3" t="s">
        <v>328</v>
      </c>
      <c r="B137" s="16" t="s">
        <v>2876</v>
      </c>
      <c r="C137" s="17" t="s">
        <v>1186</v>
      </c>
      <c r="D137" s="17" t="str">
        <f t="shared" si="24"/>
        <v>14/10/90</v>
      </c>
      <c r="E137" s="3" t="s">
        <v>3646</v>
      </c>
      <c r="F137" s="6">
        <v>15656.911999999998</v>
      </c>
      <c r="G137" s="6">
        <f>IF(F137=0,$Y$3,F137)</f>
        <v>15656.911999999998</v>
      </c>
      <c r="H137" s="79">
        <f t="shared" si="21"/>
        <v>10</v>
      </c>
      <c r="I137">
        <f t="shared" si="22"/>
        <v>32</v>
      </c>
      <c r="J137">
        <f t="shared" si="23"/>
        <v>6</v>
      </c>
      <c r="K137">
        <f t="shared" si="25"/>
        <v>33</v>
      </c>
      <c r="L137" s="80">
        <f t="shared" si="26"/>
        <v>12</v>
      </c>
      <c r="M137" s="80">
        <f t="shared" si="27"/>
        <v>45</v>
      </c>
      <c r="N137">
        <f t="shared" si="28"/>
        <v>11037.505145136451</v>
      </c>
      <c r="O137" s="87">
        <f>(((1-((1+$W$11)/(1+$W$10))^(6*(J137+K137)))/($W$10-$W$11))*(1+$W$10)^(6*(J137+K137)))</f>
        <v>2713.5031944291845</v>
      </c>
      <c r="P137" s="69">
        <f>N137*0.065*O137</f>
        <v>1946769.8555406607</v>
      </c>
      <c r="Q137" s="69">
        <f t="shared" si="29"/>
        <v>12978.465703604405</v>
      </c>
      <c r="R137" s="69">
        <f>G137*(1+0.06)^K137</f>
        <v>107102.51382306578</v>
      </c>
      <c r="S137" s="77">
        <f t="shared" si="30"/>
        <v>0.12117797463694396</v>
      </c>
    </row>
    <row r="138" spans="1:19" ht="15.5" x14ac:dyDescent="0.35">
      <c r="A138" s="3" t="s">
        <v>329</v>
      </c>
      <c r="B138" s="16" t="s">
        <v>2877</v>
      </c>
      <c r="C138" s="17" t="s">
        <v>1187</v>
      </c>
      <c r="D138" s="17" t="str">
        <f t="shared" si="24"/>
        <v>06/11/88</v>
      </c>
      <c r="E138" s="3" t="s">
        <v>3646</v>
      </c>
      <c r="F138" s="6">
        <v>10394.672</v>
      </c>
      <c r="G138" s="6">
        <f>IF(F138=0,$Y$3,F138)</f>
        <v>10394.672</v>
      </c>
      <c r="H138" s="79">
        <f t="shared" si="21"/>
        <v>10</v>
      </c>
      <c r="I138">
        <f t="shared" si="22"/>
        <v>34</v>
      </c>
      <c r="J138">
        <f t="shared" si="23"/>
        <v>6</v>
      </c>
      <c r="K138">
        <f t="shared" si="25"/>
        <v>31</v>
      </c>
      <c r="L138" s="80">
        <f t="shared" si="26"/>
        <v>12</v>
      </c>
      <c r="M138" s="80">
        <f t="shared" si="27"/>
        <v>43</v>
      </c>
      <c r="N138">
        <f t="shared" si="28"/>
        <v>7327.8335908131712</v>
      </c>
      <c r="O138" s="87">
        <f>(((1-((1+$W$11)/(1+$W$10))^(6*(J138+K138)))/($W$10-$W$11))*(1+$W$10)^(6*(J138+K138)))</f>
        <v>2268.4845089511282</v>
      </c>
      <c r="P138" s="69">
        <f>N138*0.065*O138</f>
        <v>1080500.004020541</v>
      </c>
      <c r="Q138" s="69">
        <f t="shared" si="29"/>
        <v>7203.3333601369395</v>
      </c>
      <c r="R138" s="69">
        <f>G138*(1+0.06)^K138</f>
        <v>63283.809289968354</v>
      </c>
      <c r="S138" s="77">
        <f t="shared" si="30"/>
        <v>0.11382584962815757</v>
      </c>
    </row>
    <row r="139" spans="1:19" ht="15.5" x14ac:dyDescent="0.35">
      <c r="A139" s="3" t="s">
        <v>330</v>
      </c>
      <c r="B139" s="16" t="s">
        <v>2878</v>
      </c>
      <c r="C139" s="17" t="s">
        <v>1188</v>
      </c>
      <c r="D139" s="17" t="str">
        <f t="shared" si="24"/>
        <v>19/07/80</v>
      </c>
      <c r="E139" s="3" t="s">
        <v>3647</v>
      </c>
      <c r="F139" s="6">
        <v>30494.847999999998</v>
      </c>
      <c r="G139" s="6">
        <f>IF(F139=0,$Y$3,F139)</f>
        <v>30494.847999999998</v>
      </c>
      <c r="H139" s="79">
        <f t="shared" si="21"/>
        <v>4</v>
      </c>
      <c r="I139">
        <f t="shared" si="22"/>
        <v>42</v>
      </c>
      <c r="J139">
        <f t="shared" si="23"/>
        <v>6</v>
      </c>
      <c r="K139">
        <f t="shared" si="25"/>
        <v>23</v>
      </c>
      <c r="L139" s="80">
        <f t="shared" si="26"/>
        <v>18</v>
      </c>
      <c r="M139" s="80">
        <f t="shared" si="27"/>
        <v>41</v>
      </c>
      <c r="N139">
        <f t="shared" si="28"/>
        <v>21497.664526705779</v>
      </c>
      <c r="O139" s="87">
        <f>(((1-((1+$W$11)/(1+$W$10))^(6*(J139+K139)))/($W$10-$W$11))*(1+$W$10)^(6*(J139+K139)))</f>
        <v>1072.3399666941964</v>
      </c>
      <c r="P139" s="69">
        <f>N139*0.065*O139</f>
        <v>1498432.3160670944</v>
      </c>
      <c r="Q139" s="69">
        <f t="shared" si="29"/>
        <v>9989.5487737806288</v>
      </c>
      <c r="R139" s="69">
        <f>G139*(1+0.06)^K139</f>
        <v>116482.68532772186</v>
      </c>
      <c r="S139" s="77">
        <f t="shared" si="30"/>
        <v>8.5759945743654684E-2</v>
      </c>
    </row>
    <row r="140" spans="1:19" ht="15.5" x14ac:dyDescent="0.35">
      <c r="A140" s="3" t="s">
        <v>331</v>
      </c>
      <c r="B140" s="16" t="s">
        <v>2879</v>
      </c>
      <c r="C140" s="17" t="s">
        <v>1189</v>
      </c>
      <c r="D140" s="17" t="str">
        <f t="shared" si="24"/>
        <v>08/11/90</v>
      </c>
      <c r="E140" s="3" t="s">
        <v>3648</v>
      </c>
      <c r="F140" s="6">
        <v>16027.487999999999</v>
      </c>
      <c r="G140" s="6">
        <f>IF(F140=0,$Y$3,F140)</f>
        <v>16027.487999999999</v>
      </c>
      <c r="H140" s="79">
        <f t="shared" si="21"/>
        <v>11</v>
      </c>
      <c r="I140">
        <f t="shared" si="22"/>
        <v>32</v>
      </c>
      <c r="J140">
        <f t="shared" si="23"/>
        <v>6</v>
      </c>
      <c r="K140">
        <f t="shared" si="25"/>
        <v>33</v>
      </c>
      <c r="L140" s="80">
        <f t="shared" si="26"/>
        <v>11</v>
      </c>
      <c r="M140" s="80">
        <f t="shared" si="27"/>
        <v>44</v>
      </c>
      <c r="N140">
        <f t="shared" si="28"/>
        <v>11298.746602370426</v>
      </c>
      <c r="O140" s="87">
        <f>(((1-((1+$W$11)/(1+$W$10))^(6*(J140+K140)))/($W$10-$W$11))*(1+$W$10)^(6*(J140+K140)))</f>
        <v>2713.5031944291845</v>
      </c>
      <c r="P140" s="69">
        <f>N140*0.065*O140</f>
        <v>1992847.0249075729</v>
      </c>
      <c r="Q140" s="69">
        <f t="shared" si="29"/>
        <v>13285.646832717153</v>
      </c>
      <c r="R140" s="69">
        <f>G140*(1+0.06)^K140</f>
        <v>109637.4722594737</v>
      </c>
      <c r="S140" s="77">
        <f t="shared" si="30"/>
        <v>0.12117797463694399</v>
      </c>
    </row>
    <row r="141" spans="1:19" ht="15.5" x14ac:dyDescent="0.35">
      <c r="A141" s="3" t="s">
        <v>332</v>
      </c>
      <c r="B141" s="16" t="s">
        <v>2880</v>
      </c>
      <c r="C141" s="17" t="s">
        <v>1190</v>
      </c>
      <c r="D141" s="17" t="str">
        <f t="shared" si="24"/>
        <v>12/09/74</v>
      </c>
      <c r="E141" s="3" t="s">
        <v>3649</v>
      </c>
      <c r="F141" s="6">
        <v>24436.736000000001</v>
      </c>
      <c r="G141" s="6">
        <f>IF(F141=0,$Y$3,F141)</f>
        <v>24436.736000000001</v>
      </c>
      <c r="H141" s="79">
        <f t="shared" si="21"/>
        <v>15</v>
      </c>
      <c r="I141">
        <f t="shared" si="22"/>
        <v>48</v>
      </c>
      <c r="J141">
        <f t="shared" si="23"/>
        <v>6</v>
      </c>
      <c r="K141">
        <f t="shared" si="25"/>
        <v>17</v>
      </c>
      <c r="L141" s="80">
        <f t="shared" si="26"/>
        <v>7</v>
      </c>
      <c r="M141" s="80">
        <f t="shared" si="27"/>
        <v>24</v>
      </c>
      <c r="N141">
        <f t="shared" si="28"/>
        <v>17226.934617141695</v>
      </c>
      <c r="O141" s="87">
        <f>(((1-((1+$W$11)/(1+$W$10))^(6*(J141+K141)))/($W$10-$W$11))*(1+$W$10)^(6*(J141+K141)))</f>
        <v>582.2320727785642</v>
      </c>
      <c r="P141" s="69">
        <f>N141*0.065*O141</f>
        <v>651954.80023434863</v>
      </c>
      <c r="Q141" s="69">
        <f t="shared" si="29"/>
        <v>4346.3653348956577</v>
      </c>
      <c r="R141" s="69">
        <f>G141*(1+0.06)^K141</f>
        <v>65802.577673768188</v>
      </c>
      <c r="S141" s="77">
        <f t="shared" si="30"/>
        <v>6.6051596890987913E-2</v>
      </c>
    </row>
    <row r="142" spans="1:19" ht="15.5" x14ac:dyDescent="0.35">
      <c r="A142" s="3" t="s">
        <v>333</v>
      </c>
      <c r="B142" s="16" t="s">
        <v>2881</v>
      </c>
      <c r="C142" s="17" t="s">
        <v>1191</v>
      </c>
      <c r="D142" s="17" t="str">
        <f t="shared" si="24"/>
        <v>09/08/84</v>
      </c>
      <c r="E142" s="3" t="s">
        <v>3649</v>
      </c>
      <c r="F142" s="6">
        <v>8316.2240000000002</v>
      </c>
      <c r="G142" s="6">
        <f>IF(F142=0,$Y$3,F142)</f>
        <v>8316.2240000000002</v>
      </c>
      <c r="H142" s="79">
        <f t="shared" si="21"/>
        <v>16</v>
      </c>
      <c r="I142">
        <f t="shared" si="22"/>
        <v>38</v>
      </c>
      <c r="J142">
        <f t="shared" si="23"/>
        <v>6</v>
      </c>
      <c r="K142">
        <f t="shared" si="25"/>
        <v>27</v>
      </c>
      <c r="L142" s="80">
        <f t="shared" si="26"/>
        <v>6</v>
      </c>
      <c r="M142" s="80">
        <f t="shared" si="27"/>
        <v>33</v>
      </c>
      <c r="N142">
        <f t="shared" si="28"/>
        <v>5862.6097654574069</v>
      </c>
      <c r="O142" s="87">
        <f>(((1-((1+$W$11)/(1+$W$10))^(6*(J142+K142)))/($W$10-$W$11))*(1+$W$10)^(6*(J142+K142)))</f>
        <v>1571.1687390454781</v>
      </c>
      <c r="P142" s="69">
        <f>N142*0.065*O142</f>
        <v>598724.69752611232</v>
      </c>
      <c r="Q142" s="69">
        <f t="shared" si="29"/>
        <v>3991.4979835074155</v>
      </c>
      <c r="R142" s="69">
        <f>G142*(1+0.06)^K142</f>
        <v>40103.709048383389</v>
      </c>
      <c r="S142" s="77">
        <f t="shared" si="30"/>
        <v>9.9529397111171092E-2</v>
      </c>
    </row>
    <row r="143" spans="1:19" ht="15.5" x14ac:dyDescent="0.35">
      <c r="A143" s="3" t="s">
        <v>334</v>
      </c>
      <c r="B143" s="16" t="s">
        <v>2882</v>
      </c>
      <c r="C143" s="17" t="s">
        <v>1192</v>
      </c>
      <c r="D143" s="17" t="str">
        <f t="shared" si="24"/>
        <v>25/06/89</v>
      </c>
      <c r="E143" s="3" t="s">
        <v>3650</v>
      </c>
      <c r="F143" s="6">
        <v>24828.592000000001</v>
      </c>
      <c r="G143" s="6">
        <f>IF(F143=0,$Y$3,F143)</f>
        <v>24828.592000000001</v>
      </c>
      <c r="H143" s="79">
        <f t="shared" si="21"/>
        <v>12</v>
      </c>
      <c r="I143">
        <f t="shared" si="22"/>
        <v>33</v>
      </c>
      <c r="J143">
        <f t="shared" si="23"/>
        <v>6</v>
      </c>
      <c r="K143">
        <f t="shared" si="25"/>
        <v>32</v>
      </c>
      <c r="L143" s="80">
        <f t="shared" si="26"/>
        <v>10</v>
      </c>
      <c r="M143" s="80">
        <f t="shared" si="27"/>
        <v>42</v>
      </c>
      <c r="N143">
        <f t="shared" si="28"/>
        <v>17503.177634676224</v>
      </c>
      <c r="O143" s="87">
        <f>(((1-((1+$W$11)/(1+$W$10))^(6*(J143+K143)))/($W$10-$W$11))*(1+$W$10)^(6*(J143+K143)))</f>
        <v>2481.8865373152853</v>
      </c>
      <c r="P143" s="69">
        <f>N143*0.065*O143</f>
        <v>2823658.5605631596</v>
      </c>
      <c r="Q143" s="69">
        <f t="shared" si="29"/>
        <v>18824.390403754398</v>
      </c>
      <c r="R143" s="69">
        <f>G143*(1+0.06)^K143</f>
        <v>160228.50494276488</v>
      </c>
      <c r="S143" s="77">
        <f t="shared" si="30"/>
        <v>0.11748465362314056</v>
      </c>
    </row>
    <row r="144" spans="1:19" ht="15.5" x14ac:dyDescent="0.35">
      <c r="A144" s="3" t="s">
        <v>336</v>
      </c>
      <c r="B144" s="16" t="s">
        <v>2884</v>
      </c>
      <c r="C144" s="17" t="s">
        <v>1194</v>
      </c>
      <c r="D144" s="17" t="str">
        <f t="shared" si="24"/>
        <v>06/08/82</v>
      </c>
      <c r="E144" s="3" t="s">
        <v>3651</v>
      </c>
      <c r="F144" s="6">
        <v>5632.2079999999996</v>
      </c>
      <c r="G144" s="6">
        <f>IF(F144=0,$Y$3,F144)</f>
        <v>5632.2079999999996</v>
      </c>
      <c r="H144" s="79">
        <f t="shared" si="21"/>
        <v>5</v>
      </c>
      <c r="I144">
        <f t="shared" si="22"/>
        <v>40</v>
      </c>
      <c r="J144">
        <f t="shared" si="23"/>
        <v>6</v>
      </c>
      <c r="K144">
        <f t="shared" si="25"/>
        <v>25</v>
      </c>
      <c r="L144" s="80">
        <f t="shared" si="26"/>
        <v>17</v>
      </c>
      <c r="M144" s="80">
        <f t="shared" si="27"/>
        <v>42</v>
      </c>
      <c r="N144">
        <f t="shared" si="28"/>
        <v>3970.4843955486681</v>
      </c>
      <c r="O144" s="87">
        <f>(((1-((1+$W$11)/(1+$W$10))^(6*(J144+K144)))/($W$10-$W$11))*(1+$W$10)^(6*(J144+K144)))</f>
        <v>1300.6996735984885</v>
      </c>
      <c r="P144" s="69">
        <f>N144*0.065*O144</f>
        <v>335686.50422567292</v>
      </c>
      <c r="Q144" s="69">
        <f t="shared" si="29"/>
        <v>2237.9100281711526</v>
      </c>
      <c r="R144" s="69">
        <f>G144*(1+0.06)^K144</f>
        <v>24172.708602705032</v>
      </c>
      <c r="S144" s="77">
        <f t="shared" si="30"/>
        <v>9.2580027540675389E-2</v>
      </c>
    </row>
    <row r="145" spans="1:19" ht="15.5" x14ac:dyDescent="0.35">
      <c r="A145" s="3" t="s">
        <v>337</v>
      </c>
      <c r="B145" s="16" t="s">
        <v>2885</v>
      </c>
      <c r="C145" s="17" t="s">
        <v>1195</v>
      </c>
      <c r="D145" s="17" t="str">
        <f t="shared" si="24"/>
        <v>12/02/92</v>
      </c>
      <c r="E145" s="3" t="s">
        <v>3652</v>
      </c>
      <c r="F145" s="6">
        <v>11722.848</v>
      </c>
      <c r="G145" s="6">
        <f>IF(F145=0,$Y$3,F145)</f>
        <v>11722.848</v>
      </c>
      <c r="H145" s="79">
        <f t="shared" si="21"/>
        <v>10</v>
      </c>
      <c r="I145">
        <f t="shared" si="22"/>
        <v>30</v>
      </c>
      <c r="J145">
        <f t="shared" si="23"/>
        <v>6</v>
      </c>
      <c r="K145">
        <f t="shared" si="25"/>
        <v>35</v>
      </c>
      <c r="L145" s="80">
        <f t="shared" si="26"/>
        <v>12</v>
      </c>
      <c r="M145" s="80">
        <f t="shared" si="27"/>
        <v>47</v>
      </c>
      <c r="N145">
        <f t="shared" si="28"/>
        <v>8264.1452615721773</v>
      </c>
      <c r="O145" s="87">
        <f>(((1-((1+$W$11)/(1+$W$10))^(6*(J145+K145)))/($W$10-$W$11))*(1+$W$10)^(6*(J145+K145)))</f>
        <v>3237.3816560572077</v>
      </c>
      <c r="P145" s="69">
        <f>N145*0.065*O145</f>
        <v>1739022.4977323811</v>
      </c>
      <c r="Q145" s="69">
        <f t="shared" si="29"/>
        <v>11593.483318215875</v>
      </c>
      <c r="R145" s="69">
        <f>G145*(1+0.06)^K145</f>
        <v>90102.827181085246</v>
      </c>
      <c r="S145" s="77">
        <f t="shared" si="30"/>
        <v>0.12866947332202719</v>
      </c>
    </row>
    <row r="146" spans="1:19" ht="15.5" x14ac:dyDescent="0.35">
      <c r="A146" s="3" t="s">
        <v>342</v>
      </c>
      <c r="B146" s="16" t="s">
        <v>2890</v>
      </c>
      <c r="C146" s="17" t="s">
        <v>1200</v>
      </c>
      <c r="D146" s="17" t="str">
        <f t="shared" si="24"/>
        <v>02/01/68</v>
      </c>
      <c r="E146" s="3" t="s">
        <v>3656</v>
      </c>
      <c r="F146" s="6">
        <v>18032.367999999999</v>
      </c>
      <c r="G146" s="6">
        <f>IF(F146=0,$Y$3,F146)</f>
        <v>18032.367999999999</v>
      </c>
      <c r="H146" s="79">
        <f t="shared" si="21"/>
        <v>8</v>
      </c>
      <c r="I146">
        <f t="shared" si="22"/>
        <v>54</v>
      </c>
      <c r="J146">
        <f t="shared" si="23"/>
        <v>6</v>
      </c>
      <c r="K146">
        <f t="shared" si="25"/>
        <v>11</v>
      </c>
      <c r="L146" s="80">
        <f t="shared" si="26"/>
        <v>14</v>
      </c>
      <c r="M146" s="80">
        <f t="shared" si="27"/>
        <v>25</v>
      </c>
      <c r="N146">
        <f t="shared" si="28"/>
        <v>12712.107890687123</v>
      </c>
      <c r="O146" s="87">
        <f>(((1-((1+$W$11)/(1+$W$10))^(6*(J146+K146)))/($W$10-$W$11))*(1+$W$10)^(6*(J146+K146)))</f>
        <v>294.69014083058926</v>
      </c>
      <c r="P146" s="69">
        <f>N146*0.065*O146</f>
        <v>243498.63619641517</v>
      </c>
      <c r="Q146" s="69">
        <f t="shared" si="29"/>
        <v>1623.3242413094345</v>
      </c>
      <c r="R146" s="69">
        <f>G146*(1+0.06)^K146</f>
        <v>34230.818177773872</v>
      </c>
      <c r="S146" s="77">
        <f t="shared" si="30"/>
        <v>4.7422887553516369E-2</v>
      </c>
    </row>
    <row r="147" spans="1:19" ht="15.5" x14ac:dyDescent="0.35">
      <c r="A147" s="3" t="s">
        <v>346</v>
      </c>
      <c r="B147" s="16" t="s">
        <v>2894</v>
      </c>
      <c r="C147" s="17" t="s">
        <v>1189</v>
      </c>
      <c r="D147" s="17" t="str">
        <f t="shared" si="24"/>
        <v>08/11/90</v>
      </c>
      <c r="E147" s="3" t="s">
        <v>3657</v>
      </c>
      <c r="F147" s="6">
        <v>13767.552</v>
      </c>
      <c r="G147" s="6">
        <f>IF(F147=0,$Y$3,F147)</f>
        <v>13767.552</v>
      </c>
      <c r="H147" s="79">
        <f t="shared" si="21"/>
        <v>13</v>
      </c>
      <c r="I147">
        <f t="shared" si="22"/>
        <v>32</v>
      </c>
      <c r="J147">
        <f t="shared" si="23"/>
        <v>6</v>
      </c>
      <c r="K147">
        <f t="shared" si="25"/>
        <v>33</v>
      </c>
      <c r="L147" s="80">
        <f t="shared" si="26"/>
        <v>9</v>
      </c>
      <c r="M147" s="80">
        <f t="shared" si="27"/>
        <v>42</v>
      </c>
      <c r="N147">
        <f t="shared" si="28"/>
        <v>9705.580898451346</v>
      </c>
      <c r="O147" s="87">
        <f>(((1-((1+$W$11)/(1+$W$10))^(6*(J147+K147)))/($W$10-$W$11))*(1+$W$10)^(6*(J147+K147)))</f>
        <v>2713.5031944291845</v>
      </c>
      <c r="P147" s="69">
        <f>N147*0.065*O147</f>
        <v>1711848.1101630093</v>
      </c>
      <c r="Q147" s="69">
        <f t="shared" si="29"/>
        <v>11412.320734420062</v>
      </c>
      <c r="R147" s="69">
        <f>G147*(1+0.06)^K147</f>
        <v>94178.176922101688</v>
      </c>
      <c r="S147" s="77">
        <f t="shared" si="30"/>
        <v>0.12117797463694399</v>
      </c>
    </row>
    <row r="148" spans="1:19" ht="15.5" x14ac:dyDescent="0.35">
      <c r="A148" s="3" t="s">
        <v>347</v>
      </c>
      <c r="B148" s="16" t="s">
        <v>2895</v>
      </c>
      <c r="C148" s="17" t="s">
        <v>1204</v>
      </c>
      <c r="D148" s="17" t="str">
        <f t="shared" si="24"/>
        <v>01/01/86</v>
      </c>
      <c r="E148" s="3" t="s">
        <v>3658</v>
      </c>
      <c r="F148" s="6">
        <v>12803.871999999999</v>
      </c>
      <c r="G148" s="6">
        <f>IF(F148=0,$Y$3,F148)</f>
        <v>12803.871999999999</v>
      </c>
      <c r="H148" s="79">
        <f t="shared" si="21"/>
        <v>4</v>
      </c>
      <c r="I148">
        <f t="shared" si="22"/>
        <v>36</v>
      </c>
      <c r="J148">
        <f t="shared" si="23"/>
        <v>6</v>
      </c>
      <c r="K148">
        <f t="shared" si="25"/>
        <v>29</v>
      </c>
      <c r="L148" s="80">
        <f t="shared" si="26"/>
        <v>18</v>
      </c>
      <c r="M148" s="80">
        <f t="shared" si="27"/>
        <v>47</v>
      </c>
      <c r="N148">
        <f t="shared" si="28"/>
        <v>9026.2245248404379</v>
      </c>
      <c r="O148" s="87">
        <f>(((1-((1+$W$11)/(1+$W$10))^(6*(J148+K148)))/($W$10-$W$11))*(1+$W$10)^(6*(J148+K148)))</f>
        <v>1890.963685662718</v>
      </c>
      <c r="P148" s="69">
        <f>N148*0.065*O148</f>
        <v>1109437.0816822469</v>
      </c>
      <c r="Q148" s="69">
        <f t="shared" si="29"/>
        <v>7396.247211214979</v>
      </c>
      <c r="R148" s="69">
        <f>G148*(1+0.06)^K148</f>
        <v>69376.345104821914</v>
      </c>
      <c r="S148" s="77">
        <f t="shared" si="30"/>
        <v>0.10661050535365998</v>
      </c>
    </row>
    <row r="149" spans="1:19" ht="15.5" x14ac:dyDescent="0.35">
      <c r="A149" s="3" t="s">
        <v>349</v>
      </c>
      <c r="B149" s="16" t="s">
        <v>2897</v>
      </c>
      <c r="C149" s="17" t="s">
        <v>1206</v>
      </c>
      <c r="D149" s="17" t="str">
        <f t="shared" si="24"/>
        <v>31/12/92</v>
      </c>
      <c r="E149" s="3" t="s">
        <v>3659</v>
      </c>
      <c r="F149" s="6">
        <v>8226.5439999999999</v>
      </c>
      <c r="G149" s="6">
        <f>IF(F149=0,$Y$3,F149)</f>
        <v>8226.5439999999999</v>
      </c>
      <c r="H149" s="79">
        <f t="shared" si="21"/>
        <v>12</v>
      </c>
      <c r="I149">
        <f t="shared" si="22"/>
        <v>30</v>
      </c>
      <c r="J149">
        <f t="shared" si="23"/>
        <v>6</v>
      </c>
      <c r="K149">
        <f t="shared" si="25"/>
        <v>35</v>
      </c>
      <c r="L149" s="80">
        <f t="shared" si="26"/>
        <v>10</v>
      </c>
      <c r="M149" s="80">
        <f t="shared" si="27"/>
        <v>45</v>
      </c>
      <c r="N149">
        <f t="shared" si="28"/>
        <v>5799.388904190776</v>
      </c>
      <c r="O149" s="87">
        <f>(((1-((1+$W$11)/(1+$W$10))^(6*(J149+K149)))/($W$10-$W$11))*(1+$W$10)^(6*(J149+K149)))</f>
        <v>3237.3816560572077</v>
      </c>
      <c r="P149" s="69">
        <f>N149*0.065*O149</f>
        <v>1220364.2915599805</v>
      </c>
      <c r="Q149" s="69">
        <f t="shared" si="29"/>
        <v>8135.7619437332032</v>
      </c>
      <c r="R149" s="69">
        <f>G149*(1+0.06)^K149</f>
        <v>63229.931184776411</v>
      </c>
      <c r="S149" s="77">
        <f t="shared" si="30"/>
        <v>0.12866947332202719</v>
      </c>
    </row>
    <row r="150" spans="1:19" ht="15.5" x14ac:dyDescent="0.35">
      <c r="A150" s="3" t="s">
        <v>350</v>
      </c>
      <c r="B150" s="16" t="s">
        <v>2898</v>
      </c>
      <c r="C150" s="17" t="s">
        <v>1207</v>
      </c>
      <c r="D150" s="17" t="str">
        <f t="shared" si="24"/>
        <v>15/12/83</v>
      </c>
      <c r="E150" s="3" t="s">
        <v>3659</v>
      </c>
      <c r="F150" s="6">
        <v>10022.575999999999</v>
      </c>
      <c r="G150" s="6">
        <f>IF(F150=0,$Y$3,F150)</f>
        <v>10022.575999999999</v>
      </c>
      <c r="H150" s="79">
        <f t="shared" si="21"/>
        <v>2</v>
      </c>
      <c r="I150">
        <f t="shared" si="22"/>
        <v>39</v>
      </c>
      <c r="J150">
        <f t="shared" si="23"/>
        <v>6</v>
      </c>
      <c r="K150">
        <f t="shared" si="25"/>
        <v>26</v>
      </c>
      <c r="L150" s="80">
        <f t="shared" si="26"/>
        <v>20</v>
      </c>
      <c r="M150" s="80">
        <f t="shared" si="27"/>
        <v>46</v>
      </c>
      <c r="N150">
        <f t="shared" si="28"/>
        <v>7065.5205935577278</v>
      </c>
      <c r="O150" s="87">
        <f>(((1-((1+$W$11)/(1+$W$10))^(6*(J150+K150)))/($W$10-$W$11))*(1+$W$10)^(6*(J150+K150)))</f>
        <v>1430.2452154182549</v>
      </c>
      <c r="P150" s="69">
        <f>N150*0.065*O150</f>
        <v>656852.75651938084</v>
      </c>
      <c r="Q150" s="69">
        <f t="shared" si="29"/>
        <v>4379.0183767958724</v>
      </c>
      <c r="R150" s="69">
        <f>G150*(1+0.06)^K150</f>
        <v>45596.536499052039</v>
      </c>
      <c r="S150" s="77">
        <f t="shared" si="30"/>
        <v>9.6038399251814066E-2</v>
      </c>
    </row>
    <row r="151" spans="1:19" ht="15.5" x14ac:dyDescent="0.35">
      <c r="A151" s="3" t="s">
        <v>352</v>
      </c>
      <c r="B151" s="16" t="s">
        <v>2900</v>
      </c>
      <c r="C151" s="17" t="s">
        <v>1209</v>
      </c>
      <c r="D151" s="17" t="str">
        <f t="shared" si="24"/>
        <v>31/03/90</v>
      </c>
      <c r="E151" s="3" t="s">
        <v>3660</v>
      </c>
      <c r="F151" s="6">
        <v>21347.488000000001</v>
      </c>
      <c r="G151" s="6">
        <f>IF(F151=0,$Y$3,F151)</f>
        <v>21347.488000000001</v>
      </c>
      <c r="H151" s="79">
        <f t="shared" si="21"/>
        <v>15</v>
      </c>
      <c r="I151">
        <f t="shared" si="22"/>
        <v>32</v>
      </c>
      <c r="J151">
        <f t="shared" si="23"/>
        <v>6</v>
      </c>
      <c r="K151">
        <f t="shared" si="25"/>
        <v>33</v>
      </c>
      <c r="L151" s="80">
        <f t="shared" si="26"/>
        <v>7</v>
      </c>
      <c r="M151" s="80">
        <f t="shared" si="27"/>
        <v>40</v>
      </c>
      <c r="N151">
        <f t="shared" si="28"/>
        <v>15049.136677509505</v>
      </c>
      <c r="O151" s="87">
        <f>(((1-((1+$W$11)/(1+$W$10))^(6*(J151+K151)))/($W$10-$W$11))*(1+$W$10)^(6*(J151+K151)))</f>
        <v>2713.5031944291845</v>
      </c>
      <c r="P151" s="69">
        <f>N151*0.065*O151</f>
        <v>2654332.229108524</v>
      </c>
      <c r="Q151" s="69">
        <f t="shared" si="29"/>
        <v>17695.548194056828</v>
      </c>
      <c r="R151" s="69">
        <f>G151*(1+0.06)^K151</f>
        <v>146029.4104359615</v>
      </c>
      <c r="S151" s="77">
        <f t="shared" si="30"/>
        <v>0.12117797463694399</v>
      </c>
    </row>
    <row r="152" spans="1:19" ht="15.5" x14ac:dyDescent="0.35">
      <c r="A152" s="3" t="s">
        <v>353</v>
      </c>
      <c r="B152" s="16" t="s">
        <v>2901</v>
      </c>
      <c r="C152" s="17" t="s">
        <v>1201</v>
      </c>
      <c r="D152" s="17" t="str">
        <f t="shared" si="24"/>
        <v>10/03/87</v>
      </c>
      <c r="E152" s="3" t="s">
        <v>3660</v>
      </c>
      <c r="F152" s="6">
        <v>11413.679999999998</v>
      </c>
      <c r="G152" s="6">
        <f>IF(F152=0,$Y$3,F152)</f>
        <v>11413.679999999998</v>
      </c>
      <c r="H152" s="79">
        <f t="shared" si="21"/>
        <v>6</v>
      </c>
      <c r="I152">
        <f t="shared" si="22"/>
        <v>35</v>
      </c>
      <c r="J152">
        <f t="shared" si="23"/>
        <v>6</v>
      </c>
      <c r="K152">
        <f t="shared" si="25"/>
        <v>30</v>
      </c>
      <c r="L152" s="80">
        <f t="shared" si="26"/>
        <v>16</v>
      </c>
      <c r="M152" s="80">
        <f t="shared" si="27"/>
        <v>46</v>
      </c>
      <c r="N152">
        <f t="shared" si="28"/>
        <v>8046.1940212055233</v>
      </c>
      <c r="O152" s="87">
        <f>(((1-((1+$W$11)/(1+$W$10))^(6*(J152+K152)))/($W$10-$W$11))*(1+$W$10)^(6*(J152+K152)))</f>
        <v>2071.9321695914473</v>
      </c>
      <c r="P152" s="69">
        <f>N152*0.065*O152</f>
        <v>1083625.935295156</v>
      </c>
      <c r="Q152" s="69">
        <f t="shared" si="29"/>
        <v>7224.1729019677068</v>
      </c>
      <c r="R152" s="69">
        <f>G152*(1+0.06)^K152</f>
        <v>65554.370330456601</v>
      </c>
      <c r="S152" s="77">
        <f t="shared" si="30"/>
        <v>0.11020124006303439</v>
      </c>
    </row>
    <row r="153" spans="1:19" ht="15.5" x14ac:dyDescent="0.35">
      <c r="A153" s="3" t="s">
        <v>355</v>
      </c>
      <c r="B153" s="16" t="s">
        <v>2903</v>
      </c>
      <c r="C153" s="17" t="s">
        <v>1211</v>
      </c>
      <c r="D153" s="17" t="str">
        <f t="shared" si="24"/>
        <v>08/07/91</v>
      </c>
      <c r="E153" s="3" t="s">
        <v>3662</v>
      </c>
      <c r="F153" s="6">
        <v>13864.527999999998</v>
      </c>
      <c r="G153" s="6">
        <f>IF(F153=0,$Y$3,F153)</f>
        <v>13864.527999999998</v>
      </c>
      <c r="H153" s="79">
        <f t="shared" si="21"/>
        <v>8</v>
      </c>
      <c r="I153">
        <f t="shared" si="22"/>
        <v>31</v>
      </c>
      <c r="J153">
        <f t="shared" si="23"/>
        <v>6</v>
      </c>
      <c r="K153">
        <f t="shared" si="25"/>
        <v>34</v>
      </c>
      <c r="L153" s="80">
        <f t="shared" si="26"/>
        <v>14</v>
      </c>
      <c r="M153" s="80">
        <f t="shared" si="27"/>
        <v>48</v>
      </c>
      <c r="N153">
        <f t="shared" si="28"/>
        <v>9773.9451518210226</v>
      </c>
      <c r="O153" s="87">
        <f>(((1-((1+$W$11)/(1+$W$10))^(6*(J153+K153)))/($W$10-$W$11))*(1+$W$10)^(6*(J153+K153)))</f>
        <v>2964.8060935111685</v>
      </c>
      <c r="P153" s="69">
        <f>N153*0.065*O153</f>
        <v>1883560.3893445893</v>
      </c>
      <c r="Q153" s="69">
        <f t="shared" si="29"/>
        <v>12557.069262297262</v>
      </c>
      <c r="R153" s="69">
        <f>G153*(1+0.06)^K153</f>
        <v>100532.04296457052</v>
      </c>
      <c r="S153" s="77">
        <f t="shared" si="30"/>
        <v>0.12490613830182107</v>
      </c>
    </row>
    <row r="154" spans="1:19" ht="15.5" x14ac:dyDescent="0.35">
      <c r="A154" s="3" t="s">
        <v>359</v>
      </c>
      <c r="B154" s="16" t="s">
        <v>2907</v>
      </c>
      <c r="C154" s="17" t="s">
        <v>1215</v>
      </c>
      <c r="D154" s="17" t="str">
        <f t="shared" si="24"/>
        <v>25/06/91</v>
      </c>
      <c r="E154" s="3" t="s">
        <v>3664</v>
      </c>
      <c r="F154" s="6">
        <v>5632.2079999999996</v>
      </c>
      <c r="G154" s="6">
        <f>IF(F154=0,$Y$3,F154)</f>
        <v>5632.2079999999996</v>
      </c>
      <c r="H154" s="79">
        <f t="shared" si="21"/>
        <v>10</v>
      </c>
      <c r="I154">
        <f t="shared" si="22"/>
        <v>31</v>
      </c>
      <c r="J154">
        <f t="shared" si="23"/>
        <v>6</v>
      </c>
      <c r="K154">
        <f t="shared" si="25"/>
        <v>34</v>
      </c>
      <c r="L154" s="80">
        <f t="shared" si="26"/>
        <v>12</v>
      </c>
      <c r="M154" s="80">
        <f t="shared" si="27"/>
        <v>46</v>
      </c>
      <c r="N154">
        <f t="shared" si="28"/>
        <v>3970.4843955486681</v>
      </c>
      <c r="O154" s="87">
        <f>(((1-((1+$W$11)/(1+$W$10))^(6*(J154+K154)))/($W$10-$W$11))*(1+$W$10)^(6*(J154+K154)))</f>
        <v>2964.8060935111685</v>
      </c>
      <c r="P154" s="69">
        <f>N154*0.065*O154</f>
        <v>765161.56145739055</v>
      </c>
      <c r="Q154" s="69">
        <f t="shared" si="29"/>
        <v>5101.077076382604</v>
      </c>
      <c r="R154" s="69">
        <f>G154*(1+0.06)^K154</f>
        <v>40839.282566373535</v>
      </c>
      <c r="S154" s="77">
        <f t="shared" si="30"/>
        <v>0.1249061383018211</v>
      </c>
    </row>
    <row r="155" spans="1:19" ht="15.5" x14ac:dyDescent="0.35">
      <c r="A155" s="3" t="s">
        <v>361</v>
      </c>
      <c r="B155" s="16" t="s">
        <v>2909</v>
      </c>
      <c r="C155" s="17" t="s">
        <v>1217</v>
      </c>
      <c r="D155" s="17" t="str">
        <f t="shared" si="24"/>
        <v>22/03/69</v>
      </c>
      <c r="E155" s="3" t="s">
        <v>3665</v>
      </c>
      <c r="F155" s="6">
        <v>5602.72</v>
      </c>
      <c r="G155" s="6">
        <f>IF(F155=0,$Y$3,F155)</f>
        <v>5602.72</v>
      </c>
      <c r="H155" s="79">
        <f t="shared" si="21"/>
        <v>15</v>
      </c>
      <c r="I155">
        <f t="shared" si="22"/>
        <v>53</v>
      </c>
      <c r="J155">
        <f t="shared" si="23"/>
        <v>0</v>
      </c>
      <c r="K155">
        <f t="shared" si="25"/>
        <v>12</v>
      </c>
      <c r="L155" s="80">
        <f t="shared" si="26"/>
        <v>7</v>
      </c>
      <c r="M155" s="80">
        <f t="shared" si="27"/>
        <v>19</v>
      </c>
      <c r="N155">
        <f t="shared" si="28"/>
        <v>5602.72</v>
      </c>
      <c r="O155" s="87">
        <f>(((1-((1+$W$11)/(1+$W$10))^(6*(J155+K155)))/($W$10-$W$11))*(1+$W$10)^(6*(J155+K155)))</f>
        <v>151.75484256444349</v>
      </c>
      <c r="P155" s="69">
        <f>N155*0.065*O155</f>
        <v>55265.592949622827</v>
      </c>
      <c r="Q155" s="69">
        <f t="shared" si="29"/>
        <v>368.43728633081884</v>
      </c>
      <c r="R155" s="69">
        <f>G155*(1+0.06)^K155</f>
        <v>11273.773416682483</v>
      </c>
      <c r="S155" s="77">
        <f t="shared" si="30"/>
        <v>3.2680919929224402E-2</v>
      </c>
    </row>
    <row r="156" spans="1:19" ht="15.5" x14ac:dyDescent="0.35">
      <c r="A156" s="3" t="s">
        <v>362</v>
      </c>
      <c r="B156" s="16" t="s">
        <v>2910</v>
      </c>
      <c r="C156" s="17" t="s">
        <v>1218</v>
      </c>
      <c r="D156" s="17" t="str">
        <f t="shared" si="24"/>
        <v>09/11/60</v>
      </c>
      <c r="E156" s="3" t="s">
        <v>3666</v>
      </c>
      <c r="F156" s="6">
        <v>6200.6880000000001</v>
      </c>
      <c r="G156" s="6">
        <f>IF(F156=0,$Y$3,F156)</f>
        <v>6200.6880000000001</v>
      </c>
      <c r="H156" s="79">
        <f t="shared" si="21"/>
        <v>9</v>
      </c>
      <c r="I156">
        <f t="shared" si="22"/>
        <v>62</v>
      </c>
      <c r="J156">
        <f t="shared" si="23"/>
        <v>6</v>
      </c>
      <c r="K156">
        <f t="shared" si="25"/>
        <v>3</v>
      </c>
      <c r="L156" s="80">
        <f t="shared" si="26"/>
        <v>13</v>
      </c>
      <c r="M156" s="80">
        <f t="shared" si="27"/>
        <v>16</v>
      </c>
      <c r="N156">
        <f t="shared" si="28"/>
        <v>4371.2403635778155</v>
      </c>
      <c r="O156" s="87">
        <f>(((1-((1+$W$11)/(1+$W$10))^(6*(J156+K156)))/($W$10-$W$11))*(1+$W$10)^(6*(J156+K156)))</f>
        <v>94.20389536832397</v>
      </c>
      <c r="P156" s="69">
        <f>N156*0.065*O156</f>
        <v>26766.211539618133</v>
      </c>
      <c r="Q156" s="69">
        <f t="shared" si="29"/>
        <v>178.44141026412089</v>
      </c>
      <c r="R156" s="69">
        <f>G156*(1+0.06)^K156</f>
        <v>7385.1186190080016</v>
      </c>
      <c r="S156" s="77">
        <f t="shared" si="30"/>
        <v>2.4162294401723482E-2</v>
      </c>
    </row>
    <row r="157" spans="1:19" ht="15.5" x14ac:dyDescent="0.35">
      <c r="A157" s="3" t="s">
        <v>365</v>
      </c>
      <c r="B157" s="16" t="s">
        <v>2913</v>
      </c>
      <c r="C157" s="17" t="s">
        <v>1221</v>
      </c>
      <c r="D157" s="17" t="str">
        <f t="shared" si="24"/>
        <v>25/09/93</v>
      </c>
      <c r="E157" s="3" t="s">
        <v>3668</v>
      </c>
      <c r="F157" s="6">
        <v>20267.984</v>
      </c>
      <c r="G157" s="6">
        <f>IF(F157=0,$Y$3,F157)</f>
        <v>20267.984</v>
      </c>
      <c r="H157" s="79">
        <f t="shared" si="21"/>
        <v>16</v>
      </c>
      <c r="I157">
        <f t="shared" si="22"/>
        <v>29</v>
      </c>
      <c r="J157">
        <f t="shared" si="23"/>
        <v>6</v>
      </c>
      <c r="K157">
        <f t="shared" si="25"/>
        <v>36</v>
      </c>
      <c r="L157" s="80">
        <f t="shared" si="26"/>
        <v>6</v>
      </c>
      <c r="M157" s="80">
        <f t="shared" si="27"/>
        <v>42</v>
      </c>
      <c r="N157">
        <f t="shared" si="28"/>
        <v>14288.128954262711</v>
      </c>
      <c r="O157" s="87">
        <f>(((1-((1+$W$11)/(1+$W$10))^(6*(J157+K157)))/($W$10-$W$11))*(1+$W$10)^(6*(J157+K157)))</f>
        <v>3532.9398561414855</v>
      </c>
      <c r="P157" s="69">
        <f>N157*0.065*O157</f>
        <v>3281141.5163932531</v>
      </c>
      <c r="Q157" s="69">
        <f t="shared" si="29"/>
        <v>21874.276775955022</v>
      </c>
      <c r="R157" s="69">
        <f>G157*(1+0.06)^K157</f>
        <v>165128.37317694991</v>
      </c>
      <c r="S157" s="77">
        <f t="shared" si="30"/>
        <v>0.13246831150280131</v>
      </c>
    </row>
    <row r="158" spans="1:19" ht="15.5" x14ac:dyDescent="0.35">
      <c r="A158" s="3" t="s">
        <v>366</v>
      </c>
      <c r="B158" s="16" t="s">
        <v>2914</v>
      </c>
      <c r="C158" s="17" t="s">
        <v>1222</v>
      </c>
      <c r="D158" s="17" t="str">
        <f t="shared" si="24"/>
        <v>22/04/84</v>
      </c>
      <c r="E158" s="3" t="s">
        <v>3669</v>
      </c>
      <c r="F158" s="6">
        <v>23399.184000000001</v>
      </c>
      <c r="G158" s="6">
        <f>IF(F158=0,$Y$3,F158)</f>
        <v>23399.184000000001</v>
      </c>
      <c r="H158" s="79">
        <f t="shared" si="21"/>
        <v>9</v>
      </c>
      <c r="I158">
        <f t="shared" si="22"/>
        <v>38</v>
      </c>
      <c r="J158">
        <f t="shared" si="23"/>
        <v>6</v>
      </c>
      <c r="K158">
        <f t="shared" si="25"/>
        <v>27</v>
      </c>
      <c r="L158" s="80">
        <f t="shared" si="26"/>
        <v>13</v>
      </c>
      <c r="M158" s="80">
        <f t="shared" si="27"/>
        <v>40</v>
      </c>
      <c r="N158">
        <f t="shared" si="28"/>
        <v>16495.501398487428</v>
      </c>
      <c r="O158" s="87">
        <f>(((1-((1+$W$11)/(1+$W$10))^(6*(J158+K158)))/($W$10-$W$11))*(1+$W$10)^(6*(J158+K158)))</f>
        <v>1571.1687390454781</v>
      </c>
      <c r="P158" s="69">
        <f>N158*0.065*O158</f>
        <v>1684619.0485919868</v>
      </c>
      <c r="Q158" s="69">
        <f t="shared" si="29"/>
        <v>11230.793657279912</v>
      </c>
      <c r="R158" s="69">
        <f>G158*(1+0.06)^K158</f>
        <v>112838.95997818095</v>
      </c>
      <c r="S158" s="77">
        <f t="shared" si="30"/>
        <v>9.9529397111171078E-2</v>
      </c>
    </row>
    <row r="159" spans="1:19" ht="15.5" x14ac:dyDescent="0.35">
      <c r="A159" s="3" t="s">
        <v>371</v>
      </c>
      <c r="B159" s="16" t="s">
        <v>2919</v>
      </c>
      <c r="C159" s="17" t="s">
        <v>1227</v>
      </c>
      <c r="D159" s="17" t="str">
        <f t="shared" si="24"/>
        <v>25/05/87</v>
      </c>
      <c r="E159" s="3" t="s">
        <v>3673</v>
      </c>
      <c r="F159" s="6">
        <v>17258.991999999998</v>
      </c>
      <c r="G159" s="6">
        <f>IF(F159=0,$Y$3,F159)</f>
        <v>17258.991999999998</v>
      </c>
      <c r="H159" s="79">
        <f t="shared" si="21"/>
        <v>9</v>
      </c>
      <c r="I159">
        <f t="shared" si="22"/>
        <v>35</v>
      </c>
      <c r="J159">
        <f t="shared" si="23"/>
        <v>6</v>
      </c>
      <c r="K159">
        <f t="shared" si="25"/>
        <v>30</v>
      </c>
      <c r="L159" s="80">
        <f t="shared" si="26"/>
        <v>13</v>
      </c>
      <c r="M159" s="80">
        <f t="shared" si="27"/>
        <v>43</v>
      </c>
      <c r="N159">
        <f t="shared" si="28"/>
        <v>12166.908327764047</v>
      </c>
      <c r="O159" s="87">
        <f>(((1-((1+$W$11)/(1+$W$10))^(6*(J159+K159)))/($W$10-$W$11))*(1+$W$10)^(6*(J159+K159)))</f>
        <v>2071.9321695914473</v>
      </c>
      <c r="P159" s="69">
        <f>N159*0.065*O159</f>
        <v>1638585.5699696869</v>
      </c>
      <c r="Q159" s="69">
        <f t="shared" si="29"/>
        <v>10923.903799797912</v>
      </c>
      <c r="R159" s="69">
        <f>G159*(1+0.06)^K159</f>
        <v>99126.868205380553</v>
      </c>
      <c r="S159" s="77">
        <f t="shared" si="30"/>
        <v>0.11020124006303438</v>
      </c>
    </row>
    <row r="160" spans="1:19" ht="15.5" x14ac:dyDescent="0.35">
      <c r="A160" s="3" t="s">
        <v>372</v>
      </c>
      <c r="B160" s="16" t="s">
        <v>2920</v>
      </c>
      <c r="C160" s="17" t="s">
        <v>1228</v>
      </c>
      <c r="D160" s="17" t="str">
        <f t="shared" si="24"/>
        <v>03/12/85</v>
      </c>
      <c r="E160" s="3" t="s">
        <v>3674</v>
      </c>
      <c r="F160" s="6">
        <v>10597.44</v>
      </c>
      <c r="G160" s="6">
        <f>IF(F160=0,$Y$3,F160)</f>
        <v>10597.44</v>
      </c>
      <c r="H160" s="79">
        <f t="shared" si="21"/>
        <v>7</v>
      </c>
      <c r="I160">
        <f t="shared" si="22"/>
        <v>37</v>
      </c>
      <c r="J160">
        <f t="shared" si="23"/>
        <v>6</v>
      </c>
      <c r="K160">
        <f t="shared" si="25"/>
        <v>28</v>
      </c>
      <c r="L160" s="80">
        <f t="shared" si="26"/>
        <v>15</v>
      </c>
      <c r="M160" s="80">
        <f t="shared" si="27"/>
        <v>43</v>
      </c>
      <c r="N160">
        <f t="shared" si="28"/>
        <v>7470.7770296770432</v>
      </c>
      <c r="O160" s="87">
        <f>(((1-((1+$W$11)/(1+$W$10))^(6*(J160+K160)))/($W$10-$W$11))*(1+$W$10)^(6*(J160+K160)))</f>
        <v>1724.4052908394829</v>
      </c>
      <c r="P160" s="69">
        <f>N160*0.065*O160</f>
        <v>837372.08338271605</v>
      </c>
      <c r="Q160" s="69">
        <f t="shared" si="29"/>
        <v>5582.4805558847738</v>
      </c>
      <c r="R160" s="69">
        <f>G160*(1+0.06)^K160</f>
        <v>54170.793071803033</v>
      </c>
      <c r="S160" s="77">
        <f t="shared" si="30"/>
        <v>0.10305332891259747</v>
      </c>
    </row>
    <row r="161" spans="1:19" ht="15.5" x14ac:dyDescent="0.35">
      <c r="A161" s="3" t="s">
        <v>373</v>
      </c>
      <c r="B161" s="16" t="s">
        <v>2921</v>
      </c>
      <c r="C161" s="17" t="s">
        <v>1229</v>
      </c>
      <c r="D161" s="17" t="str">
        <f t="shared" si="24"/>
        <v>13/07/95</v>
      </c>
      <c r="E161" s="3" t="s">
        <v>3675</v>
      </c>
      <c r="F161" s="6">
        <v>7358.0159999999996</v>
      </c>
      <c r="G161" s="6">
        <f>IF(F161=0,$Y$3,F161)</f>
        <v>7358.0159999999996</v>
      </c>
      <c r="H161" s="79">
        <f t="shared" si="21"/>
        <v>16</v>
      </c>
      <c r="I161">
        <f t="shared" si="22"/>
        <v>27</v>
      </c>
      <c r="J161">
        <f t="shared" si="23"/>
        <v>6</v>
      </c>
      <c r="K161">
        <f t="shared" si="25"/>
        <v>38</v>
      </c>
      <c r="L161" s="80">
        <f t="shared" si="26"/>
        <v>6</v>
      </c>
      <c r="M161" s="80">
        <f t="shared" si="27"/>
        <v>44</v>
      </c>
      <c r="N161">
        <f t="shared" si="28"/>
        <v>5187.1109359237844</v>
      </c>
      <c r="O161" s="87">
        <f>(((1-((1+$W$11)/(1+$W$10))^(6*(J161+K161)))/($W$10-$W$11))*(1+$W$10)^(6*(J161+K161)))</f>
        <v>4200.5189242334509</v>
      </c>
      <c r="P161" s="69">
        <f>N161*0.065*O161</f>
        <v>1416256.2471489992</v>
      </c>
      <c r="Q161" s="69">
        <f t="shared" si="29"/>
        <v>9441.7083143266609</v>
      </c>
      <c r="R161" s="69">
        <f>G161*(1+0.06)^K161</f>
        <v>67357.135237504073</v>
      </c>
      <c r="S161" s="77">
        <f t="shared" si="30"/>
        <v>0.1401738402477303</v>
      </c>
    </row>
    <row r="162" spans="1:19" ht="15.5" x14ac:dyDescent="0.35">
      <c r="A162" s="3" t="s">
        <v>381</v>
      </c>
      <c r="B162" s="16" t="s">
        <v>2929</v>
      </c>
      <c r="C162" s="17" t="s">
        <v>1236</v>
      </c>
      <c r="D162" s="17" t="str">
        <f t="shared" si="24"/>
        <v>08/03/97</v>
      </c>
      <c r="E162" s="3" t="s">
        <v>3678</v>
      </c>
      <c r="F162" s="6">
        <v>8172.4319999999989</v>
      </c>
      <c r="G162" s="6">
        <f>IF(F162=0,$Y$3,F162)</f>
        <v>8172.4319999999989</v>
      </c>
      <c r="H162" s="79">
        <f t="shared" si="21"/>
        <v>16</v>
      </c>
      <c r="I162">
        <f t="shared" si="22"/>
        <v>25</v>
      </c>
      <c r="J162">
        <f t="shared" si="23"/>
        <v>6</v>
      </c>
      <c r="K162">
        <f t="shared" si="25"/>
        <v>40</v>
      </c>
      <c r="L162" s="80">
        <f t="shared" si="26"/>
        <v>6</v>
      </c>
      <c r="M162" s="80">
        <f t="shared" si="27"/>
        <v>46</v>
      </c>
      <c r="N162">
        <f t="shared" si="28"/>
        <v>5761.2420794265036</v>
      </c>
      <c r="O162" s="87">
        <f>(((1-((1+$W$11)/(1+$W$10))^(6*(J162+K162)))/($W$10-$W$11))*(1+$W$10)^(6*(J162+K162)))</f>
        <v>4984.0692911429642</v>
      </c>
      <c r="P162" s="69">
        <f>N162*0.065*O162</f>
        <v>1866437.9322491677</v>
      </c>
      <c r="Q162" s="69">
        <f t="shared" si="29"/>
        <v>12442.919548327785</v>
      </c>
      <c r="R162" s="69">
        <f>G162*(1+0.06)^K162</f>
        <v>84059.330412341922</v>
      </c>
      <c r="S162" s="77">
        <f t="shared" si="30"/>
        <v>0.14802544211678453</v>
      </c>
    </row>
    <row r="163" spans="1:19" ht="15.5" x14ac:dyDescent="0.35">
      <c r="A163" s="3" t="s">
        <v>382</v>
      </c>
      <c r="B163" s="16" t="s">
        <v>2930</v>
      </c>
      <c r="C163" s="17" t="s">
        <v>1237</v>
      </c>
      <c r="D163" s="17" t="str">
        <f t="shared" si="24"/>
        <v>31/12/83</v>
      </c>
      <c r="E163" s="3" t="s">
        <v>3678</v>
      </c>
      <c r="F163" s="6">
        <v>27410.463999999996</v>
      </c>
      <c r="G163" s="6">
        <f>IF(F163=0,$Y$3,F163)</f>
        <v>27410.463999999996</v>
      </c>
      <c r="H163" s="79">
        <f t="shared" si="21"/>
        <v>5</v>
      </c>
      <c r="I163">
        <f t="shared" si="22"/>
        <v>39</v>
      </c>
      <c r="J163">
        <f t="shared" si="23"/>
        <v>6</v>
      </c>
      <c r="K163">
        <f t="shared" si="25"/>
        <v>26</v>
      </c>
      <c r="L163" s="80">
        <f t="shared" si="26"/>
        <v>17</v>
      </c>
      <c r="M163" s="80">
        <f t="shared" si="27"/>
        <v>43</v>
      </c>
      <c r="N163">
        <f t="shared" si="28"/>
        <v>19323.295515142287</v>
      </c>
      <c r="O163" s="87">
        <f>(((1-((1+$W$11)/(1+$W$10))^(6*(J163+K163)))/($W$10-$W$11))*(1+$W$10)^(6*(J163+K163)))</f>
        <v>1430.2452154182549</v>
      </c>
      <c r="P163" s="69">
        <f>N163*0.065*O163</f>
        <v>1796408.3121819433</v>
      </c>
      <c r="Q163" s="69">
        <f t="shared" si="29"/>
        <v>11976.055414546288</v>
      </c>
      <c r="R163" s="69">
        <f>G163*(1+0.06)^K163</f>
        <v>124700.69792755393</v>
      </c>
      <c r="S163" s="77">
        <f t="shared" si="30"/>
        <v>9.6038399251814066E-2</v>
      </c>
    </row>
    <row r="164" spans="1:19" ht="15.5" x14ac:dyDescent="0.35">
      <c r="A164" s="3" t="s">
        <v>384</v>
      </c>
      <c r="B164" s="16" t="s">
        <v>2932</v>
      </c>
      <c r="C164" s="17" t="s">
        <v>1239</v>
      </c>
      <c r="D164" s="17" t="str">
        <f t="shared" si="24"/>
        <v>18/03/95</v>
      </c>
      <c r="E164" s="3" t="s">
        <v>3679</v>
      </c>
      <c r="F164" s="6">
        <v>8967.3919999999998</v>
      </c>
      <c r="G164" s="6">
        <f>IF(F164=0,$Y$3,F164)</f>
        <v>8967.3919999999998</v>
      </c>
      <c r="H164" s="79">
        <f t="shared" si="21"/>
        <v>16</v>
      </c>
      <c r="I164">
        <f t="shared" si="22"/>
        <v>27</v>
      </c>
      <c r="J164">
        <f t="shared" si="23"/>
        <v>6</v>
      </c>
      <c r="K164">
        <f t="shared" si="25"/>
        <v>38</v>
      </c>
      <c r="L164" s="80">
        <f t="shared" si="26"/>
        <v>6</v>
      </c>
      <c r="M164" s="80">
        <f t="shared" si="27"/>
        <v>44</v>
      </c>
      <c r="N164">
        <f t="shared" si="28"/>
        <v>6321.6575106544296</v>
      </c>
      <c r="O164" s="87">
        <f>(((1-((1+$W$11)/(1+$W$10))^(6*(J164+K164)))/($W$10-$W$11))*(1+$W$10)^(6*(J164+K164)))</f>
        <v>4200.5189242334509</v>
      </c>
      <c r="P164" s="69">
        <f>N164*0.065*O164</f>
        <v>1726025.7303917198</v>
      </c>
      <c r="Q164" s="69">
        <f t="shared" si="29"/>
        <v>11506.838202611465</v>
      </c>
      <c r="R164" s="69">
        <f>G164*(1+0.06)^K164</f>
        <v>82089.769262762158</v>
      </c>
      <c r="S164" s="77">
        <f t="shared" si="30"/>
        <v>0.1401738402477303</v>
      </c>
    </row>
    <row r="165" spans="1:19" ht="15.5" x14ac:dyDescent="0.35">
      <c r="A165" s="3" t="s">
        <v>385</v>
      </c>
      <c r="B165" s="16" t="s">
        <v>2933</v>
      </c>
      <c r="C165" s="17" t="s">
        <v>1240</v>
      </c>
      <c r="D165" s="17" t="str">
        <f t="shared" si="24"/>
        <v>15/05/90</v>
      </c>
      <c r="E165" s="3" t="s">
        <v>3680</v>
      </c>
      <c r="F165" s="6">
        <v>10618.72</v>
      </c>
      <c r="G165" s="6">
        <f>IF(F165=0,$Y$3,F165)</f>
        <v>10618.72</v>
      </c>
      <c r="H165" s="79">
        <f t="shared" si="21"/>
        <v>15</v>
      </c>
      <c r="I165">
        <f t="shared" si="22"/>
        <v>32</v>
      </c>
      <c r="J165">
        <f t="shared" si="23"/>
        <v>2</v>
      </c>
      <c r="K165">
        <f t="shared" si="25"/>
        <v>33</v>
      </c>
      <c r="L165" s="80">
        <f t="shared" si="26"/>
        <v>7</v>
      </c>
      <c r="M165" s="80">
        <f t="shared" si="27"/>
        <v>40</v>
      </c>
      <c r="N165">
        <f t="shared" si="28"/>
        <v>9450.6229975080078</v>
      </c>
      <c r="O165" s="87">
        <f>(((1-((1+$W$11)/(1+$W$10))^(6*(J165+K165)))/($W$10-$W$11))*(1+$W$10)^(6*(J165+K165)))</f>
        <v>1890.963685662718</v>
      </c>
      <c r="P165" s="69">
        <f>N165*0.065*O165</f>
        <v>1161601.0181864782</v>
      </c>
      <c r="Q165" s="69">
        <f t="shared" si="29"/>
        <v>7744.0067879098542</v>
      </c>
      <c r="R165" s="69">
        <f>G165*(1+0.06)^K165</f>
        <v>72638.308600269651</v>
      </c>
      <c r="S165" s="77">
        <f t="shared" si="30"/>
        <v>0.10661050535365998</v>
      </c>
    </row>
    <row r="166" spans="1:19" ht="15.5" x14ac:dyDescent="0.35">
      <c r="A166" s="3" t="s">
        <v>391</v>
      </c>
      <c r="B166" s="16" t="s">
        <v>2939</v>
      </c>
      <c r="C166" s="17" t="s">
        <v>1245</v>
      </c>
      <c r="D166" s="17" t="str">
        <f t="shared" si="24"/>
        <v>30/12/90</v>
      </c>
      <c r="E166" s="3" t="s">
        <v>3683</v>
      </c>
      <c r="F166" s="6">
        <v>10509.279999999999</v>
      </c>
      <c r="G166" s="6">
        <f>IF(F166=0,$Y$3,F166)</f>
        <v>10509.279999999999</v>
      </c>
      <c r="H166" s="79">
        <f t="shared" si="21"/>
        <v>16</v>
      </c>
      <c r="I166">
        <f t="shared" si="22"/>
        <v>32</v>
      </c>
      <c r="J166">
        <f t="shared" si="23"/>
        <v>6</v>
      </c>
      <c r="K166">
        <f t="shared" si="25"/>
        <v>33</v>
      </c>
      <c r="L166" s="80">
        <f t="shared" si="26"/>
        <v>6</v>
      </c>
      <c r="M166" s="80">
        <f t="shared" si="27"/>
        <v>39</v>
      </c>
      <c r="N166">
        <f t="shared" si="28"/>
        <v>7408.6277084318799</v>
      </c>
      <c r="O166" s="87">
        <f>(((1-((1+$W$11)/(1+$W$10))^(6*(J166+K166)))/($W$10-$W$11))*(1+$W$10)^(6*(J166+K166)))</f>
        <v>2713.5031944291845</v>
      </c>
      <c r="P166" s="69">
        <f>N166*0.065*O166</f>
        <v>1306716.771955821</v>
      </c>
      <c r="Q166" s="69">
        <f t="shared" si="29"/>
        <v>8711.4451463721398</v>
      </c>
      <c r="R166" s="69">
        <f>G166*(1+0.06)^K166</f>
        <v>71889.674443496173</v>
      </c>
      <c r="S166" s="77">
        <f t="shared" si="30"/>
        <v>0.12117797463694399</v>
      </c>
    </row>
    <row r="167" spans="1:19" ht="15.5" x14ac:dyDescent="0.35">
      <c r="A167" s="3" t="s">
        <v>394</v>
      </c>
      <c r="B167" s="16" t="s">
        <v>2942</v>
      </c>
      <c r="C167" s="17" t="s">
        <v>1248</v>
      </c>
      <c r="D167" s="17" t="str">
        <f t="shared" si="24"/>
        <v>10/08/94</v>
      </c>
      <c r="E167" s="3" t="s">
        <v>3685</v>
      </c>
      <c r="F167" s="6">
        <v>15912.880000000001</v>
      </c>
      <c r="G167" s="6">
        <f>IF(F167=0,$Y$3,F167)</f>
        <v>15912.880000000001</v>
      </c>
      <c r="H167" s="79">
        <f t="shared" si="21"/>
        <v>10</v>
      </c>
      <c r="I167">
        <f t="shared" si="22"/>
        <v>28</v>
      </c>
      <c r="J167">
        <f t="shared" si="23"/>
        <v>6</v>
      </c>
      <c r="K167">
        <f t="shared" si="25"/>
        <v>37</v>
      </c>
      <c r="L167" s="80">
        <f t="shared" si="26"/>
        <v>12</v>
      </c>
      <c r="M167" s="80">
        <f t="shared" si="27"/>
        <v>49</v>
      </c>
      <c r="N167">
        <f t="shared" si="28"/>
        <v>11217.952484751717</v>
      </c>
      <c r="O167" s="87">
        <f>(((1-((1+$W$11)/(1+$W$10))^(6*(J167+K167)))/($W$10-$W$11))*(1+$W$10)^(6*(J167+K167)))</f>
        <v>3853.3236192812783</v>
      </c>
      <c r="P167" s="69">
        <f>N167*0.065*O167</f>
        <v>2809716.0825154781</v>
      </c>
      <c r="Q167" s="69">
        <f t="shared" si="29"/>
        <v>18731.440550103187</v>
      </c>
      <c r="R167" s="69">
        <f>G167*(1+0.06)^K167</f>
        <v>137425.01800759387</v>
      </c>
      <c r="S167" s="77">
        <f t="shared" si="30"/>
        <v>0.13630298777962044</v>
      </c>
    </row>
    <row r="168" spans="1:19" ht="15.5" x14ac:dyDescent="0.35">
      <c r="A168" s="3" t="s">
        <v>396</v>
      </c>
      <c r="B168" s="16" t="s">
        <v>2944</v>
      </c>
      <c r="C168" s="17" t="s">
        <v>1250</v>
      </c>
      <c r="D168" s="17" t="str">
        <f t="shared" si="24"/>
        <v>12/09/87</v>
      </c>
      <c r="E168" s="3" t="s">
        <v>3686</v>
      </c>
      <c r="F168" s="6">
        <v>23666.703999999998</v>
      </c>
      <c r="G168" s="6">
        <f>IF(F168=0,$Y$3,F168)</f>
        <v>23666.703999999998</v>
      </c>
      <c r="H168" s="79">
        <f t="shared" si="21"/>
        <v>8</v>
      </c>
      <c r="I168">
        <f t="shared" si="22"/>
        <v>35</v>
      </c>
      <c r="J168">
        <f t="shared" si="23"/>
        <v>5</v>
      </c>
      <c r="K168">
        <f t="shared" si="25"/>
        <v>30</v>
      </c>
      <c r="L168" s="80">
        <f t="shared" si="26"/>
        <v>14</v>
      </c>
      <c r="M168" s="80">
        <f t="shared" si="27"/>
        <v>44</v>
      </c>
      <c r="N168">
        <f t="shared" si="28"/>
        <v>17685.137988801798</v>
      </c>
      <c r="O168" s="87">
        <f>(((1-((1+$W$11)/(1+$W$10))^(6*(J168+K168)))/($W$10-$W$11))*(1+$W$10)^(6*(J168+K168)))</f>
        <v>1890.963685662718</v>
      </c>
      <c r="P168" s="69">
        <f>N168*0.065*O168</f>
        <v>2173726.991329296</v>
      </c>
      <c r="Q168" s="69">
        <f t="shared" si="29"/>
        <v>14491.513275528639</v>
      </c>
      <c r="R168" s="69">
        <f>G168*(1+0.06)^K168</f>
        <v>135929.50551595091</v>
      </c>
      <c r="S168" s="77">
        <f t="shared" si="30"/>
        <v>0.10661050535366</v>
      </c>
    </row>
    <row r="169" spans="1:19" ht="15.5" x14ac:dyDescent="0.35">
      <c r="A169" s="3" t="s">
        <v>401</v>
      </c>
      <c r="B169" s="16" t="s">
        <v>2949</v>
      </c>
      <c r="C169" s="17" t="s">
        <v>1255</v>
      </c>
      <c r="D169" s="17" t="str">
        <f t="shared" si="24"/>
        <v>08/09/85</v>
      </c>
      <c r="E169" s="3" t="s">
        <v>3689</v>
      </c>
      <c r="F169" s="6">
        <v>15849.039999999999</v>
      </c>
      <c r="G169" s="6">
        <f>IF(F169=0,$Y$3,F169)</f>
        <v>15849.039999999999</v>
      </c>
      <c r="H169" s="79">
        <f t="shared" si="21"/>
        <v>12</v>
      </c>
      <c r="I169">
        <f t="shared" si="22"/>
        <v>37</v>
      </c>
      <c r="J169">
        <f t="shared" si="23"/>
        <v>5</v>
      </c>
      <c r="K169">
        <f t="shared" si="25"/>
        <v>28</v>
      </c>
      <c r="L169" s="80">
        <f t="shared" si="26"/>
        <v>10</v>
      </c>
      <c r="M169" s="80">
        <f t="shared" si="27"/>
        <v>38</v>
      </c>
      <c r="N169">
        <f t="shared" si="28"/>
        <v>11843.324672081049</v>
      </c>
      <c r="O169" s="87">
        <f>(((1-((1+$W$11)/(1+$W$10))^(6*(J169+K169)))/($W$10-$W$11))*(1+$W$10)^(6*(J169+K169)))</f>
        <v>1571.1687390454781</v>
      </c>
      <c r="P169" s="69">
        <f>N169*0.065*O169</f>
        <v>1209510.996924086</v>
      </c>
      <c r="Q169" s="69">
        <f t="shared" si="29"/>
        <v>8063.4066461605735</v>
      </c>
      <c r="R169" s="69">
        <f>G169*(1+0.06)^K169</f>
        <v>81015.326930535026</v>
      </c>
      <c r="S169" s="77">
        <f t="shared" si="30"/>
        <v>9.9529397111171078E-2</v>
      </c>
    </row>
    <row r="170" spans="1:19" ht="15.5" x14ac:dyDescent="0.35">
      <c r="A170" s="3" t="s">
        <v>403</v>
      </c>
      <c r="B170" s="16" t="s">
        <v>2951</v>
      </c>
      <c r="C170" s="17" t="s">
        <v>1257</v>
      </c>
      <c r="D170" s="17" t="str">
        <f t="shared" si="24"/>
        <v>11/02/72</v>
      </c>
      <c r="E170" s="3" t="s">
        <v>3690</v>
      </c>
      <c r="F170" s="6">
        <v>5632.2079999999996</v>
      </c>
      <c r="G170" s="6">
        <f>IF(F170=0,$Y$3,F170)</f>
        <v>5632.2079999999996</v>
      </c>
      <c r="H170" s="79">
        <f t="shared" si="21"/>
        <v>13</v>
      </c>
      <c r="I170">
        <f t="shared" si="22"/>
        <v>50</v>
      </c>
      <c r="J170">
        <f t="shared" si="23"/>
        <v>5</v>
      </c>
      <c r="K170">
        <f t="shared" si="25"/>
        <v>15</v>
      </c>
      <c r="L170" s="80">
        <f t="shared" si="26"/>
        <v>9</v>
      </c>
      <c r="M170" s="80">
        <f t="shared" si="27"/>
        <v>24</v>
      </c>
      <c r="N170">
        <f t="shared" si="28"/>
        <v>4208.7134592815883</v>
      </c>
      <c r="O170" s="87">
        <f>(((1-((1+$W$11)/(1+$W$10))^(6*(J170+K170)))/($W$10-$W$11))*(1+$W$10)^(6*(J170+K170)))</f>
        <v>418.94609738113263</v>
      </c>
      <c r="P170" s="69">
        <f>N170*0.065*O170</f>
        <v>114609.56511949543</v>
      </c>
      <c r="Q170" s="69">
        <f t="shared" si="29"/>
        <v>764.06376746330284</v>
      </c>
      <c r="R170" s="69">
        <f>G170*(1+0.06)^K170</f>
        <v>13497.914227641631</v>
      </c>
      <c r="S170" s="77">
        <f t="shared" si="30"/>
        <v>5.6606061838696452E-2</v>
      </c>
    </row>
    <row r="171" spans="1:19" ht="15.5" x14ac:dyDescent="0.35">
      <c r="A171" s="3" t="s">
        <v>405</v>
      </c>
      <c r="B171" s="16" t="s">
        <v>2953</v>
      </c>
      <c r="C171" s="17" t="s">
        <v>1259</v>
      </c>
      <c r="D171" s="17" t="str">
        <f t="shared" si="24"/>
        <v>15/10/86</v>
      </c>
      <c r="E171" s="3" t="s">
        <v>3691</v>
      </c>
      <c r="F171" s="6">
        <v>13460.816000000001</v>
      </c>
      <c r="G171" s="6">
        <f>IF(F171=0,$Y$3,F171)</f>
        <v>13460.816000000001</v>
      </c>
      <c r="H171" s="79">
        <f t="shared" si="21"/>
        <v>4</v>
      </c>
      <c r="I171">
        <f t="shared" si="22"/>
        <v>36</v>
      </c>
      <c r="J171">
        <f t="shared" si="23"/>
        <v>5</v>
      </c>
      <c r="K171">
        <f t="shared" si="25"/>
        <v>29</v>
      </c>
      <c r="L171" s="80">
        <f t="shared" si="26"/>
        <v>18</v>
      </c>
      <c r="M171" s="80">
        <f t="shared" si="27"/>
        <v>47</v>
      </c>
      <c r="N171">
        <f t="shared" si="28"/>
        <v>10058.704769446185</v>
      </c>
      <c r="O171" s="87">
        <f>(((1-((1+$W$11)/(1+$W$10))^(6*(J171+K171)))/($W$10-$W$11))*(1+$W$10)^(6*(J171+K171)))</f>
        <v>1724.4052908394829</v>
      </c>
      <c r="P171" s="69">
        <f>N171*0.065*O171</f>
        <v>1127443.4420226472</v>
      </c>
      <c r="Q171" s="69">
        <f t="shared" si="29"/>
        <v>7516.2896134843149</v>
      </c>
      <c r="R171" s="69">
        <f>G171*(1+0.06)^K171</f>
        <v>72935.922524726004</v>
      </c>
      <c r="S171" s="77">
        <f t="shared" si="30"/>
        <v>0.10305332891259747</v>
      </c>
    </row>
    <row r="172" spans="1:19" ht="15.5" x14ac:dyDescent="0.35">
      <c r="A172" s="3" t="s">
        <v>407</v>
      </c>
      <c r="B172" s="16" t="s">
        <v>2955</v>
      </c>
      <c r="C172" s="17" t="s">
        <v>1261</v>
      </c>
      <c r="D172" s="17" t="str">
        <f t="shared" si="24"/>
        <v>01/02/87</v>
      </c>
      <c r="E172" s="3" t="s">
        <v>3692</v>
      </c>
      <c r="F172" s="6">
        <v>11372.335999999999</v>
      </c>
      <c r="G172" s="6">
        <f>IF(F172=0,$Y$3,F172)</f>
        <v>11372.335999999999</v>
      </c>
      <c r="H172" s="79">
        <f t="shared" si="21"/>
        <v>9</v>
      </c>
      <c r="I172">
        <f t="shared" si="22"/>
        <v>35</v>
      </c>
      <c r="J172">
        <f t="shared" si="23"/>
        <v>5</v>
      </c>
      <c r="K172">
        <f t="shared" si="25"/>
        <v>30</v>
      </c>
      <c r="L172" s="80">
        <f t="shared" si="26"/>
        <v>13</v>
      </c>
      <c r="M172" s="80">
        <f t="shared" si="27"/>
        <v>43</v>
      </c>
      <c r="N172">
        <f t="shared" si="28"/>
        <v>8498.0710205788819</v>
      </c>
      <c r="O172" s="87">
        <f>(((1-((1+$W$11)/(1+$W$10))^(6*(J172+K172)))/($W$10-$W$11))*(1+$W$10)^(6*(J172+K172)))</f>
        <v>1890.963685662718</v>
      </c>
      <c r="P172" s="69">
        <f>N172*0.065*O172</f>
        <v>1044520.3403763296</v>
      </c>
      <c r="Q172" s="69">
        <f t="shared" si="29"/>
        <v>6963.4689358421974</v>
      </c>
      <c r="R172" s="69">
        <f>G172*(1+0.06)^K172</f>
        <v>65316.911431403678</v>
      </c>
      <c r="S172" s="77">
        <f t="shared" si="30"/>
        <v>0.10661050535366</v>
      </c>
    </row>
    <row r="173" spans="1:19" ht="15.5" x14ac:dyDescent="0.35">
      <c r="A173" s="3" t="s">
        <v>408</v>
      </c>
      <c r="B173" s="16" t="s">
        <v>2956</v>
      </c>
      <c r="C173" s="17" t="s">
        <v>1262</v>
      </c>
      <c r="D173" s="17" t="str">
        <f t="shared" si="24"/>
        <v>02/09/91</v>
      </c>
      <c r="E173" s="3" t="s">
        <v>3693</v>
      </c>
      <c r="F173" s="6">
        <v>15242.56</v>
      </c>
      <c r="G173" s="6">
        <f>IF(F173=0,$Y$3,F173)</f>
        <v>15242.56</v>
      </c>
      <c r="H173" s="79">
        <f t="shared" si="21"/>
        <v>10</v>
      </c>
      <c r="I173">
        <f t="shared" si="22"/>
        <v>31</v>
      </c>
      <c r="J173">
        <f t="shared" si="23"/>
        <v>5</v>
      </c>
      <c r="K173">
        <f t="shared" si="25"/>
        <v>34</v>
      </c>
      <c r="L173" s="80">
        <f t="shared" si="26"/>
        <v>12</v>
      </c>
      <c r="M173" s="80">
        <f t="shared" si="27"/>
        <v>46</v>
      </c>
      <c r="N173">
        <f t="shared" si="28"/>
        <v>11390.127535401243</v>
      </c>
      <c r="O173" s="87">
        <f>(((1-((1+$W$11)/(1+$W$10))^(6*(J173+K173)))/($W$10-$W$11))*(1+$W$10)^(6*(J173+K173)))</f>
        <v>2713.5031944291845</v>
      </c>
      <c r="P173" s="69">
        <f>N173*0.065*O173</f>
        <v>2008964.5843973607</v>
      </c>
      <c r="Q173" s="69">
        <f t="shared" si="29"/>
        <v>13393.097229315737</v>
      </c>
      <c r="R173" s="69">
        <f>G173*(1+0.06)^K173</f>
        <v>110524.18782738539</v>
      </c>
      <c r="S173" s="77">
        <f t="shared" si="30"/>
        <v>0.12117797463694396</v>
      </c>
    </row>
    <row r="174" spans="1:19" ht="15.5" x14ac:dyDescent="0.35">
      <c r="A174" s="3" t="s">
        <v>409</v>
      </c>
      <c r="B174" s="16" t="s">
        <v>2957</v>
      </c>
      <c r="C174" s="17" t="s">
        <v>1263</v>
      </c>
      <c r="D174" s="17" t="str">
        <f t="shared" si="24"/>
        <v>14/02/86</v>
      </c>
      <c r="E174" s="3" t="s">
        <v>3694</v>
      </c>
      <c r="F174" s="6">
        <v>21973.423999999999</v>
      </c>
      <c r="G174" s="6">
        <f>IF(F174=0,$Y$3,F174)</f>
        <v>21973.423999999999</v>
      </c>
      <c r="H174" s="79">
        <f t="shared" si="21"/>
        <v>10</v>
      </c>
      <c r="I174">
        <f t="shared" si="22"/>
        <v>36</v>
      </c>
      <c r="J174">
        <f t="shared" si="23"/>
        <v>5</v>
      </c>
      <c r="K174">
        <f t="shared" si="25"/>
        <v>29</v>
      </c>
      <c r="L174" s="80">
        <f t="shared" si="26"/>
        <v>12</v>
      </c>
      <c r="M174" s="80">
        <f t="shared" si="27"/>
        <v>41</v>
      </c>
      <c r="N174">
        <f t="shared" si="28"/>
        <v>16419.820669851164</v>
      </c>
      <c r="O174" s="87">
        <f>(((1-((1+$W$11)/(1+$W$10))^(6*(J174+K174)))/($W$10-$W$11))*(1+$W$10)^(6*(J174+K174)))</f>
        <v>1724.4052908394829</v>
      </c>
      <c r="P174" s="69">
        <f>N174*0.065*O174</f>
        <v>1840437.6664522453</v>
      </c>
      <c r="Q174" s="69">
        <f t="shared" si="29"/>
        <v>12269.584443014968</v>
      </c>
      <c r="R174" s="69">
        <f>G174*(1+0.06)^K174</f>
        <v>119060.53470064185</v>
      </c>
      <c r="S174" s="77">
        <f t="shared" si="30"/>
        <v>0.10305332891259747</v>
      </c>
    </row>
    <row r="175" spans="1:19" ht="15.5" x14ac:dyDescent="0.35">
      <c r="A175" s="3" t="s">
        <v>410</v>
      </c>
      <c r="B175" s="16" t="s">
        <v>2958</v>
      </c>
      <c r="C175" s="17" t="s">
        <v>1264</v>
      </c>
      <c r="D175" s="17" t="str">
        <f t="shared" si="24"/>
        <v>03/09/94</v>
      </c>
      <c r="E175" s="3" t="s">
        <v>3695</v>
      </c>
      <c r="F175" s="6">
        <v>18476.511999999999</v>
      </c>
      <c r="G175" s="6">
        <f>IF(F175=0,$Y$3,F175)</f>
        <v>18476.511999999999</v>
      </c>
      <c r="H175" s="79">
        <f t="shared" si="21"/>
        <v>15</v>
      </c>
      <c r="I175">
        <f t="shared" si="22"/>
        <v>28</v>
      </c>
      <c r="J175">
        <f t="shared" si="23"/>
        <v>5</v>
      </c>
      <c r="K175">
        <f t="shared" si="25"/>
        <v>37</v>
      </c>
      <c r="L175" s="80">
        <f t="shared" si="26"/>
        <v>7</v>
      </c>
      <c r="M175" s="80">
        <f t="shared" si="27"/>
        <v>44</v>
      </c>
      <c r="N175">
        <f t="shared" si="28"/>
        <v>13806.724598057774</v>
      </c>
      <c r="O175" s="87">
        <f>(((1-((1+$W$11)/(1+$W$10))^(6*(J175+K175)))/($W$10-$W$11))*(1+$W$10)^(6*(J175+K175)))</f>
        <v>3532.9398561414855</v>
      </c>
      <c r="P175" s="69">
        <f>N175*0.065*O175</f>
        <v>3170591.2949910774</v>
      </c>
      <c r="Q175" s="69">
        <f t="shared" si="29"/>
        <v>21137.275299940517</v>
      </c>
      <c r="R175" s="69">
        <f>G175*(1+0.06)^K175</f>
        <v>159564.76730280905</v>
      </c>
      <c r="S175" s="77">
        <f t="shared" si="30"/>
        <v>0.13246831150280133</v>
      </c>
    </row>
    <row r="176" spans="1:19" ht="15.5" x14ac:dyDescent="0.35">
      <c r="A176" s="3" t="s">
        <v>413</v>
      </c>
      <c r="B176" s="16" t="s">
        <v>2961</v>
      </c>
      <c r="C176" s="17" t="s">
        <v>1266</v>
      </c>
      <c r="D176" s="17" t="str">
        <f t="shared" si="24"/>
        <v>06/06/91</v>
      </c>
      <c r="E176" s="3" t="s">
        <v>3696</v>
      </c>
      <c r="F176" s="6">
        <v>23990.463999999996</v>
      </c>
      <c r="G176" s="6">
        <f>IF(F176=0,$Y$3,F176)</f>
        <v>23990.463999999996</v>
      </c>
      <c r="H176" s="79">
        <f t="shared" si="21"/>
        <v>17</v>
      </c>
      <c r="I176">
        <f t="shared" si="22"/>
        <v>31</v>
      </c>
      <c r="J176">
        <f t="shared" si="23"/>
        <v>5</v>
      </c>
      <c r="K176">
        <f t="shared" si="25"/>
        <v>34</v>
      </c>
      <c r="L176" s="80">
        <f t="shared" si="26"/>
        <v>5</v>
      </c>
      <c r="M176" s="80">
        <f t="shared" si="27"/>
        <v>39</v>
      </c>
      <c r="N176">
        <f t="shared" si="28"/>
        <v>17927.070294848912</v>
      </c>
      <c r="O176" s="87">
        <f>(((1-((1+$W$11)/(1+$W$10))^(6*(J176+K176)))/($W$10-$W$11))*(1+$W$10)^(6*(J176+K176)))</f>
        <v>2713.5031944291845</v>
      </c>
      <c r="P176" s="69">
        <f>N176*0.065*O176</f>
        <v>3161935.5632688892</v>
      </c>
      <c r="Q176" s="69">
        <f t="shared" si="29"/>
        <v>21079.570421792596</v>
      </c>
      <c r="R176" s="69">
        <f>G176*(1+0.06)^K176</f>
        <v>173955.46084136309</v>
      </c>
      <c r="S176" s="77">
        <f t="shared" si="30"/>
        <v>0.12117797463694396</v>
      </c>
    </row>
    <row r="177" spans="1:19" ht="15.5" x14ac:dyDescent="0.35">
      <c r="A177" s="3" t="s">
        <v>414</v>
      </c>
      <c r="B177" s="16" t="s">
        <v>2962</v>
      </c>
      <c r="C177" s="17" t="s">
        <v>1267</v>
      </c>
      <c r="D177" s="17" t="str">
        <f t="shared" si="24"/>
        <v>27/12/78</v>
      </c>
      <c r="E177" s="3" t="s">
        <v>3697</v>
      </c>
      <c r="F177" s="6">
        <v>18885.392</v>
      </c>
      <c r="G177" s="6">
        <f>IF(F177=0,$Y$3,F177)</f>
        <v>18885.392</v>
      </c>
      <c r="H177" s="79">
        <f t="shared" si="21"/>
        <v>98</v>
      </c>
      <c r="I177">
        <f t="shared" si="22"/>
        <v>44</v>
      </c>
      <c r="J177">
        <f t="shared" si="23"/>
        <v>5</v>
      </c>
      <c r="K177">
        <f t="shared" si="25"/>
        <v>21</v>
      </c>
      <c r="L177" s="80">
        <f t="shared" si="26"/>
        <v>24</v>
      </c>
      <c r="M177" s="80">
        <f t="shared" si="27"/>
        <v>45</v>
      </c>
      <c r="N177">
        <f t="shared" si="28"/>
        <v>14112.263519779248</v>
      </c>
      <c r="O177" s="87">
        <f>(((1-((1+$W$11)/(1+$W$10))^(6*(J177+K177)))/($W$10-$W$11))*(1+$W$10)^(6*(J177+K177)))</f>
        <v>795.44548998043808</v>
      </c>
      <c r="P177" s="69">
        <f>N177*0.065*O177</f>
        <v>729659.86406455131</v>
      </c>
      <c r="Q177" s="69">
        <f t="shared" si="29"/>
        <v>4864.3990937636754</v>
      </c>
      <c r="R177" s="69">
        <f>G177*(1+0.06)^K177</f>
        <v>64202.091225235439</v>
      </c>
      <c r="S177" s="77">
        <f t="shared" si="30"/>
        <v>7.5766988285447964E-2</v>
      </c>
    </row>
    <row r="178" spans="1:19" ht="15.5" x14ac:dyDescent="0.35">
      <c r="A178" s="3" t="s">
        <v>415</v>
      </c>
      <c r="B178" s="16" t="s">
        <v>2963</v>
      </c>
      <c r="C178" s="17" t="s">
        <v>1268</v>
      </c>
      <c r="D178" s="17" t="str">
        <f t="shared" si="24"/>
        <v>11/05/93</v>
      </c>
      <c r="E178" s="3" t="s">
        <v>3698</v>
      </c>
      <c r="F178" s="6">
        <v>15116.4</v>
      </c>
      <c r="G178" s="6">
        <f>IF(F178=0,$Y$3,F178)</f>
        <v>15116.4</v>
      </c>
      <c r="H178" s="79">
        <f t="shared" si="21"/>
        <v>12</v>
      </c>
      <c r="I178">
        <f t="shared" si="22"/>
        <v>29</v>
      </c>
      <c r="J178">
        <f t="shared" si="23"/>
        <v>5</v>
      </c>
      <c r="K178">
        <f t="shared" si="25"/>
        <v>36</v>
      </c>
      <c r="L178" s="80">
        <f t="shared" si="26"/>
        <v>10</v>
      </c>
      <c r="M178" s="80">
        <f t="shared" si="27"/>
        <v>46</v>
      </c>
      <c r="N178">
        <f t="shared" si="28"/>
        <v>11295.853444312463</v>
      </c>
      <c r="O178" s="87">
        <f>(((1-((1+$W$11)/(1+$W$10))^(6*(J178+K178)))/($W$10-$W$11))*(1+$W$10)^(6*(J178+K178)))</f>
        <v>3237.3816560572077</v>
      </c>
      <c r="P178" s="69">
        <f>N178*0.065*O178</f>
        <v>2376984.2674583066</v>
      </c>
      <c r="Q178" s="69">
        <f t="shared" si="29"/>
        <v>15846.561783055378</v>
      </c>
      <c r="R178" s="69">
        <f>G178*(1+0.06)^K178</f>
        <v>123157.12013054904</v>
      </c>
      <c r="S178" s="77">
        <f t="shared" si="30"/>
        <v>0.12866947332202719</v>
      </c>
    </row>
    <row r="179" spans="1:19" ht="15.5" x14ac:dyDescent="0.35">
      <c r="A179" s="3" t="s">
        <v>418</v>
      </c>
      <c r="B179" s="16" t="s">
        <v>2966</v>
      </c>
      <c r="C179" s="17" t="s">
        <v>1271</v>
      </c>
      <c r="D179" s="17" t="str">
        <f t="shared" si="24"/>
        <v>29/08/84</v>
      </c>
      <c r="E179" s="3" t="s">
        <v>3699</v>
      </c>
      <c r="F179" s="6">
        <v>6290.9759999999997</v>
      </c>
      <c r="G179" s="6">
        <f>IF(F179=0,$Y$3,F179)</f>
        <v>6290.9759999999997</v>
      </c>
      <c r="H179" s="79">
        <f t="shared" si="21"/>
        <v>3</v>
      </c>
      <c r="I179">
        <f t="shared" si="22"/>
        <v>38</v>
      </c>
      <c r="J179">
        <f t="shared" si="23"/>
        <v>5</v>
      </c>
      <c r="K179">
        <f t="shared" si="25"/>
        <v>27</v>
      </c>
      <c r="L179" s="80">
        <f t="shared" si="26"/>
        <v>19</v>
      </c>
      <c r="M179" s="80">
        <f t="shared" si="27"/>
        <v>46</v>
      </c>
      <c r="N179">
        <f t="shared" si="28"/>
        <v>4700.9832313042152</v>
      </c>
      <c r="O179" s="87">
        <f>(((1-((1+$W$11)/(1+$W$10))^(6*(J179+K179)))/($W$10-$W$11))*(1+$W$10)^(6*(J179+K179)))</f>
        <v>1430.2452154182549</v>
      </c>
      <c r="P179" s="69">
        <f>N179*0.065*O179</f>
        <v>437031.3203317296</v>
      </c>
      <c r="Q179" s="69">
        <f t="shared" si="29"/>
        <v>2913.5421355448639</v>
      </c>
      <c r="R179" s="69">
        <f>G179*(1+0.06)^K179</f>
        <v>30337.262576664929</v>
      </c>
      <c r="S179" s="77">
        <f t="shared" si="30"/>
        <v>9.6038399251814066E-2</v>
      </c>
    </row>
    <row r="180" spans="1:19" ht="15.5" x14ac:dyDescent="0.35">
      <c r="A180" s="3" t="s">
        <v>419</v>
      </c>
      <c r="B180" s="16" t="s">
        <v>2967</v>
      </c>
      <c r="C180" s="17" t="s">
        <v>1272</v>
      </c>
      <c r="D180" s="17" t="str">
        <f t="shared" si="24"/>
        <v>27/07/78</v>
      </c>
      <c r="E180" s="3" t="s">
        <v>3700</v>
      </c>
      <c r="F180" s="6">
        <v>23069.647999999997</v>
      </c>
      <c r="G180" s="6">
        <f>IF(F180=0,$Y$3,F180)</f>
        <v>23069.647999999997</v>
      </c>
      <c r="H180" s="79">
        <f t="shared" si="21"/>
        <v>3</v>
      </c>
      <c r="I180">
        <f t="shared" si="22"/>
        <v>44</v>
      </c>
      <c r="J180">
        <f t="shared" si="23"/>
        <v>5</v>
      </c>
      <c r="K180">
        <f t="shared" si="25"/>
        <v>21</v>
      </c>
      <c r="L180" s="80">
        <f t="shared" si="26"/>
        <v>19</v>
      </c>
      <c r="M180" s="80">
        <f t="shared" si="27"/>
        <v>40</v>
      </c>
      <c r="N180">
        <f t="shared" si="28"/>
        <v>17238.983013143083</v>
      </c>
      <c r="O180" s="87">
        <f>(((1-((1+$W$11)/(1+$W$10))^(6*(J180+K180)))/($W$10-$W$11))*(1+$W$10)^(6*(J180+K180)))</f>
        <v>795.44548998043808</v>
      </c>
      <c r="P180" s="69">
        <f>N180*0.065*O180</f>
        <v>891323.6338275132</v>
      </c>
      <c r="Q180" s="69">
        <f t="shared" si="29"/>
        <v>5942.1575588500882</v>
      </c>
      <c r="R180" s="69">
        <f>G180*(1+0.06)^K180</f>
        <v>78426.735618200037</v>
      </c>
      <c r="S180" s="77">
        <f t="shared" si="30"/>
        <v>7.5766988285447978E-2</v>
      </c>
    </row>
    <row r="181" spans="1:19" ht="15.5" x14ac:dyDescent="0.35">
      <c r="A181" s="3" t="s">
        <v>420</v>
      </c>
      <c r="B181" s="16" t="s">
        <v>2968</v>
      </c>
      <c r="C181" s="17" t="s">
        <v>1273</v>
      </c>
      <c r="D181" s="17" t="str">
        <f t="shared" si="24"/>
        <v>08/03/80</v>
      </c>
      <c r="E181" s="3" t="s">
        <v>3700</v>
      </c>
      <c r="F181" s="6">
        <v>8886.8319999999985</v>
      </c>
      <c r="G181" s="6">
        <f>IF(F181=0,$Y$3,F181)</f>
        <v>8886.8319999999985</v>
      </c>
      <c r="H181" s="79">
        <f t="shared" si="21"/>
        <v>99</v>
      </c>
      <c r="I181">
        <f t="shared" si="22"/>
        <v>42</v>
      </c>
      <c r="J181">
        <f t="shared" si="23"/>
        <v>5</v>
      </c>
      <c r="K181">
        <f t="shared" si="25"/>
        <v>23</v>
      </c>
      <c r="L181" s="80">
        <f t="shared" si="26"/>
        <v>23</v>
      </c>
      <c r="M181" s="80">
        <f t="shared" si="27"/>
        <v>46</v>
      </c>
      <c r="N181">
        <f t="shared" si="28"/>
        <v>6640.757842887605</v>
      </c>
      <c r="O181" s="87">
        <f>(((1-((1+$W$11)/(1+$W$10))^(6*(J181+K181)))/($W$10-$W$11))*(1+$W$10)^(6*(J181+K181)))</f>
        <v>971.97898006406626</v>
      </c>
      <c r="P181" s="69">
        <f>N181*0.065*O181</f>
        <v>419554.0072738523</v>
      </c>
      <c r="Q181" s="69">
        <f t="shared" si="29"/>
        <v>2797.0267151590156</v>
      </c>
      <c r="R181" s="69">
        <f>G181*(1+0.06)^K181</f>
        <v>33945.473524456625</v>
      </c>
      <c r="S181" s="77">
        <f t="shared" si="30"/>
        <v>8.2397634345676388E-2</v>
      </c>
    </row>
    <row r="182" spans="1:19" ht="15.5" x14ac:dyDescent="0.35">
      <c r="A182" s="3" t="s">
        <v>424</v>
      </c>
      <c r="B182" s="16" t="s">
        <v>2972</v>
      </c>
      <c r="C182" s="17" t="s">
        <v>1277</v>
      </c>
      <c r="D182" s="17" t="str">
        <f t="shared" si="24"/>
        <v>10/07/76</v>
      </c>
      <c r="E182" s="3" t="s">
        <v>3702</v>
      </c>
      <c r="F182" s="6">
        <v>18158.223999999998</v>
      </c>
      <c r="G182" s="6">
        <f>IF(F182=0,$Y$3,F182)</f>
        <v>18158.223999999998</v>
      </c>
      <c r="H182" s="79">
        <f t="shared" si="21"/>
        <v>3</v>
      </c>
      <c r="I182">
        <f t="shared" si="22"/>
        <v>46</v>
      </c>
      <c r="J182">
        <f t="shared" si="23"/>
        <v>5</v>
      </c>
      <c r="K182">
        <f t="shared" si="25"/>
        <v>19</v>
      </c>
      <c r="L182" s="80">
        <f t="shared" si="26"/>
        <v>19</v>
      </c>
      <c r="M182" s="80">
        <f t="shared" si="27"/>
        <v>38</v>
      </c>
      <c r="N182">
        <f t="shared" si="28"/>
        <v>13568.881288732582</v>
      </c>
      <c r="O182" s="87">
        <f>(((1-((1+$W$11)/(1+$W$10))^(6*(J182+K182)))/($W$10-$W$11))*(1+$W$10)^(6*(J182+K182)))</f>
        <v>647.14153879984769</v>
      </c>
      <c r="P182" s="69">
        <f>N182*0.065*O182</f>
        <v>570764.13660388615</v>
      </c>
      <c r="Q182" s="69">
        <f t="shared" si="29"/>
        <v>3805.0942440259078</v>
      </c>
      <c r="R182" s="69">
        <f>G182*(1+0.06)^K182</f>
        <v>54939.513493194965</v>
      </c>
      <c r="S182" s="77">
        <f t="shared" si="30"/>
        <v>6.9259700388450335E-2</v>
      </c>
    </row>
    <row r="183" spans="1:19" ht="15.5" x14ac:dyDescent="0.35">
      <c r="A183" s="3" t="s">
        <v>425</v>
      </c>
      <c r="B183" s="16" t="s">
        <v>2973</v>
      </c>
      <c r="C183" s="17" t="s">
        <v>1278</v>
      </c>
      <c r="D183" s="17" t="str">
        <f t="shared" si="24"/>
        <v>02/07/82</v>
      </c>
      <c r="E183" s="3" t="s">
        <v>3702</v>
      </c>
      <c r="F183" s="6">
        <v>19345.648000000001</v>
      </c>
      <c r="G183" s="6">
        <f>IF(F183=0,$Y$3,F183)</f>
        <v>19345.648000000001</v>
      </c>
      <c r="H183" s="79">
        <f t="shared" si="21"/>
        <v>3</v>
      </c>
      <c r="I183">
        <f t="shared" si="22"/>
        <v>40</v>
      </c>
      <c r="J183">
        <f t="shared" si="23"/>
        <v>5</v>
      </c>
      <c r="K183">
        <f t="shared" si="25"/>
        <v>25</v>
      </c>
      <c r="L183" s="80">
        <f t="shared" si="26"/>
        <v>19</v>
      </c>
      <c r="M183" s="80">
        <f t="shared" si="27"/>
        <v>44</v>
      </c>
      <c r="N183">
        <f t="shared" si="28"/>
        <v>14456.193577389888</v>
      </c>
      <c r="O183" s="87">
        <f>(((1-((1+$W$11)/(1+$W$10))^(6*(J183+K183)))/($W$10-$W$11))*(1+$W$10)^(6*(J183+K183)))</f>
        <v>1181.6655698699749</v>
      </c>
      <c r="P183" s="69">
        <f>N183*0.065*O183</f>
        <v>1110355.104415511</v>
      </c>
      <c r="Q183" s="69">
        <f t="shared" si="29"/>
        <v>7402.3673627700737</v>
      </c>
      <c r="R183" s="69">
        <f>G183*(1+0.06)^K183</f>
        <v>83029.020205664172</v>
      </c>
      <c r="S183" s="77">
        <f t="shared" si="30"/>
        <v>8.915397706048192E-2</v>
      </c>
    </row>
    <row r="184" spans="1:19" ht="15.5" x14ac:dyDescent="0.35">
      <c r="A184" s="3" t="s">
        <v>427</v>
      </c>
      <c r="B184" s="16" t="s">
        <v>2975</v>
      </c>
      <c r="C184" s="17" t="s">
        <v>1280</v>
      </c>
      <c r="D184" s="17" t="str">
        <f t="shared" si="24"/>
        <v>15/05/92</v>
      </c>
      <c r="E184" s="3" t="s">
        <v>3703</v>
      </c>
      <c r="F184" s="6">
        <v>10590.751999999999</v>
      </c>
      <c r="G184" s="6">
        <f>IF(F184=0,$Y$3,F184)</f>
        <v>10590.751999999999</v>
      </c>
      <c r="H184" s="79">
        <f t="shared" si="21"/>
        <v>11</v>
      </c>
      <c r="I184">
        <f t="shared" si="22"/>
        <v>30</v>
      </c>
      <c r="J184">
        <f t="shared" si="23"/>
        <v>5</v>
      </c>
      <c r="K184">
        <f t="shared" si="25"/>
        <v>35</v>
      </c>
      <c r="L184" s="80">
        <f t="shared" si="26"/>
        <v>11</v>
      </c>
      <c r="M184" s="80">
        <f t="shared" si="27"/>
        <v>46</v>
      </c>
      <c r="N184">
        <f t="shared" si="28"/>
        <v>7914.0259887975371</v>
      </c>
      <c r="O184" s="87">
        <f>(((1-((1+$W$11)/(1+$W$10))^(6*(J184+K184)))/($W$10-$W$11))*(1+$W$10)^(6*(J184+K184)))</f>
        <v>2964.8060935111685</v>
      </c>
      <c r="P184" s="69">
        <f>N184*0.065*O184</f>
        <v>1525130.9109265248</v>
      </c>
      <c r="Q184" s="69">
        <f t="shared" si="29"/>
        <v>10167.539406176831</v>
      </c>
      <c r="R184" s="69">
        <f>G184*(1+0.06)^K184</f>
        <v>81401.439067855594</v>
      </c>
      <c r="S184" s="77">
        <f t="shared" si="30"/>
        <v>0.12490613830182107</v>
      </c>
    </row>
    <row r="185" spans="1:19" ht="15.5" x14ac:dyDescent="0.35">
      <c r="A185" s="3" t="s">
        <v>429</v>
      </c>
      <c r="B185" s="16" t="s">
        <v>2977</v>
      </c>
      <c r="C185" s="17" t="s">
        <v>1282</v>
      </c>
      <c r="D185" s="17" t="str">
        <f t="shared" si="24"/>
        <v>03/05/77</v>
      </c>
      <c r="E185" s="3" t="s">
        <v>3705</v>
      </c>
      <c r="F185" s="6">
        <v>6992.3039999999992</v>
      </c>
      <c r="G185" s="6">
        <f>IF(F185=0,$Y$3,F185)</f>
        <v>6992.3039999999992</v>
      </c>
      <c r="H185" s="79">
        <f t="shared" si="21"/>
        <v>11</v>
      </c>
      <c r="I185">
        <f t="shared" si="22"/>
        <v>45</v>
      </c>
      <c r="J185">
        <f t="shared" si="23"/>
        <v>5</v>
      </c>
      <c r="K185">
        <f t="shared" si="25"/>
        <v>20</v>
      </c>
      <c r="L185" s="80">
        <f t="shared" si="26"/>
        <v>11</v>
      </c>
      <c r="M185" s="80">
        <f t="shared" si="27"/>
        <v>31</v>
      </c>
      <c r="N185">
        <f t="shared" si="28"/>
        <v>5225.0563111640204</v>
      </c>
      <c r="O185" s="87">
        <f>(((1-((1+$W$11)/(1+$W$10))^(6*(J185+K185)))/($W$10-$W$11))*(1+$W$10)^(6*(J185+K185)))</f>
        <v>718.04386069822795</v>
      </c>
      <c r="P185" s="69">
        <f>N185*0.065*O185</f>
        <v>243868.27439220058</v>
      </c>
      <c r="Q185" s="69">
        <f t="shared" si="29"/>
        <v>1625.7884959480039</v>
      </c>
      <c r="R185" s="69">
        <f>G185*(1+0.06)^K185</f>
        <v>22425.266190895782</v>
      </c>
      <c r="S185" s="77">
        <f t="shared" si="30"/>
        <v>7.2498069013247304E-2</v>
      </c>
    </row>
    <row r="186" spans="1:19" ht="15.5" x14ac:dyDescent="0.35">
      <c r="A186" s="3" t="s">
        <v>430</v>
      </c>
      <c r="B186" s="16" t="s">
        <v>2978</v>
      </c>
      <c r="C186" s="17" t="s">
        <v>1283</v>
      </c>
      <c r="D186" s="17" t="str">
        <f t="shared" si="24"/>
        <v>05/04/80</v>
      </c>
      <c r="E186" s="3" t="s">
        <v>3705</v>
      </c>
      <c r="F186" s="6">
        <v>15014.255999999999</v>
      </c>
      <c r="G186" s="6">
        <f>IF(F186=0,$Y$3,F186)</f>
        <v>15014.255999999999</v>
      </c>
      <c r="H186" s="79">
        <f t="shared" si="21"/>
        <v>0</v>
      </c>
      <c r="I186">
        <f t="shared" si="22"/>
        <v>42</v>
      </c>
      <c r="J186">
        <f t="shared" si="23"/>
        <v>5</v>
      </c>
      <c r="K186">
        <f t="shared" si="25"/>
        <v>23</v>
      </c>
      <c r="L186" s="80">
        <f t="shared" si="26"/>
        <v>22</v>
      </c>
      <c r="M186" s="80">
        <f t="shared" si="27"/>
        <v>45</v>
      </c>
      <c r="N186">
        <f t="shared" si="28"/>
        <v>11219.525505503232</v>
      </c>
      <c r="O186" s="87">
        <f>(((1-((1+$W$11)/(1+$W$10))^(6*(J186+K186)))/($W$10-$W$11))*(1+$W$10)^(6*(J186+K186)))</f>
        <v>971.97898006406626</v>
      </c>
      <c r="P186" s="69">
        <f>N186*0.065*O186</f>
        <v>708834.29224671761</v>
      </c>
      <c r="Q186" s="69">
        <f t="shared" si="29"/>
        <v>4725.5619483114506</v>
      </c>
      <c r="R186" s="69">
        <f>G186*(1+0.06)^K186</f>
        <v>57350.699274771265</v>
      </c>
      <c r="S186" s="77">
        <f t="shared" si="30"/>
        <v>8.2397634345676388E-2</v>
      </c>
    </row>
    <row r="187" spans="1:19" ht="15.5" x14ac:dyDescent="0.35">
      <c r="A187" s="3" t="s">
        <v>433</v>
      </c>
      <c r="B187" s="16" t="s">
        <v>2981</v>
      </c>
      <c r="C187" s="17" t="s">
        <v>1286</v>
      </c>
      <c r="D187" s="17" t="str">
        <f t="shared" si="24"/>
        <v>23/06/78</v>
      </c>
      <c r="E187" s="3" t="s">
        <v>3707</v>
      </c>
      <c r="F187" s="6">
        <v>5632.2079999999996</v>
      </c>
      <c r="G187" s="6">
        <f>IF(F187=0,$Y$3,F187)</f>
        <v>5632.2079999999996</v>
      </c>
      <c r="H187" s="79">
        <f t="shared" si="21"/>
        <v>4</v>
      </c>
      <c r="I187">
        <f t="shared" si="22"/>
        <v>44</v>
      </c>
      <c r="J187">
        <f t="shared" si="23"/>
        <v>5</v>
      </c>
      <c r="K187">
        <f t="shared" si="25"/>
        <v>21</v>
      </c>
      <c r="L187" s="80">
        <f t="shared" si="26"/>
        <v>18</v>
      </c>
      <c r="M187" s="80">
        <f t="shared" si="27"/>
        <v>39</v>
      </c>
      <c r="N187">
        <f t="shared" si="28"/>
        <v>4208.7134592815883</v>
      </c>
      <c r="O187" s="87">
        <f>(((1-((1+$W$11)/(1+$W$10))^(6*(J187+K187)))/($W$10-$W$11))*(1+$W$10)^(6*(J187+K187)))</f>
        <v>795.44548998043808</v>
      </c>
      <c r="P187" s="69">
        <f>N187*0.065*O187</f>
        <v>217607.13908735802</v>
      </c>
      <c r="Q187" s="69">
        <f t="shared" si="29"/>
        <v>1450.7142605823867</v>
      </c>
      <c r="R187" s="69">
        <f>G187*(1+0.06)^K187</f>
        <v>19147.049307501842</v>
      </c>
      <c r="S187" s="77">
        <f t="shared" si="30"/>
        <v>7.5766988285447964E-2</v>
      </c>
    </row>
    <row r="188" spans="1:19" ht="15.5" x14ac:dyDescent="0.35">
      <c r="A188" s="3" t="s">
        <v>434</v>
      </c>
      <c r="B188" s="16" t="s">
        <v>2982</v>
      </c>
      <c r="C188" s="17" t="s">
        <v>1287</v>
      </c>
      <c r="D188" s="17" t="str">
        <f t="shared" si="24"/>
        <v>26/02/91</v>
      </c>
      <c r="E188" s="3" t="s">
        <v>3708</v>
      </c>
      <c r="F188" s="6">
        <v>5632.2079999999996</v>
      </c>
      <c r="G188" s="6">
        <f>IF(F188=0,$Y$3,F188)</f>
        <v>5632.2079999999996</v>
      </c>
      <c r="H188" s="79">
        <f t="shared" si="21"/>
        <v>10</v>
      </c>
      <c r="I188">
        <f t="shared" si="22"/>
        <v>31</v>
      </c>
      <c r="J188">
        <f t="shared" si="23"/>
        <v>5</v>
      </c>
      <c r="K188">
        <f t="shared" si="25"/>
        <v>34</v>
      </c>
      <c r="L188" s="80">
        <f t="shared" si="26"/>
        <v>12</v>
      </c>
      <c r="M188" s="80">
        <f t="shared" si="27"/>
        <v>46</v>
      </c>
      <c r="N188">
        <f t="shared" si="28"/>
        <v>4208.7134592815883</v>
      </c>
      <c r="O188" s="87">
        <f>(((1-((1+$W$11)/(1+$W$10))^(6*(J188+K188)))/($W$10-$W$11))*(1+$W$10)^(6*(J188+K188)))</f>
        <v>2713.5031944291845</v>
      </c>
      <c r="P188" s="69">
        <f>N188*0.065*O188</f>
        <v>742323.23205285019</v>
      </c>
      <c r="Q188" s="69">
        <f t="shared" si="29"/>
        <v>4948.8215470190016</v>
      </c>
      <c r="R188" s="69">
        <f>G188*(1+0.06)^K188</f>
        <v>40839.282566373535</v>
      </c>
      <c r="S188" s="77">
        <f t="shared" si="30"/>
        <v>0.12117797463694401</v>
      </c>
    </row>
    <row r="189" spans="1:19" ht="15.5" x14ac:dyDescent="0.35">
      <c r="A189" s="3" t="s">
        <v>435</v>
      </c>
      <c r="B189" s="16" t="s">
        <v>2983</v>
      </c>
      <c r="C189" s="17" t="s">
        <v>1288</v>
      </c>
      <c r="D189" s="17" t="str">
        <f t="shared" si="24"/>
        <v>18/12/86</v>
      </c>
      <c r="E189" s="3" t="s">
        <v>3708</v>
      </c>
      <c r="F189" s="6">
        <v>17150.767999999996</v>
      </c>
      <c r="G189" s="6">
        <f>IF(F189=0,$Y$3,F189)</f>
        <v>17150.767999999996</v>
      </c>
      <c r="H189" s="79">
        <f t="shared" si="21"/>
        <v>9</v>
      </c>
      <c r="I189">
        <f t="shared" si="22"/>
        <v>36</v>
      </c>
      <c r="J189">
        <f t="shared" si="23"/>
        <v>5</v>
      </c>
      <c r="K189">
        <f t="shared" si="25"/>
        <v>29</v>
      </c>
      <c r="L189" s="80">
        <f t="shared" si="26"/>
        <v>13</v>
      </c>
      <c r="M189" s="80">
        <f t="shared" si="27"/>
        <v>42</v>
      </c>
      <c r="N189">
        <f t="shared" si="28"/>
        <v>12816.051558929634</v>
      </c>
      <c r="O189" s="87">
        <f>(((1-((1+$W$11)/(1+$W$10))^(6*(J189+K189)))/($W$10-$W$11))*(1+$W$10)^(6*(J189+K189)))</f>
        <v>1724.4052908394829</v>
      </c>
      <c r="P189" s="69">
        <f>N189*0.065*O189</f>
        <v>1436504.3625328413</v>
      </c>
      <c r="Q189" s="69">
        <f t="shared" si="29"/>
        <v>9576.6957502189416</v>
      </c>
      <c r="R189" s="69">
        <f>G189*(1+0.06)^K189</f>
        <v>92929.513789323755</v>
      </c>
      <c r="S189" s="77">
        <f t="shared" si="30"/>
        <v>0.10305332891259746</v>
      </c>
    </row>
    <row r="190" spans="1:19" ht="15.5" x14ac:dyDescent="0.35">
      <c r="A190" s="3" t="s">
        <v>437</v>
      </c>
      <c r="B190" s="16" t="s">
        <v>2985</v>
      </c>
      <c r="C190" s="17" t="s">
        <v>1290</v>
      </c>
      <c r="D190" s="17" t="str">
        <f t="shared" si="24"/>
        <v>22/09/83</v>
      </c>
      <c r="E190" s="3" t="s">
        <v>3709</v>
      </c>
      <c r="F190" s="6">
        <v>21829.328000000001</v>
      </c>
      <c r="G190" s="6">
        <f>IF(F190=0,$Y$3,F190)</f>
        <v>21829.328000000001</v>
      </c>
      <c r="H190" s="79">
        <f t="shared" si="21"/>
        <v>5</v>
      </c>
      <c r="I190">
        <f t="shared" si="22"/>
        <v>39</v>
      </c>
      <c r="J190">
        <f t="shared" si="23"/>
        <v>5</v>
      </c>
      <c r="K190">
        <f t="shared" si="25"/>
        <v>26</v>
      </c>
      <c r="L190" s="80">
        <f t="shared" si="26"/>
        <v>17</v>
      </c>
      <c r="M190" s="80">
        <f t="shared" si="27"/>
        <v>43</v>
      </c>
      <c r="N190">
        <f t="shared" si="28"/>
        <v>16312.143756173857</v>
      </c>
      <c r="O190" s="87">
        <f>(((1-((1+$W$11)/(1+$W$10))^(6*(J190+K190)))/($W$10-$W$11))*(1+$W$10)^(6*(J190+K190)))</f>
        <v>1300.6996735984885</v>
      </c>
      <c r="P190" s="69">
        <f>N190*0.065*O190</f>
        <v>1379118.0038575521</v>
      </c>
      <c r="Q190" s="69">
        <f t="shared" si="29"/>
        <v>9194.120025717013</v>
      </c>
      <c r="R190" s="69">
        <f>G190*(1+0.06)^K190</f>
        <v>99309.972895369297</v>
      </c>
      <c r="S190" s="77">
        <f t="shared" si="30"/>
        <v>9.2580027540675361E-2</v>
      </c>
    </row>
    <row r="191" spans="1:19" ht="15.5" x14ac:dyDescent="0.35">
      <c r="A191" s="3" t="s">
        <v>438</v>
      </c>
      <c r="B191" s="16" t="s">
        <v>2986</v>
      </c>
      <c r="C191" s="17" t="s">
        <v>1291</v>
      </c>
      <c r="D191" s="17" t="str">
        <f t="shared" si="24"/>
        <v>30/08/70</v>
      </c>
      <c r="E191" s="3" t="s">
        <v>3710</v>
      </c>
      <c r="F191" s="6">
        <v>20200.191999999999</v>
      </c>
      <c r="G191" s="6">
        <f>IF(F191=0,$Y$3,F191)</f>
        <v>20200.191999999999</v>
      </c>
      <c r="H191" s="79">
        <f t="shared" si="21"/>
        <v>7</v>
      </c>
      <c r="I191">
        <f t="shared" si="22"/>
        <v>52</v>
      </c>
      <c r="J191">
        <f t="shared" si="23"/>
        <v>5</v>
      </c>
      <c r="K191">
        <f t="shared" si="25"/>
        <v>13</v>
      </c>
      <c r="L191" s="80">
        <f t="shared" si="26"/>
        <v>15</v>
      </c>
      <c r="M191" s="80">
        <f t="shared" si="27"/>
        <v>28</v>
      </c>
      <c r="N191">
        <f t="shared" si="28"/>
        <v>15094.758565463539</v>
      </c>
      <c r="O191" s="87">
        <f>(((1-((1+$W$11)/(1+$W$10))^(6*(J191+K191)))/($W$10-$W$11))*(1+$W$10)^(6*(J191+K191)))</f>
        <v>332.34551836663485</v>
      </c>
      <c r="P191" s="69">
        <f>N191*0.065*O191</f>
        <v>326083.89840378182</v>
      </c>
      <c r="Q191" s="69">
        <f t="shared" si="29"/>
        <v>2173.8926560252121</v>
      </c>
      <c r="R191" s="69">
        <f>G191*(1+0.06)^K191</f>
        <v>43085.560377168789</v>
      </c>
      <c r="S191" s="77">
        <f t="shared" si="30"/>
        <v>5.0455248510059218E-2</v>
      </c>
    </row>
    <row r="192" spans="1:19" ht="15.5" x14ac:dyDescent="0.35">
      <c r="A192" s="3" t="s">
        <v>439</v>
      </c>
      <c r="B192" s="16" t="s">
        <v>2987</v>
      </c>
      <c r="C192" s="17" t="s">
        <v>1292</v>
      </c>
      <c r="D192" s="17" t="str">
        <f t="shared" si="24"/>
        <v>17/01/90</v>
      </c>
      <c r="E192" s="3" t="s">
        <v>3711</v>
      </c>
      <c r="F192" s="6">
        <v>7330.3519999999999</v>
      </c>
      <c r="G192" s="6">
        <f>IF(F192=0,$Y$3,F192)</f>
        <v>7330.3519999999999</v>
      </c>
      <c r="H192" s="79">
        <f t="shared" si="21"/>
        <v>15</v>
      </c>
      <c r="I192">
        <f t="shared" si="22"/>
        <v>32</v>
      </c>
      <c r="J192">
        <f t="shared" si="23"/>
        <v>5</v>
      </c>
      <c r="K192">
        <f t="shared" si="25"/>
        <v>33</v>
      </c>
      <c r="L192" s="80">
        <f t="shared" si="26"/>
        <v>7</v>
      </c>
      <c r="M192" s="80">
        <f t="shared" si="27"/>
        <v>40</v>
      </c>
      <c r="N192">
        <f t="shared" si="28"/>
        <v>5477.6654419850456</v>
      </c>
      <c r="O192" s="87">
        <f>(((1-((1+$W$11)/(1+$W$10))^(6*(J192+K192)))/($W$10-$W$11))*(1+$W$10)^(6*(J192+K192)))</f>
        <v>2481.8865373152853</v>
      </c>
      <c r="P192" s="69">
        <f>N192*0.065*O192</f>
        <v>883671.36756469135</v>
      </c>
      <c r="Q192" s="69">
        <f t="shared" si="29"/>
        <v>5891.1424504312754</v>
      </c>
      <c r="R192" s="69">
        <f>G192*(1+0.06)^K192</f>
        <v>50143.931728551448</v>
      </c>
      <c r="S192" s="77">
        <f t="shared" si="30"/>
        <v>0.11748465362314058</v>
      </c>
    </row>
    <row r="193" spans="1:19" ht="15.5" x14ac:dyDescent="0.35">
      <c r="A193" s="3" t="s">
        <v>440</v>
      </c>
      <c r="B193" s="16" t="s">
        <v>2988</v>
      </c>
      <c r="C193" s="17" t="s">
        <v>1293</v>
      </c>
      <c r="D193" s="17" t="str">
        <f t="shared" si="24"/>
        <v>15/10/90</v>
      </c>
      <c r="E193" s="3" t="s">
        <v>3712</v>
      </c>
      <c r="F193" s="6">
        <v>5632.2079999999996</v>
      </c>
      <c r="G193" s="6">
        <f>IF(F193=0,$Y$3,F193)</f>
        <v>5632.2079999999996</v>
      </c>
      <c r="H193" s="79">
        <f t="shared" si="21"/>
        <v>11</v>
      </c>
      <c r="I193">
        <f t="shared" si="22"/>
        <v>32</v>
      </c>
      <c r="J193">
        <f t="shared" si="23"/>
        <v>5</v>
      </c>
      <c r="K193">
        <f t="shared" si="25"/>
        <v>33</v>
      </c>
      <c r="L193" s="80">
        <f t="shared" si="26"/>
        <v>11</v>
      </c>
      <c r="M193" s="80">
        <f t="shared" si="27"/>
        <v>44</v>
      </c>
      <c r="N193">
        <f t="shared" si="28"/>
        <v>4208.7134592815883</v>
      </c>
      <c r="O193" s="87">
        <f>(((1-((1+$W$11)/(1+$W$10))^(6*(J193+K193)))/($W$10-$W$11))*(1+$W$10)^(6*(J193+K193)))</f>
        <v>2481.8865373152853</v>
      </c>
      <c r="P193" s="69">
        <f>N193*0.065*O193</f>
        <v>678960.70281056024</v>
      </c>
      <c r="Q193" s="69">
        <f t="shared" si="29"/>
        <v>4526.4046854037351</v>
      </c>
      <c r="R193" s="69">
        <f>G193*(1+0.06)^K193</f>
        <v>38527.625062616542</v>
      </c>
      <c r="S193" s="77">
        <f t="shared" si="30"/>
        <v>0.1174846536231406</v>
      </c>
    </row>
    <row r="194" spans="1:19" ht="15.5" x14ac:dyDescent="0.35">
      <c r="A194" s="3" t="s">
        <v>442</v>
      </c>
      <c r="B194" s="16" t="s">
        <v>2990</v>
      </c>
      <c r="C194" s="17" t="s">
        <v>1295</v>
      </c>
      <c r="D194" s="17" t="str">
        <f t="shared" si="24"/>
        <v>24/01/94</v>
      </c>
      <c r="E194" s="3" t="s">
        <v>3714</v>
      </c>
      <c r="F194" s="6">
        <v>13089.023999999999</v>
      </c>
      <c r="G194" s="6">
        <f>IF(F194=0,$Y$3,F194)</f>
        <v>13089.023999999999</v>
      </c>
      <c r="H194" s="79">
        <f t="shared" ref="H194:H257" si="31">_xlfn.NUMBERVALUE(MID(B194,3,2))</f>
        <v>10</v>
      </c>
      <c r="I194">
        <f t="shared" ref="I194:I257" si="32">2022-YEAR(D194)</f>
        <v>28</v>
      </c>
      <c r="J194">
        <f t="shared" ref="J194:J257" si="33">2022-YEAR(E194)</f>
        <v>5</v>
      </c>
      <c r="K194">
        <f t="shared" si="25"/>
        <v>37</v>
      </c>
      <c r="L194" s="80">
        <f t="shared" si="26"/>
        <v>12</v>
      </c>
      <c r="M194" s="80">
        <f t="shared" si="27"/>
        <v>49</v>
      </c>
      <c r="N194">
        <f t="shared" si="28"/>
        <v>9780.8801588399674</v>
      </c>
      <c r="O194" s="87">
        <f>(((1-((1+$W$11)/(1+$W$10))^(6*(J194+K194)))/($W$10-$W$11))*(1+$W$10)^(6*(J194+K194)))</f>
        <v>3532.9398561414855</v>
      </c>
      <c r="P194" s="69">
        <f>N194*0.065*O194</f>
        <v>2246091.9871850968</v>
      </c>
      <c r="Q194" s="69">
        <f t="shared" si="29"/>
        <v>14973.946581233979</v>
      </c>
      <c r="R194" s="69">
        <f>G194*(1+0.06)^K194</f>
        <v>113037.95157770487</v>
      </c>
      <c r="S194" s="77">
        <f t="shared" si="30"/>
        <v>0.13246831150280131</v>
      </c>
    </row>
    <row r="195" spans="1:19" ht="15.5" x14ac:dyDescent="0.35">
      <c r="A195" s="3" t="s">
        <v>444</v>
      </c>
      <c r="B195" s="16" t="s">
        <v>2992</v>
      </c>
      <c r="C195" s="17" t="s">
        <v>1297</v>
      </c>
      <c r="D195" s="17" t="str">
        <f t="shared" ref="D195:D258" si="34">_xlfn.CONCAT(MID(C195,5,2),"/",MID(C195,3,2),"/",MID(C195,1,2))</f>
        <v>01/04/94</v>
      </c>
      <c r="E195" s="3" t="s">
        <v>3715</v>
      </c>
      <c r="F195" s="6">
        <v>8219.5519999999997</v>
      </c>
      <c r="G195" s="6">
        <f>IF(F195=0,$Y$3,F195)</f>
        <v>8219.5519999999997</v>
      </c>
      <c r="H195" s="79">
        <f t="shared" si="31"/>
        <v>9</v>
      </c>
      <c r="I195">
        <f t="shared" si="32"/>
        <v>28</v>
      </c>
      <c r="J195">
        <f t="shared" si="33"/>
        <v>5</v>
      </c>
      <c r="K195">
        <f t="shared" ref="K195:K258" si="35">65-I195</f>
        <v>37</v>
      </c>
      <c r="L195" s="80">
        <f t="shared" ref="L195:L258" si="36">IF(H195&gt;22,122-H195,22-H195)</f>
        <v>13</v>
      </c>
      <c r="M195" s="80">
        <f t="shared" ref="M195:M258" si="37">L195+K195</f>
        <v>50</v>
      </c>
      <c r="N195">
        <f t="shared" ref="N195:N258" si="38">G195*(1+0.06)^-J195</f>
        <v>6142.1274092975436</v>
      </c>
      <c r="O195" s="87">
        <f>(((1-((1+$W$11)/(1+$W$10))^(6*(J195+K195)))/($W$10-$W$11))*(1+$W$10)^(6*(J195+K195)))</f>
        <v>3532.9398561414855</v>
      </c>
      <c r="P195" s="69">
        <f>N195*0.065*O195</f>
        <v>1410484.8371774121</v>
      </c>
      <c r="Q195" s="69">
        <f t="shared" ref="Q195:Q258" si="39">P195/150</f>
        <v>9403.2322478494134</v>
      </c>
      <c r="R195" s="69">
        <f>G195*(1+0.06)^K195</f>
        <v>70984.767158072835</v>
      </c>
      <c r="S195" s="77">
        <f t="shared" si="30"/>
        <v>0.13246831150280133</v>
      </c>
    </row>
    <row r="196" spans="1:19" ht="15.5" x14ac:dyDescent="0.35">
      <c r="A196" s="3" t="s">
        <v>447</v>
      </c>
      <c r="B196" s="16" t="s">
        <v>2995</v>
      </c>
      <c r="C196" s="17" t="s">
        <v>1300</v>
      </c>
      <c r="D196" s="17" t="str">
        <f t="shared" si="34"/>
        <v>15/08/92</v>
      </c>
      <c r="E196" s="3" t="s">
        <v>3718</v>
      </c>
      <c r="F196" s="6">
        <v>8801.4079999999994</v>
      </c>
      <c r="G196" s="6">
        <f>IF(F196=0,$Y$3,F196)</f>
        <v>8801.4079999999994</v>
      </c>
      <c r="H196" s="79">
        <f t="shared" si="31"/>
        <v>17</v>
      </c>
      <c r="I196">
        <f t="shared" si="32"/>
        <v>30</v>
      </c>
      <c r="J196">
        <f t="shared" si="33"/>
        <v>5</v>
      </c>
      <c r="K196">
        <f t="shared" si="35"/>
        <v>35</v>
      </c>
      <c r="L196" s="80">
        <f t="shared" si="36"/>
        <v>5</v>
      </c>
      <c r="M196" s="80">
        <f t="shared" si="37"/>
        <v>40</v>
      </c>
      <c r="N196">
        <f t="shared" si="38"/>
        <v>6576.9240607286956</v>
      </c>
      <c r="O196" s="87">
        <f>(((1-((1+$W$11)/(1+$W$10))^(6*(J196+K196)))/($W$10-$W$11))*(1+$W$10)^(6*(J196+K196)))</f>
        <v>2964.8060935111685</v>
      </c>
      <c r="P196" s="69">
        <f>N196*0.065*O196</f>
        <v>1267454.7945675626</v>
      </c>
      <c r="Q196" s="69">
        <f t="shared" si="39"/>
        <v>8449.6986304504171</v>
      </c>
      <c r="R196" s="69">
        <f>G196*(1+0.06)^K196</f>
        <v>67648.385782552257</v>
      </c>
      <c r="S196" s="77">
        <f t="shared" si="30"/>
        <v>0.12490613830182105</v>
      </c>
    </row>
    <row r="197" spans="1:19" ht="15.5" x14ac:dyDescent="0.35">
      <c r="A197" s="3" t="s">
        <v>449</v>
      </c>
      <c r="B197" s="16" t="s">
        <v>2997</v>
      </c>
      <c r="C197" s="17" t="s">
        <v>1302</v>
      </c>
      <c r="D197" s="17" t="str">
        <f t="shared" si="34"/>
        <v>26/10/70</v>
      </c>
      <c r="E197" s="3" t="s">
        <v>3719</v>
      </c>
      <c r="F197" s="6">
        <v>5632.2079999999996</v>
      </c>
      <c r="G197" s="6">
        <f>IF(F197=0,$Y$3,F197)</f>
        <v>5632.2079999999996</v>
      </c>
      <c r="H197" s="79">
        <f t="shared" si="31"/>
        <v>15</v>
      </c>
      <c r="I197">
        <f t="shared" si="32"/>
        <v>52</v>
      </c>
      <c r="J197">
        <f t="shared" si="33"/>
        <v>5</v>
      </c>
      <c r="K197">
        <f t="shared" si="35"/>
        <v>13</v>
      </c>
      <c r="L197" s="80">
        <f t="shared" si="36"/>
        <v>7</v>
      </c>
      <c r="M197" s="80">
        <f t="shared" si="37"/>
        <v>20</v>
      </c>
      <c r="N197">
        <f t="shared" si="38"/>
        <v>4208.7134592815883</v>
      </c>
      <c r="O197" s="87">
        <f>(((1-((1+$W$11)/(1+$W$10))^(6*(J197+K197)))/($W$10-$W$11))*(1+$W$10)^(6*(J197+K197)))</f>
        <v>332.34551836663485</v>
      </c>
      <c r="P197" s="69">
        <f>N197*0.065*O197</f>
        <v>90918.558658302223</v>
      </c>
      <c r="Q197" s="69">
        <f t="shared" si="39"/>
        <v>606.12372438868147</v>
      </c>
      <c r="R197" s="69">
        <f>G197*(1+0.06)^K197</f>
        <v>12013.095610218608</v>
      </c>
      <c r="S197" s="77">
        <f t="shared" ref="S197:S260" si="40">Q197/R197</f>
        <v>5.0455248510059225E-2</v>
      </c>
    </row>
    <row r="198" spans="1:19" ht="15.5" x14ac:dyDescent="0.35">
      <c r="A198" s="3" t="s">
        <v>450</v>
      </c>
      <c r="B198" s="16" t="s">
        <v>2998</v>
      </c>
      <c r="C198" s="17" t="s">
        <v>1303</v>
      </c>
      <c r="D198" s="17" t="str">
        <f t="shared" si="34"/>
        <v>14/01/85</v>
      </c>
      <c r="E198" s="3" t="s">
        <v>3719</v>
      </c>
      <c r="F198" s="6">
        <v>77473.574640000006</v>
      </c>
      <c r="G198" s="6">
        <f>IF(F198=0,$Y$3,F198)</f>
        <v>77473.574640000006</v>
      </c>
      <c r="H198" s="79">
        <f t="shared" si="31"/>
        <v>5</v>
      </c>
      <c r="I198">
        <f t="shared" si="32"/>
        <v>37</v>
      </c>
      <c r="J198">
        <f t="shared" si="33"/>
        <v>5</v>
      </c>
      <c r="K198">
        <f t="shared" si="35"/>
        <v>28</v>
      </c>
      <c r="L198" s="80">
        <f t="shared" si="36"/>
        <v>17</v>
      </c>
      <c r="M198" s="80">
        <f t="shared" si="37"/>
        <v>45</v>
      </c>
      <c r="N198">
        <f t="shared" si="38"/>
        <v>57892.761830888485</v>
      </c>
      <c r="O198" s="87">
        <f>(((1-((1+$W$11)/(1+$W$10))^(6*(J198+K198)))/($W$10-$W$11))*(1+$W$10)^(6*(J198+K198)))</f>
        <v>1571.1687390454781</v>
      </c>
      <c r="P198" s="69">
        <f>N198*0.065*O198</f>
        <v>5912354.3443703214</v>
      </c>
      <c r="Q198" s="69">
        <f t="shared" si="39"/>
        <v>39415.695629135473</v>
      </c>
      <c r="R198" s="69">
        <f>G198*(1+0.06)^K198</f>
        <v>396020.64086763666</v>
      </c>
      <c r="S198" s="77">
        <f t="shared" si="40"/>
        <v>9.9529397111171078E-2</v>
      </c>
    </row>
    <row r="199" spans="1:19" ht="15.5" x14ac:dyDescent="0.35">
      <c r="A199" s="3" t="s">
        <v>452</v>
      </c>
      <c r="B199" s="16" t="s">
        <v>3000</v>
      </c>
      <c r="C199" s="17" t="s">
        <v>1305</v>
      </c>
      <c r="D199" s="17" t="str">
        <f t="shared" si="34"/>
        <v>07/04/88</v>
      </c>
      <c r="E199" s="3" t="s">
        <v>3721</v>
      </c>
      <c r="F199" s="6">
        <v>12131.727999999999</v>
      </c>
      <c r="G199" s="6">
        <f>IF(F199=0,$Y$3,F199)</f>
        <v>12131.727999999999</v>
      </c>
      <c r="H199" s="79">
        <f t="shared" si="31"/>
        <v>16</v>
      </c>
      <c r="I199">
        <f t="shared" si="32"/>
        <v>34</v>
      </c>
      <c r="J199">
        <f t="shared" si="33"/>
        <v>5</v>
      </c>
      <c r="K199">
        <f t="shared" si="35"/>
        <v>31</v>
      </c>
      <c r="L199" s="80">
        <f t="shared" si="36"/>
        <v>6</v>
      </c>
      <c r="M199" s="80">
        <f t="shared" si="37"/>
        <v>37</v>
      </c>
      <c r="N199">
        <f t="shared" si="38"/>
        <v>9065.5328989879818</v>
      </c>
      <c r="O199" s="87">
        <f>(((1-((1+$W$11)/(1+$W$10))^(6*(J199+K199)))/($W$10-$W$11))*(1+$W$10)^(6*(J199+K199)))</f>
        <v>2071.9321695914473</v>
      </c>
      <c r="P199" s="69">
        <f>N199*0.065*O199</f>
        <v>1220906.0011136828</v>
      </c>
      <c r="Q199" s="69">
        <f t="shared" si="39"/>
        <v>8139.3733407578848</v>
      </c>
      <c r="R199" s="69">
        <f>G199*(1+0.06)^K199</f>
        <v>73859.181040995725</v>
      </c>
      <c r="S199" s="77">
        <f t="shared" si="40"/>
        <v>0.11020124006303435</v>
      </c>
    </row>
    <row r="200" spans="1:19" ht="15.5" x14ac:dyDescent="0.35">
      <c r="A200" s="3" t="s">
        <v>453</v>
      </c>
      <c r="B200" s="16" t="s">
        <v>3001</v>
      </c>
      <c r="C200" s="17" t="s">
        <v>1306</v>
      </c>
      <c r="D200" s="17" t="str">
        <f t="shared" si="34"/>
        <v>28/02/89</v>
      </c>
      <c r="E200" s="3" t="s">
        <v>3721</v>
      </c>
      <c r="F200" s="6">
        <v>16422.991999999998</v>
      </c>
      <c r="G200" s="6">
        <f>IF(F200=0,$Y$3,F200)</f>
        <v>16422.991999999998</v>
      </c>
      <c r="H200" s="79">
        <f t="shared" si="31"/>
        <v>9</v>
      </c>
      <c r="I200">
        <f t="shared" si="32"/>
        <v>33</v>
      </c>
      <c r="J200">
        <f t="shared" si="33"/>
        <v>5</v>
      </c>
      <c r="K200">
        <f t="shared" si="35"/>
        <v>32</v>
      </c>
      <c r="L200" s="80">
        <f t="shared" si="36"/>
        <v>13</v>
      </c>
      <c r="M200" s="80">
        <f t="shared" si="37"/>
        <v>45</v>
      </c>
      <c r="N200">
        <f t="shared" si="38"/>
        <v>12272.214994913867</v>
      </c>
      <c r="O200" s="87">
        <f>(((1-((1+$W$11)/(1+$W$10))^(6*(J200+K200)))/($W$10-$W$11))*(1+$W$10)^(6*(J200+K200)))</f>
        <v>2268.4845089511282</v>
      </c>
      <c r="P200" s="69">
        <f>N200*0.065*O200</f>
        <v>1809556.4244211907</v>
      </c>
      <c r="Q200" s="69">
        <f t="shared" si="39"/>
        <v>12063.709496141271</v>
      </c>
      <c r="R200" s="69">
        <f>G200*(1+0.06)^K200</f>
        <v>105983.91784950945</v>
      </c>
      <c r="S200" s="77">
        <f t="shared" si="40"/>
        <v>0.1138258496281576</v>
      </c>
    </row>
    <row r="201" spans="1:19" ht="15.5" x14ac:dyDescent="0.35">
      <c r="A201" s="3" t="s">
        <v>457</v>
      </c>
      <c r="B201" s="16" t="s">
        <v>3005</v>
      </c>
      <c r="C201" s="17" t="s">
        <v>1310</v>
      </c>
      <c r="D201" s="17" t="str">
        <f t="shared" si="34"/>
        <v>23/12/94</v>
      </c>
      <c r="E201" s="3" t="s">
        <v>3723</v>
      </c>
      <c r="F201" s="6">
        <v>13674.527999999998</v>
      </c>
      <c r="G201" s="6">
        <f>IF(F201=0,$Y$3,F201)</f>
        <v>13674.527999999998</v>
      </c>
      <c r="H201" s="79">
        <f t="shared" si="31"/>
        <v>10</v>
      </c>
      <c r="I201">
        <f t="shared" si="32"/>
        <v>28</v>
      </c>
      <c r="J201">
        <f t="shared" si="33"/>
        <v>5</v>
      </c>
      <c r="K201">
        <f t="shared" si="35"/>
        <v>37</v>
      </c>
      <c r="L201" s="80">
        <f t="shared" si="36"/>
        <v>12</v>
      </c>
      <c r="M201" s="80">
        <f t="shared" si="37"/>
        <v>49</v>
      </c>
      <c r="N201">
        <f t="shared" si="38"/>
        <v>10218.402808085733</v>
      </c>
      <c r="O201" s="87">
        <f>(((1-((1+$W$11)/(1+$W$10))^(6*(J201+K201)))/($W$10-$W$11))*(1+$W$10)^(6*(J201+K201)))</f>
        <v>3532.9398561414855</v>
      </c>
      <c r="P201" s="69">
        <f>N201*0.065*O201</f>
        <v>2346565.1655416205</v>
      </c>
      <c r="Q201" s="69">
        <f t="shared" si="39"/>
        <v>15643.767770277469</v>
      </c>
      <c r="R201" s="69">
        <f>G201*(1+0.06)^K201</f>
        <v>118094.41513072092</v>
      </c>
      <c r="S201" s="77">
        <f t="shared" si="40"/>
        <v>0.13246831150280128</v>
      </c>
    </row>
    <row r="202" spans="1:19" ht="15.5" x14ac:dyDescent="0.35">
      <c r="A202" s="3" t="s">
        <v>460</v>
      </c>
      <c r="B202" s="16" t="s">
        <v>3008</v>
      </c>
      <c r="C202" s="17" t="s">
        <v>1313</v>
      </c>
      <c r="D202" s="17" t="str">
        <f t="shared" si="34"/>
        <v>31/07/95</v>
      </c>
      <c r="E202" s="3" t="s">
        <v>3726</v>
      </c>
      <c r="F202" s="6">
        <v>13211.535999999998</v>
      </c>
      <c r="G202" s="6">
        <f>IF(F202=0,$Y$3,F202)</f>
        <v>13211.535999999998</v>
      </c>
      <c r="H202" s="79">
        <f t="shared" si="31"/>
        <v>17</v>
      </c>
      <c r="I202">
        <f t="shared" si="32"/>
        <v>27</v>
      </c>
      <c r="J202">
        <f t="shared" si="33"/>
        <v>5</v>
      </c>
      <c r="K202">
        <f t="shared" si="35"/>
        <v>38</v>
      </c>
      <c r="L202" s="80">
        <f t="shared" si="36"/>
        <v>5</v>
      </c>
      <c r="M202" s="80">
        <f t="shared" si="37"/>
        <v>43</v>
      </c>
      <c r="N202">
        <f t="shared" si="38"/>
        <v>9872.4282521141322</v>
      </c>
      <c r="O202" s="87">
        <f>(((1-((1+$W$11)/(1+$W$10))^(6*(J202+K202)))/($W$10-$W$11))*(1+$W$10)^(6*(J202+K202)))</f>
        <v>3853.3236192812783</v>
      </c>
      <c r="P202" s="69">
        <f>N202*0.065*O202</f>
        <v>2472707.9626295264</v>
      </c>
      <c r="Q202" s="69">
        <f t="shared" si="39"/>
        <v>16484.719750863511</v>
      </c>
      <c r="R202" s="69">
        <f>G202*(1+0.06)^K202</f>
        <v>120941.73443590684</v>
      </c>
      <c r="S202" s="77">
        <f t="shared" si="40"/>
        <v>0.13630298777962044</v>
      </c>
    </row>
    <row r="203" spans="1:19" ht="15.5" x14ac:dyDescent="0.35">
      <c r="A203" s="3" t="s">
        <v>464</v>
      </c>
      <c r="B203" s="16" t="s">
        <v>3012</v>
      </c>
      <c r="C203" s="17" t="s">
        <v>1317</v>
      </c>
      <c r="D203" s="17" t="str">
        <f t="shared" si="34"/>
        <v>17/08/92</v>
      </c>
      <c r="E203" s="3" t="s">
        <v>3729</v>
      </c>
      <c r="F203" s="6">
        <v>11875.759999999998</v>
      </c>
      <c r="G203" s="6">
        <f>IF(F203=0,$Y$3,F203)</f>
        <v>11875.759999999998</v>
      </c>
      <c r="H203" s="79">
        <f t="shared" si="31"/>
        <v>9</v>
      </c>
      <c r="I203">
        <f t="shared" si="32"/>
        <v>30</v>
      </c>
      <c r="J203">
        <f t="shared" si="33"/>
        <v>5</v>
      </c>
      <c r="K203">
        <f t="shared" si="35"/>
        <v>35</v>
      </c>
      <c r="L203" s="80">
        <f t="shared" si="36"/>
        <v>13</v>
      </c>
      <c r="M203" s="80">
        <f t="shared" si="37"/>
        <v>48</v>
      </c>
      <c r="N203">
        <f t="shared" si="38"/>
        <v>8874.2587189958031</v>
      </c>
      <c r="O203" s="87">
        <f>(((1-((1+$W$11)/(1+$W$10))^(6*(J203+K203)))/($W$10-$W$11))*(1+$W$10)^(6*(J203+K203)))</f>
        <v>2964.8060935111685</v>
      </c>
      <c r="P203" s="69">
        <f>N203*0.065*O203</f>
        <v>1710179.6611557694</v>
      </c>
      <c r="Q203" s="69">
        <f t="shared" si="39"/>
        <v>11401.197741038462</v>
      </c>
      <c r="R203" s="69">
        <f>G203*(1+0.06)^K203</f>
        <v>91278.122084671311</v>
      </c>
      <c r="S203" s="77">
        <f t="shared" si="40"/>
        <v>0.12490613830182107</v>
      </c>
    </row>
    <row r="204" spans="1:19" ht="15.5" x14ac:dyDescent="0.35">
      <c r="A204" s="3" t="s">
        <v>465</v>
      </c>
      <c r="B204" s="16" t="s">
        <v>3013</v>
      </c>
      <c r="C204" s="17" t="s">
        <v>1318</v>
      </c>
      <c r="D204" s="17" t="str">
        <f t="shared" si="34"/>
        <v>28/08/90</v>
      </c>
      <c r="E204" s="3" t="s">
        <v>3730</v>
      </c>
      <c r="F204" s="6">
        <v>23917.503999999997</v>
      </c>
      <c r="G204" s="6">
        <f>IF(F204=0,$Y$3,F204)</f>
        <v>23917.503999999997</v>
      </c>
      <c r="H204" s="79">
        <f t="shared" si="31"/>
        <v>10</v>
      </c>
      <c r="I204">
        <f t="shared" si="32"/>
        <v>32</v>
      </c>
      <c r="J204">
        <f t="shared" si="33"/>
        <v>5</v>
      </c>
      <c r="K204">
        <f t="shared" si="35"/>
        <v>33</v>
      </c>
      <c r="L204" s="80">
        <f t="shared" si="36"/>
        <v>12</v>
      </c>
      <c r="M204" s="80">
        <f t="shared" si="37"/>
        <v>45</v>
      </c>
      <c r="N204">
        <f t="shared" si="38"/>
        <v>17872.550338556604</v>
      </c>
      <c r="O204" s="87">
        <f>(((1-((1+$W$11)/(1+$W$10))^(6*(J204+K204)))/($W$10-$W$11))*(1+$W$10)^(6*(J204+K204)))</f>
        <v>2481.8865373152853</v>
      </c>
      <c r="P204" s="69">
        <f>N204*0.065*O204</f>
        <v>2883246.7347289701</v>
      </c>
      <c r="Q204" s="69">
        <f t="shared" si="39"/>
        <v>19221.644898193135</v>
      </c>
      <c r="R204" s="69">
        <f>G204*(1+0.06)^K204</f>
        <v>163609.83588419165</v>
      </c>
      <c r="S204" s="77">
        <f t="shared" si="40"/>
        <v>0.1174846536231406</v>
      </c>
    </row>
    <row r="205" spans="1:19" ht="15.5" x14ac:dyDescent="0.35">
      <c r="A205" s="3" t="s">
        <v>466</v>
      </c>
      <c r="B205" s="16" t="s">
        <v>3014</v>
      </c>
      <c r="C205" s="17" t="s">
        <v>1319</v>
      </c>
      <c r="D205" s="17" t="str">
        <f t="shared" si="34"/>
        <v>02/06/94</v>
      </c>
      <c r="E205" s="3" t="s">
        <v>3731</v>
      </c>
      <c r="F205" s="6">
        <v>10456.688</v>
      </c>
      <c r="G205" s="6">
        <f>IF(F205=0,$Y$3,F205)</f>
        <v>10456.688</v>
      </c>
      <c r="H205" s="79">
        <f t="shared" si="31"/>
        <v>12</v>
      </c>
      <c r="I205">
        <f t="shared" si="32"/>
        <v>28</v>
      </c>
      <c r="J205">
        <f t="shared" si="33"/>
        <v>5</v>
      </c>
      <c r="K205">
        <f t="shared" si="35"/>
        <v>37</v>
      </c>
      <c r="L205" s="80">
        <f t="shared" si="36"/>
        <v>10</v>
      </c>
      <c r="M205" s="80">
        <f t="shared" si="37"/>
        <v>47</v>
      </c>
      <c r="N205">
        <f t="shared" si="38"/>
        <v>7813.8455691104227</v>
      </c>
      <c r="O205" s="87">
        <f>(((1-((1+$W$11)/(1+$W$10))^(6*(J205+K205)))/($W$10-$W$11))*(1+$W$10)^(6*(J205+K205)))</f>
        <v>3532.9398561414855</v>
      </c>
      <c r="P205" s="69">
        <f>N205*0.065*O205</f>
        <v>1794380.0186549095</v>
      </c>
      <c r="Q205" s="69">
        <f t="shared" si="39"/>
        <v>11962.533457699396</v>
      </c>
      <c r="R205" s="69">
        <f>G205*(1+0.06)^K205</f>
        <v>90304.868553008055</v>
      </c>
      <c r="S205" s="77">
        <f t="shared" si="40"/>
        <v>0.13246831150280128</v>
      </c>
    </row>
    <row r="206" spans="1:19" ht="15.5" x14ac:dyDescent="0.35">
      <c r="A206" s="3" t="s">
        <v>467</v>
      </c>
      <c r="B206" s="16" t="s">
        <v>3015</v>
      </c>
      <c r="C206" s="17" t="s">
        <v>1320</v>
      </c>
      <c r="D206" s="17" t="str">
        <f t="shared" si="34"/>
        <v>09/06/91</v>
      </c>
      <c r="E206" s="3" t="s">
        <v>3732</v>
      </c>
      <c r="F206" s="6">
        <v>10616.592000000001</v>
      </c>
      <c r="G206" s="6">
        <f>IF(F206=0,$Y$3,F206)</f>
        <v>10616.592000000001</v>
      </c>
      <c r="H206" s="79">
        <f t="shared" si="31"/>
        <v>13</v>
      </c>
      <c r="I206">
        <f t="shared" si="32"/>
        <v>31</v>
      </c>
      <c r="J206">
        <f t="shared" si="33"/>
        <v>5</v>
      </c>
      <c r="K206">
        <f t="shared" si="35"/>
        <v>34</v>
      </c>
      <c r="L206" s="80">
        <f t="shared" si="36"/>
        <v>9</v>
      </c>
      <c r="M206" s="80">
        <f t="shared" si="37"/>
        <v>43</v>
      </c>
      <c r="N206">
        <f t="shared" si="38"/>
        <v>7933.3351399843968</v>
      </c>
      <c r="O206" s="87">
        <f>(((1-((1+$W$11)/(1+$W$10))^(6*(J206+K206)))/($W$10-$W$11))*(1+$W$10)^(6*(J206+K206)))</f>
        <v>2713.5031944291845</v>
      </c>
      <c r="P206" s="69">
        <f>N206*0.065*O206</f>
        <v>1399263.4659136224</v>
      </c>
      <c r="Q206" s="69">
        <f t="shared" si="39"/>
        <v>9328.4231060908169</v>
      </c>
      <c r="R206" s="69">
        <f>G206*(1+0.06)^K206</f>
        <v>76981.176934499017</v>
      </c>
      <c r="S206" s="77">
        <f t="shared" si="40"/>
        <v>0.12117797463694395</v>
      </c>
    </row>
    <row r="207" spans="1:19" ht="15.5" x14ac:dyDescent="0.35">
      <c r="A207" s="3" t="s">
        <v>468</v>
      </c>
      <c r="B207" s="3" t="s">
        <v>3016</v>
      </c>
      <c r="C207" s="17" t="s">
        <v>1321</v>
      </c>
      <c r="D207" s="17" t="str">
        <f t="shared" si="34"/>
        <v>10/06/80</v>
      </c>
      <c r="E207" s="3" t="s">
        <v>3733</v>
      </c>
      <c r="F207" s="6">
        <v>5632.2079999999996</v>
      </c>
      <c r="G207" s="6">
        <f>IF(F207=0,$Y$3,F207)</f>
        <v>5632.2079999999996</v>
      </c>
      <c r="H207" s="79">
        <f t="shared" si="31"/>
        <v>1</v>
      </c>
      <c r="I207">
        <f t="shared" si="32"/>
        <v>42</v>
      </c>
      <c r="J207">
        <f t="shared" si="33"/>
        <v>4</v>
      </c>
      <c r="K207">
        <f t="shared" si="35"/>
        <v>23</v>
      </c>
      <c r="L207" s="80">
        <f t="shared" si="36"/>
        <v>21</v>
      </c>
      <c r="M207" s="80">
        <f t="shared" si="37"/>
        <v>44</v>
      </c>
      <c r="N207">
        <f t="shared" si="38"/>
        <v>4461.236266838484</v>
      </c>
      <c r="O207" s="87">
        <f>(((1-((1+$W$11)/(1+$W$10))^(6*(J207+K207)))/($W$10-$W$11))*(1+$W$10)^(6*(J207+K207)))</f>
        <v>879.8935468544031</v>
      </c>
      <c r="P207" s="69">
        <f>N207*0.065*O207</f>
        <v>255151.84514196063</v>
      </c>
      <c r="Q207" s="69">
        <f t="shared" si="39"/>
        <v>1701.0123009464041</v>
      </c>
      <c r="R207" s="69">
        <f>G207*(1+0.06)^K207</f>
        <v>21513.624601909072</v>
      </c>
      <c r="S207" s="77">
        <f t="shared" si="40"/>
        <v>7.9066746418707146E-2</v>
      </c>
    </row>
    <row r="208" spans="1:19" ht="15.5" x14ac:dyDescent="0.35">
      <c r="A208" s="3" t="s">
        <v>469</v>
      </c>
      <c r="B208" s="16" t="s">
        <v>3017</v>
      </c>
      <c r="C208" s="17" t="s">
        <v>1322</v>
      </c>
      <c r="D208" s="17" t="str">
        <f t="shared" si="34"/>
        <v>10/03/85</v>
      </c>
      <c r="E208" s="3" t="s">
        <v>3733</v>
      </c>
      <c r="F208" s="6">
        <v>87144.116572799991</v>
      </c>
      <c r="G208" s="6">
        <f>IF(F208=0,$Y$3,F208)</f>
        <v>87144.116572799991</v>
      </c>
      <c r="H208" s="79">
        <f t="shared" si="31"/>
        <v>8</v>
      </c>
      <c r="I208">
        <f t="shared" si="32"/>
        <v>37</v>
      </c>
      <c r="J208">
        <f t="shared" si="33"/>
        <v>4</v>
      </c>
      <c r="K208">
        <f t="shared" si="35"/>
        <v>28</v>
      </c>
      <c r="L208" s="80">
        <f t="shared" si="36"/>
        <v>14</v>
      </c>
      <c r="M208" s="80">
        <f t="shared" si="37"/>
        <v>42</v>
      </c>
      <c r="N208">
        <f t="shared" si="38"/>
        <v>69026.302525790234</v>
      </c>
      <c r="O208" s="87">
        <f>(((1-((1+$W$11)/(1+$W$10))^(6*(J208+K208)))/($W$10-$W$11))*(1+$W$10)^(6*(J208+K208)))</f>
        <v>1430.2452154182549</v>
      </c>
      <c r="P208" s="69">
        <f>N208*0.065*O208</f>
        <v>6417095.0301590925</v>
      </c>
      <c r="Q208" s="69">
        <f t="shared" si="39"/>
        <v>42780.63353439395</v>
      </c>
      <c r="R208" s="69">
        <f>G208*(1+0.06)^K208</f>
        <v>445453.42141972302</v>
      </c>
      <c r="S208" s="77">
        <f t="shared" si="40"/>
        <v>9.603839925181408E-2</v>
      </c>
    </row>
    <row r="209" spans="1:19" ht="15.5" x14ac:dyDescent="0.35">
      <c r="A209" s="3" t="s">
        <v>473</v>
      </c>
      <c r="B209" s="16" t="s">
        <v>3021</v>
      </c>
      <c r="C209" s="17" t="s">
        <v>1326</v>
      </c>
      <c r="D209" s="17" t="str">
        <f t="shared" si="34"/>
        <v>17/01/86</v>
      </c>
      <c r="E209" s="3" t="s">
        <v>3734</v>
      </c>
      <c r="F209" s="6">
        <v>21963.088</v>
      </c>
      <c r="G209" s="6">
        <f>IF(F209=0,$Y$3,F209)</f>
        <v>21963.088</v>
      </c>
      <c r="H209" s="79">
        <f t="shared" si="31"/>
        <v>12</v>
      </c>
      <c r="I209">
        <f t="shared" si="32"/>
        <v>36</v>
      </c>
      <c r="J209">
        <f t="shared" si="33"/>
        <v>4</v>
      </c>
      <c r="K209">
        <f t="shared" si="35"/>
        <v>29</v>
      </c>
      <c r="L209" s="80">
        <f t="shared" si="36"/>
        <v>10</v>
      </c>
      <c r="M209" s="80">
        <f t="shared" si="37"/>
        <v>39</v>
      </c>
      <c r="N209">
        <f t="shared" si="38"/>
        <v>17396.822829939007</v>
      </c>
      <c r="O209" s="87">
        <f>(((1-((1+$W$11)/(1+$W$10))^(6*(J209+K209)))/($W$10-$W$11))*(1+$W$10)^(6*(J209+K209)))</f>
        <v>1571.1687390454781</v>
      </c>
      <c r="P209" s="69">
        <f>N209*0.065*O209</f>
        <v>1776667.3722923356</v>
      </c>
      <c r="Q209" s="69">
        <f t="shared" si="39"/>
        <v>11844.449148615571</v>
      </c>
      <c r="R209" s="69">
        <f>G209*(1+0.06)^K209</f>
        <v>119004.53024331805</v>
      </c>
      <c r="S209" s="77">
        <f t="shared" si="40"/>
        <v>9.9529397111171078E-2</v>
      </c>
    </row>
    <row r="210" spans="1:19" ht="15.5" x14ac:dyDescent="0.35">
      <c r="A210" s="3" t="s">
        <v>474</v>
      </c>
      <c r="B210" s="16" t="s">
        <v>3022</v>
      </c>
      <c r="C210" s="17" t="s">
        <v>1327</v>
      </c>
      <c r="D210" s="17" t="str">
        <f t="shared" si="34"/>
        <v>15/12/86</v>
      </c>
      <c r="E210" s="3" t="s">
        <v>3740</v>
      </c>
      <c r="F210" s="6">
        <v>19204.896000000001</v>
      </c>
      <c r="G210" s="6">
        <f>IF(F210=0,$Y$3,F210)</f>
        <v>19204.896000000001</v>
      </c>
      <c r="H210" s="79">
        <f t="shared" si="31"/>
        <v>13</v>
      </c>
      <c r="I210">
        <f t="shared" si="32"/>
        <v>36</v>
      </c>
      <c r="J210">
        <f t="shared" si="33"/>
        <v>4</v>
      </c>
      <c r="K210">
        <f t="shared" si="35"/>
        <v>29</v>
      </c>
      <c r="L210" s="80">
        <f t="shared" si="36"/>
        <v>9</v>
      </c>
      <c r="M210" s="80">
        <f t="shared" si="37"/>
        <v>38</v>
      </c>
      <c r="N210">
        <f t="shared" si="38"/>
        <v>15212.076424745206</v>
      </c>
      <c r="O210" s="87">
        <f>(((1-((1+$W$11)/(1+$W$10))^(6*(J210+K210)))/($W$10-$W$11))*(1+$W$10)^(6*(J210+K210)))</f>
        <v>1571.1687390454781</v>
      </c>
      <c r="P210" s="69">
        <f>N210*0.065*O210</f>
        <v>1553548.0307444741</v>
      </c>
      <c r="Q210" s="69">
        <f t="shared" si="39"/>
        <v>10356.986871629828</v>
      </c>
      <c r="R210" s="69">
        <f>G210*(1+0.06)^K210</f>
        <v>104059.57608746902</v>
      </c>
      <c r="S210" s="77">
        <f t="shared" si="40"/>
        <v>9.9529397111171092E-2</v>
      </c>
    </row>
    <row r="211" spans="1:19" ht="15.5" x14ac:dyDescent="0.35">
      <c r="A211" s="3" t="s">
        <v>477</v>
      </c>
      <c r="B211" s="16" t="s">
        <v>3025</v>
      </c>
      <c r="C211" s="17" t="s">
        <v>1330</v>
      </c>
      <c r="D211" s="17" t="str">
        <f t="shared" si="34"/>
        <v>29/08/90</v>
      </c>
      <c r="E211" s="3" t="s">
        <v>3740</v>
      </c>
      <c r="F211" s="6">
        <v>19493.696</v>
      </c>
      <c r="G211" s="6">
        <f>IF(F211=0,$Y$3,F211)</f>
        <v>19493.696</v>
      </c>
      <c r="H211" s="79">
        <f t="shared" si="31"/>
        <v>12</v>
      </c>
      <c r="I211">
        <f t="shared" si="32"/>
        <v>32</v>
      </c>
      <c r="J211">
        <f t="shared" si="33"/>
        <v>4</v>
      </c>
      <c r="K211">
        <f t="shared" si="35"/>
        <v>33</v>
      </c>
      <c r="L211" s="80">
        <f t="shared" si="36"/>
        <v>10</v>
      </c>
      <c r="M211" s="80">
        <f t="shared" si="37"/>
        <v>43</v>
      </c>
      <c r="N211">
        <f t="shared" si="38"/>
        <v>15440.833074688346</v>
      </c>
      <c r="O211" s="87">
        <f>(((1-((1+$W$11)/(1+$W$10))^(6*(J211+K211)))/($W$10-$W$11))*(1+$W$10)^(6*(J211+K211)))</f>
        <v>2268.4845089511282</v>
      </c>
      <c r="P211" s="69">
        <f>N211*0.065*O211</f>
        <v>2276773.8912899974</v>
      </c>
      <c r="Q211" s="69">
        <f t="shared" si="39"/>
        <v>15178.492608599983</v>
      </c>
      <c r="R211" s="69">
        <f>G211*(1+0.06)^K211</f>
        <v>133348.37963594878</v>
      </c>
      <c r="S211" s="77">
        <f t="shared" si="40"/>
        <v>0.11382584962815763</v>
      </c>
    </row>
    <row r="212" spans="1:19" ht="15.5" x14ac:dyDescent="0.35">
      <c r="A212" s="3" t="s">
        <v>479</v>
      </c>
      <c r="B212" s="16" t="s">
        <v>3027</v>
      </c>
      <c r="C212" s="17" t="s">
        <v>1332</v>
      </c>
      <c r="D212" s="17" t="str">
        <f t="shared" si="34"/>
        <v>28/12/95</v>
      </c>
      <c r="E212" s="3" t="s">
        <v>3741</v>
      </c>
      <c r="F212" s="6">
        <v>8826.0319999999992</v>
      </c>
      <c r="G212" s="6">
        <f>IF(F212=0,$Y$3,F212)</f>
        <v>8826.0319999999992</v>
      </c>
      <c r="H212" s="79">
        <f t="shared" si="31"/>
        <v>14</v>
      </c>
      <c r="I212">
        <f t="shared" si="32"/>
        <v>27</v>
      </c>
      <c r="J212">
        <f t="shared" si="33"/>
        <v>4</v>
      </c>
      <c r="K212">
        <f t="shared" si="35"/>
        <v>38</v>
      </c>
      <c r="L212" s="80">
        <f t="shared" si="36"/>
        <v>8</v>
      </c>
      <c r="M212" s="80">
        <f t="shared" si="37"/>
        <v>46</v>
      </c>
      <c r="N212">
        <f t="shared" si="38"/>
        <v>6991.0440187359918</v>
      </c>
      <c r="O212" s="87">
        <f>(((1-((1+$W$11)/(1+$W$10))^(6*(J212+K212)))/($W$10-$W$11))*(1+$W$10)^(6*(J212+K212)))</f>
        <v>3532.9398561414855</v>
      </c>
      <c r="P212" s="69">
        <f>N212*0.065*O212</f>
        <v>1605430.9732390752</v>
      </c>
      <c r="Q212" s="69">
        <f t="shared" si="39"/>
        <v>10702.873154927167</v>
      </c>
      <c r="R212" s="69">
        <f>G212*(1+0.06)^K212</f>
        <v>80795.72415098561</v>
      </c>
      <c r="S212" s="77">
        <f t="shared" si="40"/>
        <v>0.13246831150280128</v>
      </c>
    </row>
    <row r="213" spans="1:19" ht="15.5" x14ac:dyDescent="0.35">
      <c r="A213" s="3" t="s">
        <v>481</v>
      </c>
      <c r="B213" s="16" t="s">
        <v>3029</v>
      </c>
      <c r="C213" s="17" t="s">
        <v>1334</v>
      </c>
      <c r="D213" s="17" t="str">
        <f t="shared" si="34"/>
        <v>17/12/70</v>
      </c>
      <c r="E213" s="3" t="s">
        <v>3742</v>
      </c>
      <c r="F213" s="6">
        <v>22120.255999999998</v>
      </c>
      <c r="G213" s="6">
        <f>IF(F213=0,$Y$3,F213)</f>
        <v>22120.255999999998</v>
      </c>
      <c r="H213" s="79">
        <f t="shared" si="31"/>
        <v>3</v>
      </c>
      <c r="I213">
        <f t="shared" si="32"/>
        <v>52</v>
      </c>
      <c r="J213">
        <f t="shared" si="33"/>
        <v>4</v>
      </c>
      <c r="K213">
        <f t="shared" si="35"/>
        <v>13</v>
      </c>
      <c r="L213" s="80">
        <f t="shared" si="36"/>
        <v>19</v>
      </c>
      <c r="M213" s="80">
        <f t="shared" si="37"/>
        <v>32</v>
      </c>
      <c r="N213">
        <f t="shared" si="38"/>
        <v>17521.3146068028</v>
      </c>
      <c r="O213" s="87">
        <f>(((1-((1+$W$11)/(1+$W$10))^(6*(J213+K213)))/($W$10-$W$11))*(1+$W$10)^(6*(J213+K213)))</f>
        <v>294.69014083058926</v>
      </c>
      <c r="P213" s="69">
        <f>N213*0.065*O213</f>
        <v>335618.31348602561</v>
      </c>
      <c r="Q213" s="69">
        <f t="shared" si="39"/>
        <v>2237.4554232401706</v>
      </c>
      <c r="R213" s="69">
        <f>G213*(1+0.06)^K213</f>
        <v>47180.919144057145</v>
      </c>
      <c r="S213" s="77">
        <f t="shared" si="40"/>
        <v>4.7422887553516389E-2</v>
      </c>
    </row>
    <row r="214" spans="1:19" ht="15.5" x14ac:dyDescent="0.35">
      <c r="A214" s="3" t="s">
        <v>483</v>
      </c>
      <c r="B214" s="16" t="s">
        <v>3031</v>
      </c>
      <c r="C214" s="17" t="s">
        <v>1336</v>
      </c>
      <c r="D214" s="17" t="str">
        <f t="shared" si="34"/>
        <v>16/06/79</v>
      </c>
      <c r="E214" s="3" t="s">
        <v>3748</v>
      </c>
      <c r="F214" s="6">
        <v>22146.095999999998</v>
      </c>
      <c r="G214" s="6">
        <f>IF(F214=0,$Y$3,F214)</f>
        <v>22146.095999999998</v>
      </c>
      <c r="H214" s="79">
        <f t="shared" si="31"/>
        <v>99</v>
      </c>
      <c r="I214">
        <f t="shared" si="32"/>
        <v>43</v>
      </c>
      <c r="J214">
        <f t="shared" si="33"/>
        <v>4</v>
      </c>
      <c r="K214">
        <f t="shared" si="35"/>
        <v>22</v>
      </c>
      <c r="L214" s="80">
        <f t="shared" si="36"/>
        <v>23</v>
      </c>
      <c r="M214" s="80">
        <f t="shared" si="37"/>
        <v>45</v>
      </c>
      <c r="N214">
        <f t="shared" si="38"/>
        <v>17541.782307060868</v>
      </c>
      <c r="O214" s="87">
        <f>(((1-((1+$W$11)/(1+$W$10))^(6*(J214+K214)))/($W$10-$W$11))*(1+$W$10)^(6*(J214+K214)))</f>
        <v>795.44548998043808</v>
      </c>
      <c r="P214" s="69">
        <f>N214*0.065*O214</f>
        <v>906979.55545406369</v>
      </c>
      <c r="Q214" s="69">
        <f t="shared" si="39"/>
        <v>6046.5303696937581</v>
      </c>
      <c r="R214" s="69">
        <f>G214*(1+0.06)^K214</f>
        <v>79804.285567136278</v>
      </c>
      <c r="S214" s="77">
        <f t="shared" si="40"/>
        <v>7.5766988285447964E-2</v>
      </c>
    </row>
    <row r="215" spans="1:19" ht="15.5" x14ac:dyDescent="0.35">
      <c r="A215" s="3" t="s">
        <v>484</v>
      </c>
      <c r="B215" s="16" t="s">
        <v>3032</v>
      </c>
      <c r="C215" s="17" t="s">
        <v>1337</v>
      </c>
      <c r="D215" s="17" t="str">
        <f t="shared" si="34"/>
        <v>09/03/91</v>
      </c>
      <c r="E215" s="3" t="s">
        <v>3749</v>
      </c>
      <c r="F215" s="6">
        <v>14067.296</v>
      </c>
      <c r="G215" s="6">
        <f>IF(F215=0,$Y$3,F215)</f>
        <v>14067.296</v>
      </c>
      <c r="H215" s="79">
        <f t="shared" si="31"/>
        <v>16</v>
      </c>
      <c r="I215">
        <f t="shared" si="32"/>
        <v>31</v>
      </c>
      <c r="J215">
        <f t="shared" si="33"/>
        <v>4</v>
      </c>
      <c r="K215">
        <f t="shared" si="35"/>
        <v>34</v>
      </c>
      <c r="L215" s="80">
        <f t="shared" si="36"/>
        <v>6</v>
      </c>
      <c r="M215" s="80">
        <f t="shared" si="37"/>
        <v>40</v>
      </c>
      <c r="N215">
        <f t="shared" si="38"/>
        <v>11142.616020493551</v>
      </c>
      <c r="O215" s="87">
        <f>(((1-((1+$W$11)/(1+$W$10))^(6*(J215+K215)))/($W$10-$W$11))*(1+$W$10)^(6*(J215+K215)))</f>
        <v>2481.8865373152853</v>
      </c>
      <c r="P215" s="69">
        <f>N215*0.065*O215</f>
        <v>1797556.0649628767</v>
      </c>
      <c r="Q215" s="69">
        <f t="shared" si="39"/>
        <v>11983.707099752512</v>
      </c>
      <c r="R215" s="69">
        <f>G215*(1+0.06)^K215</f>
        <v>102002.31885768712</v>
      </c>
      <c r="S215" s="77">
        <f t="shared" si="40"/>
        <v>0.11748465362314058</v>
      </c>
    </row>
    <row r="216" spans="1:19" ht="15.5" x14ac:dyDescent="0.35">
      <c r="A216" s="3" t="s">
        <v>485</v>
      </c>
      <c r="B216" s="16" t="s">
        <v>3033</v>
      </c>
      <c r="C216" s="17" t="s">
        <v>1338</v>
      </c>
      <c r="D216" s="17" t="str">
        <f t="shared" si="34"/>
        <v>10/11/79</v>
      </c>
      <c r="E216" s="3" t="s">
        <v>3750</v>
      </c>
      <c r="F216" s="6">
        <v>29279.455999999998</v>
      </c>
      <c r="G216" s="6">
        <f>IF(F216=0,$Y$3,F216)</f>
        <v>29279.455999999998</v>
      </c>
      <c r="H216" s="79">
        <f t="shared" si="31"/>
        <v>99</v>
      </c>
      <c r="I216">
        <f t="shared" si="32"/>
        <v>43</v>
      </c>
      <c r="J216">
        <f t="shared" si="33"/>
        <v>4</v>
      </c>
      <c r="K216">
        <f t="shared" si="35"/>
        <v>22</v>
      </c>
      <c r="L216" s="80">
        <f t="shared" si="36"/>
        <v>23</v>
      </c>
      <c r="M216" s="80">
        <f t="shared" si="37"/>
        <v>45</v>
      </c>
      <c r="N216">
        <f t="shared" si="38"/>
        <v>23192.071560656437</v>
      </c>
      <c r="O216" s="87">
        <f>(((1-((1+$W$11)/(1+$W$10))^(6*(J216+K216)))/($W$10-$W$11))*(1+$W$10)^(6*(J216+K216)))</f>
        <v>795.44548998043808</v>
      </c>
      <c r="P216" s="69">
        <f>N216*0.065*O216</f>
        <v>1199121.8672048035</v>
      </c>
      <c r="Q216" s="69">
        <f t="shared" si="39"/>
        <v>7994.1457813653569</v>
      </c>
      <c r="R216" s="69">
        <f>G216*(1+0.06)^K216</f>
        <v>105509.61523305967</v>
      </c>
      <c r="S216" s="77">
        <f t="shared" si="40"/>
        <v>7.5766988285447992E-2</v>
      </c>
    </row>
    <row r="217" spans="1:19" ht="15.5" x14ac:dyDescent="0.35">
      <c r="A217" s="3" t="s">
        <v>486</v>
      </c>
      <c r="B217" s="16" t="s">
        <v>3034</v>
      </c>
      <c r="C217" s="17" t="s">
        <v>1339</v>
      </c>
      <c r="D217" s="17" t="str">
        <f t="shared" si="34"/>
        <v>12/09/79</v>
      </c>
      <c r="E217" s="3" t="s">
        <v>3750</v>
      </c>
      <c r="F217" s="6">
        <v>19098.8</v>
      </c>
      <c r="G217" s="6">
        <f>IF(F217=0,$Y$3,F217)</f>
        <v>19098.8</v>
      </c>
      <c r="H217" s="79">
        <f t="shared" si="31"/>
        <v>2</v>
      </c>
      <c r="I217">
        <f t="shared" si="32"/>
        <v>43</v>
      </c>
      <c r="J217">
        <f t="shared" si="33"/>
        <v>4</v>
      </c>
      <c r="K217">
        <f t="shared" si="35"/>
        <v>22</v>
      </c>
      <c r="L217" s="80">
        <f t="shared" si="36"/>
        <v>20</v>
      </c>
      <c r="M217" s="80">
        <f t="shared" si="37"/>
        <v>42</v>
      </c>
      <c r="N217">
        <f t="shared" si="38"/>
        <v>15128.038455450303</v>
      </c>
      <c r="O217" s="87">
        <f>(((1-((1+$W$11)/(1+$W$10))^(6*(J217+K217)))/($W$10-$W$11))*(1+$W$10)^(6*(J217+K217)))</f>
        <v>795.44548998043808</v>
      </c>
      <c r="P217" s="69">
        <f>N217*0.065*O217</f>
        <v>782179.44750650751</v>
      </c>
      <c r="Q217" s="69">
        <f t="shared" si="39"/>
        <v>5214.5296500433833</v>
      </c>
      <c r="R217" s="69">
        <f>G217*(1+0.06)^K217</f>
        <v>68823.240411746723</v>
      </c>
      <c r="S217" s="77">
        <f t="shared" si="40"/>
        <v>7.5766988285447964E-2</v>
      </c>
    </row>
    <row r="218" spans="1:19" ht="15.5" x14ac:dyDescent="0.35">
      <c r="A218" s="3" t="s">
        <v>488</v>
      </c>
      <c r="B218" s="16" t="s">
        <v>3036</v>
      </c>
      <c r="C218" s="17" t="s">
        <v>1341</v>
      </c>
      <c r="D218" s="17" t="str">
        <f t="shared" si="34"/>
        <v>25/02/98</v>
      </c>
      <c r="E218" s="3" t="s">
        <v>3751</v>
      </c>
      <c r="F218" s="6">
        <v>15982.191999999999</v>
      </c>
      <c r="G218" s="6">
        <f>IF(F218=0,$Y$3,F218)</f>
        <v>15982.191999999999</v>
      </c>
      <c r="H218" s="79">
        <f t="shared" si="31"/>
        <v>16</v>
      </c>
      <c r="I218">
        <f t="shared" si="32"/>
        <v>24</v>
      </c>
      <c r="J218">
        <f t="shared" si="33"/>
        <v>4</v>
      </c>
      <c r="K218">
        <f t="shared" si="35"/>
        <v>41</v>
      </c>
      <c r="L218" s="80">
        <f t="shared" si="36"/>
        <v>6</v>
      </c>
      <c r="M218" s="80">
        <f t="shared" si="37"/>
        <v>47</v>
      </c>
      <c r="N218">
        <f t="shared" si="38"/>
        <v>12659.393007853383</v>
      </c>
      <c r="O218" s="87">
        <f>(((1-((1+$W$11)/(1+$W$10))^(6*(J218+K218)))/($W$10-$W$11))*(1+$W$10)^(6*(J218+K218)))</f>
        <v>4576.6656596284247</v>
      </c>
      <c r="P218" s="69">
        <f>N218*0.065*O218</f>
        <v>3765957.6013008803</v>
      </c>
      <c r="Q218" s="69">
        <f t="shared" si="39"/>
        <v>25106.384008672536</v>
      </c>
      <c r="R218" s="69">
        <f>G218*(1+0.06)^K218</f>
        <v>174251.61806472993</v>
      </c>
      <c r="S218" s="77">
        <f t="shared" si="40"/>
        <v>0.14408121019195455</v>
      </c>
    </row>
    <row r="219" spans="1:19" ht="15.5" x14ac:dyDescent="0.35">
      <c r="A219" s="3" t="s">
        <v>491</v>
      </c>
      <c r="B219" s="16" t="s">
        <v>3039</v>
      </c>
      <c r="C219" s="17" t="s">
        <v>1343</v>
      </c>
      <c r="D219" s="17" t="str">
        <f t="shared" si="34"/>
        <v>19/07/87</v>
      </c>
      <c r="E219" s="3" t="s">
        <v>3752</v>
      </c>
      <c r="F219" s="6">
        <v>13047.679999999998</v>
      </c>
      <c r="G219" s="6">
        <f>IF(F219=0,$Y$3,F219)</f>
        <v>13047.679999999998</v>
      </c>
      <c r="H219" s="79">
        <f t="shared" si="31"/>
        <v>10</v>
      </c>
      <c r="I219">
        <f t="shared" si="32"/>
        <v>35</v>
      </c>
      <c r="J219">
        <f t="shared" si="33"/>
        <v>4</v>
      </c>
      <c r="K219">
        <f t="shared" si="35"/>
        <v>30</v>
      </c>
      <c r="L219" s="80">
        <f t="shared" si="36"/>
        <v>12</v>
      </c>
      <c r="M219" s="80">
        <f t="shared" si="37"/>
        <v>42</v>
      </c>
      <c r="N219">
        <f t="shared" si="38"/>
        <v>10334.984647957453</v>
      </c>
      <c r="O219" s="87">
        <f>(((1-((1+$W$11)/(1+$W$10))^(6*(J219+K219)))/($W$10-$W$11))*(1+$W$10)^(6*(J219+K219)))</f>
        <v>1724.4052908394829</v>
      </c>
      <c r="P219" s="69">
        <f>N219*0.065*O219</f>
        <v>1158410.6434993732</v>
      </c>
      <c r="Q219" s="69">
        <f t="shared" si="39"/>
        <v>7722.7376233291552</v>
      </c>
      <c r="R219" s="69">
        <f>G219*(1+0.06)^K219</f>
        <v>74939.234906996862</v>
      </c>
      <c r="S219" s="77">
        <f t="shared" si="40"/>
        <v>0.1030533289125975</v>
      </c>
    </row>
    <row r="220" spans="1:19" ht="15.5" x14ac:dyDescent="0.35">
      <c r="A220" s="3" t="s">
        <v>493</v>
      </c>
      <c r="B220" s="16" t="s">
        <v>3041</v>
      </c>
      <c r="C220" s="17" t="s">
        <v>1345</v>
      </c>
      <c r="D220" s="17" t="str">
        <f t="shared" si="34"/>
        <v>02/11/91</v>
      </c>
      <c r="E220" s="3" t="s">
        <v>3754</v>
      </c>
      <c r="F220" s="6">
        <v>16792.96</v>
      </c>
      <c r="G220" s="6">
        <f>IF(F220=0,$Y$3,F220)</f>
        <v>16792.96</v>
      </c>
      <c r="H220" s="79">
        <f t="shared" si="31"/>
        <v>11</v>
      </c>
      <c r="I220">
        <f t="shared" si="32"/>
        <v>31</v>
      </c>
      <c r="J220">
        <f t="shared" si="33"/>
        <v>4</v>
      </c>
      <c r="K220">
        <f t="shared" si="35"/>
        <v>34</v>
      </c>
      <c r="L220" s="80">
        <f t="shared" si="36"/>
        <v>11</v>
      </c>
      <c r="M220" s="80">
        <f t="shared" si="37"/>
        <v>45</v>
      </c>
      <c r="N220">
        <f t="shared" si="38"/>
        <v>13301.597203009547</v>
      </c>
      <c r="O220" s="87">
        <f>(((1-((1+$W$11)/(1+$W$10))^(6*(J220+K220)))/($W$10-$W$11))*(1+$W$10)^(6*(J220+K220)))</f>
        <v>2481.8865373152853</v>
      </c>
      <c r="P220" s="69">
        <f>N220*0.065*O220</f>
        <v>2145848.5764911035</v>
      </c>
      <c r="Q220" s="69">
        <f t="shared" si="39"/>
        <v>14305.657176607358</v>
      </c>
      <c r="R220" s="69">
        <f>G220*(1+0.06)^K220</f>
        <v>121766.17741493357</v>
      </c>
      <c r="S220" s="77">
        <f t="shared" si="40"/>
        <v>0.11748465362314062</v>
      </c>
    </row>
    <row r="221" spans="1:19" ht="15.5" x14ac:dyDescent="0.35">
      <c r="A221" s="3" t="s">
        <v>494</v>
      </c>
      <c r="B221" s="16" t="s">
        <v>3042</v>
      </c>
      <c r="C221" s="17" t="s">
        <v>1346</v>
      </c>
      <c r="D221" s="17" t="str">
        <f t="shared" si="34"/>
        <v>28/05/86</v>
      </c>
      <c r="E221" s="3" t="s">
        <v>3754</v>
      </c>
      <c r="F221" s="6">
        <v>18219.023999999998</v>
      </c>
      <c r="G221" s="6">
        <f>IF(F221=0,$Y$3,F221)</f>
        <v>18219.023999999998</v>
      </c>
      <c r="H221" s="79">
        <f t="shared" si="31"/>
        <v>7</v>
      </c>
      <c r="I221">
        <f t="shared" si="32"/>
        <v>36</v>
      </c>
      <c r="J221">
        <f t="shared" si="33"/>
        <v>4</v>
      </c>
      <c r="K221">
        <f t="shared" si="35"/>
        <v>29</v>
      </c>
      <c r="L221" s="80">
        <f t="shared" si="36"/>
        <v>15</v>
      </c>
      <c r="M221" s="80">
        <f t="shared" si="37"/>
        <v>44</v>
      </c>
      <c r="N221">
        <f t="shared" si="38"/>
        <v>14431.173460781411</v>
      </c>
      <c r="O221" s="87">
        <f>(((1-((1+$W$11)/(1+$W$10))^(6*(J221+K221)))/($W$10-$W$11))*(1+$W$10)^(6*(J221+K221)))</f>
        <v>1571.1687390454781</v>
      </c>
      <c r="P221" s="69">
        <f>N221*0.065*O221</f>
        <v>1473797.5596059624</v>
      </c>
      <c r="Q221" s="69">
        <f t="shared" si="39"/>
        <v>9825.3170640397493</v>
      </c>
      <c r="R221" s="69">
        <f>G221*(1+0.06)^K221</f>
        <v>98717.739172730944</v>
      </c>
      <c r="S221" s="77">
        <f t="shared" si="40"/>
        <v>9.9529397111171106E-2</v>
      </c>
    </row>
    <row r="222" spans="1:19" ht="15.5" x14ac:dyDescent="0.35">
      <c r="A222" s="3" t="s">
        <v>3755</v>
      </c>
      <c r="B222" s="16" t="s">
        <v>3406</v>
      </c>
      <c r="C222" s="17" t="s">
        <v>1688</v>
      </c>
      <c r="D222" s="17" t="str">
        <f t="shared" si="34"/>
        <v>26/08/94</v>
      </c>
      <c r="E222" s="3" t="s">
        <v>3756</v>
      </c>
      <c r="F222" s="6">
        <v>19867.007999999998</v>
      </c>
      <c r="G222" s="6">
        <f>IF(F222=0,$Y$3,F222)</f>
        <v>19867.007999999998</v>
      </c>
      <c r="H222" s="79">
        <f t="shared" si="31"/>
        <v>18</v>
      </c>
      <c r="I222">
        <f t="shared" si="32"/>
        <v>28</v>
      </c>
      <c r="J222">
        <f t="shared" si="33"/>
        <v>4</v>
      </c>
      <c r="K222">
        <f t="shared" si="35"/>
        <v>37</v>
      </c>
      <c r="L222" s="80">
        <f t="shared" si="36"/>
        <v>4</v>
      </c>
      <c r="M222" s="80">
        <f t="shared" si="37"/>
        <v>41</v>
      </c>
      <c r="N222">
        <f t="shared" si="38"/>
        <v>15736.531144299057</v>
      </c>
      <c r="O222" s="87">
        <f>(((1-((1+$W$11)/(1+$W$10))^(6*(J222+K222)))/($W$10-$W$11))*(1+$W$10)^(6*(J222+K222)))</f>
        <v>3237.3816560572077</v>
      </c>
      <c r="P222" s="69">
        <f>N222*0.065*O222</f>
        <v>3311435.221674236</v>
      </c>
      <c r="Q222" s="69">
        <f t="shared" si="39"/>
        <v>22076.234811161572</v>
      </c>
      <c r="R222" s="69">
        <f>G222*(1+0.06)^K222</f>
        <v>171573.21189860109</v>
      </c>
      <c r="S222" s="77">
        <f t="shared" si="40"/>
        <v>0.12866947332202719</v>
      </c>
    </row>
    <row r="223" spans="1:19" ht="15.5" x14ac:dyDescent="0.35">
      <c r="A223" s="3" t="s">
        <v>496</v>
      </c>
      <c r="B223" s="16" t="s">
        <v>3044</v>
      </c>
      <c r="C223" s="17" t="s">
        <v>1348</v>
      </c>
      <c r="D223" s="17" t="str">
        <f t="shared" si="34"/>
        <v>12/02/90</v>
      </c>
      <c r="E223" s="3" t="s">
        <v>3757</v>
      </c>
      <c r="F223" s="6">
        <v>9251.9359999999997</v>
      </c>
      <c r="G223" s="6">
        <f>IF(F223=0,$Y$3,F223)</f>
        <v>9251.9359999999997</v>
      </c>
      <c r="H223" s="79">
        <f t="shared" si="31"/>
        <v>8</v>
      </c>
      <c r="I223">
        <f t="shared" si="32"/>
        <v>32</v>
      </c>
      <c r="J223">
        <f t="shared" si="33"/>
        <v>4</v>
      </c>
      <c r="K223">
        <f t="shared" si="35"/>
        <v>33</v>
      </c>
      <c r="L223" s="80">
        <f t="shared" si="36"/>
        <v>14</v>
      </c>
      <c r="M223" s="80">
        <f t="shared" si="37"/>
        <v>47</v>
      </c>
      <c r="N223">
        <f t="shared" si="38"/>
        <v>7328.399878283718</v>
      </c>
      <c r="O223" s="87">
        <f>(((1-((1+$W$11)/(1+$W$10))^(6*(J223+K223)))/($W$10-$W$11))*(1+$W$10)^(6*(J223+K223)))</f>
        <v>2268.4845089511282</v>
      </c>
      <c r="P223" s="69">
        <f>N223*0.065*O223</f>
        <v>1080583.5039535866</v>
      </c>
      <c r="Q223" s="69">
        <f t="shared" si="39"/>
        <v>7203.8900263572441</v>
      </c>
      <c r="R223" s="69">
        <f>G223*(1+0.06)^K223</f>
        <v>63288.699797898837</v>
      </c>
      <c r="S223" s="77">
        <f t="shared" si="40"/>
        <v>0.11382584962815764</v>
      </c>
    </row>
    <row r="224" spans="1:19" ht="15.5" x14ac:dyDescent="0.35">
      <c r="A224" s="3" t="s">
        <v>498</v>
      </c>
      <c r="B224" s="16" t="s">
        <v>3046</v>
      </c>
      <c r="C224" s="17" t="s">
        <v>1350</v>
      </c>
      <c r="D224" s="17" t="str">
        <f t="shared" si="34"/>
        <v>26/11/86</v>
      </c>
      <c r="E224" s="3" t="s">
        <v>3758</v>
      </c>
      <c r="F224" s="6">
        <v>8326.56</v>
      </c>
      <c r="G224" s="6">
        <f>IF(F224=0,$Y$3,F224)</f>
        <v>8326.56</v>
      </c>
      <c r="H224" s="79">
        <f t="shared" si="31"/>
        <v>8</v>
      </c>
      <c r="I224">
        <f t="shared" si="32"/>
        <v>36</v>
      </c>
      <c r="J224">
        <f t="shared" si="33"/>
        <v>4</v>
      </c>
      <c r="K224">
        <f t="shared" si="35"/>
        <v>29</v>
      </c>
      <c r="L224" s="80">
        <f t="shared" si="36"/>
        <v>14</v>
      </c>
      <c r="M224" s="80">
        <f t="shared" si="37"/>
        <v>43</v>
      </c>
      <c r="N224">
        <f t="shared" si="38"/>
        <v>6595.4154125711711</v>
      </c>
      <c r="O224" s="87">
        <f>(((1-((1+$W$11)/(1+$W$10))^(6*(J224+K224)))/($W$10-$W$11))*(1+$W$10)^(6*(J224+K224)))</f>
        <v>1571.1687390454781</v>
      </c>
      <c r="P224" s="69">
        <f>N224*0.065*O224</f>
        <v>673563.1836212863</v>
      </c>
      <c r="Q224" s="69">
        <f t="shared" si="39"/>
        <v>4490.4212241419091</v>
      </c>
      <c r="R224" s="69">
        <f>G224*(1+0.06)^K224</f>
        <v>45116.531944087379</v>
      </c>
      <c r="S224" s="77">
        <f t="shared" si="40"/>
        <v>9.9529397111171106E-2</v>
      </c>
    </row>
    <row r="225" spans="1:19" ht="15.5" x14ac:dyDescent="0.35">
      <c r="A225" s="3" t="s">
        <v>3759</v>
      </c>
      <c r="B225" s="16" t="s">
        <v>3760</v>
      </c>
      <c r="C225" s="17" t="s">
        <v>3762</v>
      </c>
      <c r="D225" s="17" t="str">
        <f t="shared" si="34"/>
        <v>23/02/90</v>
      </c>
      <c r="E225" s="3" t="s">
        <v>3763</v>
      </c>
      <c r="F225" s="6">
        <v>9941.1039999999994</v>
      </c>
      <c r="G225" s="6">
        <f>IF(F225=0,$Y$3,F225)</f>
        <v>9941.1039999999994</v>
      </c>
      <c r="H225" s="79">
        <f t="shared" si="31"/>
        <v>11</v>
      </c>
      <c r="I225">
        <f t="shared" si="32"/>
        <v>32</v>
      </c>
      <c r="J225">
        <f t="shared" si="33"/>
        <v>1</v>
      </c>
      <c r="K225">
        <f t="shared" si="35"/>
        <v>33</v>
      </c>
      <c r="L225" s="80">
        <f t="shared" si="36"/>
        <v>11</v>
      </c>
      <c r="M225" s="80">
        <f t="shared" si="37"/>
        <v>44</v>
      </c>
      <c r="N225">
        <f t="shared" si="38"/>
        <v>9378.3999999999978</v>
      </c>
      <c r="O225" s="87">
        <f>(((1-((1+$W$11)/(1+$W$10))^(6*(J225+K225)))/($W$10-$W$11))*(1+$W$10)^(6*(J225+K225)))</f>
        <v>1724.4052908394829</v>
      </c>
      <c r="P225" s="69">
        <f>N225*0.065*O225</f>
        <v>1051190.5676745852</v>
      </c>
      <c r="Q225" s="69">
        <f t="shared" si="39"/>
        <v>7007.9371178305673</v>
      </c>
      <c r="R225" s="69">
        <f>G225*(1+0.06)^K225</f>
        <v>68003.015446247286</v>
      </c>
      <c r="S225" s="77">
        <f t="shared" si="40"/>
        <v>0.10305332891259747</v>
      </c>
    </row>
    <row r="226" spans="1:19" ht="15.5" x14ac:dyDescent="0.35">
      <c r="A226" s="3" t="s">
        <v>501</v>
      </c>
      <c r="B226" s="16" t="s">
        <v>3049</v>
      </c>
      <c r="C226" s="17" t="s">
        <v>1353</v>
      </c>
      <c r="D226" s="17" t="str">
        <f t="shared" si="34"/>
        <v>06/03/87</v>
      </c>
      <c r="E226" s="3" t="s">
        <v>3764</v>
      </c>
      <c r="F226" s="6">
        <v>10616.592000000001</v>
      </c>
      <c r="G226" s="6">
        <f>IF(F226=0,$Y$3,F226)</f>
        <v>10616.592000000001</v>
      </c>
      <c r="H226" s="79">
        <f t="shared" si="31"/>
        <v>14</v>
      </c>
      <c r="I226">
        <f t="shared" si="32"/>
        <v>35</v>
      </c>
      <c r="J226">
        <f t="shared" si="33"/>
        <v>4</v>
      </c>
      <c r="K226">
        <f t="shared" si="35"/>
        <v>30</v>
      </c>
      <c r="L226" s="80">
        <f t="shared" si="36"/>
        <v>8</v>
      </c>
      <c r="M226" s="80">
        <f t="shared" si="37"/>
        <v>38</v>
      </c>
      <c r="N226">
        <f t="shared" si="38"/>
        <v>8409.3352483834624</v>
      </c>
      <c r="O226" s="87">
        <f>(((1-((1+$W$11)/(1+$W$10))^(6*(J226+K226)))/($W$10-$W$11))*(1+$W$10)^(6*(J226+K226)))</f>
        <v>1724.4052908394829</v>
      </c>
      <c r="P226" s="69">
        <f>N226*0.065*O226</f>
        <v>942571.64265910094</v>
      </c>
      <c r="Q226" s="69">
        <f t="shared" si="39"/>
        <v>6283.8109510606728</v>
      </c>
      <c r="R226" s="69">
        <f>G226*(1+0.06)^K226</f>
        <v>60976.302438421531</v>
      </c>
      <c r="S226" s="77">
        <f t="shared" si="40"/>
        <v>0.10305332891259747</v>
      </c>
    </row>
    <row r="227" spans="1:19" ht="15.5" x14ac:dyDescent="0.35">
      <c r="A227" s="3" t="s">
        <v>502</v>
      </c>
      <c r="B227" s="16" t="s">
        <v>3050</v>
      </c>
      <c r="C227" s="17" t="s">
        <v>1354</v>
      </c>
      <c r="D227" s="17" t="str">
        <f t="shared" si="34"/>
        <v>15/09/87</v>
      </c>
      <c r="E227" s="3" t="s">
        <v>3765</v>
      </c>
      <c r="F227" s="6">
        <v>6923.9039999999995</v>
      </c>
      <c r="G227" s="6">
        <f>IF(F227=0,$Y$3,F227)</f>
        <v>6923.9039999999995</v>
      </c>
      <c r="H227" s="79">
        <f t="shared" si="31"/>
        <v>7</v>
      </c>
      <c r="I227">
        <f t="shared" si="32"/>
        <v>35</v>
      </c>
      <c r="J227">
        <f t="shared" si="33"/>
        <v>4</v>
      </c>
      <c r="K227">
        <f t="shared" si="35"/>
        <v>30</v>
      </c>
      <c r="L227" s="80">
        <f t="shared" si="36"/>
        <v>15</v>
      </c>
      <c r="M227" s="80">
        <f t="shared" si="37"/>
        <v>45</v>
      </c>
      <c r="N227">
        <f t="shared" si="38"/>
        <v>5484.3804832683827</v>
      </c>
      <c r="O227" s="87">
        <f>(((1-((1+$W$11)/(1+$W$10))^(6*(J227+K227)))/($W$10-$W$11))*(1+$W$10)^(6*(J227+K227)))</f>
        <v>1724.4052908394829</v>
      </c>
      <c r="P227" s="69">
        <f>N227*0.065*O227</f>
        <v>614724.15695111197</v>
      </c>
      <c r="Q227" s="69">
        <f t="shared" si="39"/>
        <v>4098.1610463407469</v>
      </c>
      <c r="R227" s="69">
        <f>G227*(1+0.06)^K227</f>
        <v>39767.381506098805</v>
      </c>
      <c r="S227" s="77">
        <f t="shared" si="40"/>
        <v>0.1030533289125975</v>
      </c>
    </row>
    <row r="228" spans="1:19" ht="15.5" x14ac:dyDescent="0.35">
      <c r="A228" s="3" t="s">
        <v>503</v>
      </c>
      <c r="B228" s="16" t="s">
        <v>3051</v>
      </c>
      <c r="C228" s="17" t="s">
        <v>1355</v>
      </c>
      <c r="D228" s="17" t="str">
        <f t="shared" si="34"/>
        <v>28/11/81</v>
      </c>
      <c r="E228" s="3" t="s">
        <v>3766</v>
      </c>
      <c r="F228" s="6">
        <v>22014.463999999996</v>
      </c>
      <c r="G228" s="6">
        <f>IF(F228=0,$Y$3,F228)</f>
        <v>22014.463999999996</v>
      </c>
      <c r="H228" s="79">
        <f t="shared" si="31"/>
        <v>8</v>
      </c>
      <c r="I228">
        <f t="shared" si="32"/>
        <v>41</v>
      </c>
      <c r="J228">
        <f t="shared" si="33"/>
        <v>4</v>
      </c>
      <c r="K228">
        <f t="shared" si="35"/>
        <v>24</v>
      </c>
      <c r="L228" s="80">
        <f t="shared" si="36"/>
        <v>14</v>
      </c>
      <c r="M228" s="80">
        <f t="shared" si="37"/>
        <v>38</v>
      </c>
      <c r="N228">
        <f t="shared" si="38"/>
        <v>17437.51743398152</v>
      </c>
      <c r="O228" s="87">
        <f>(((1-((1+$W$11)/(1+$W$10))^(6*(J228+K228)))/($W$10-$W$11))*(1+$W$10)^(6*(J228+K228)))</f>
        <v>971.97898006406626</v>
      </c>
      <c r="P228" s="69">
        <f>N228*0.065*O228</f>
        <v>1101678.5266714976</v>
      </c>
      <c r="Q228" s="69">
        <f t="shared" si="39"/>
        <v>7344.5235111433176</v>
      </c>
      <c r="R228" s="69">
        <f>G228*(1+0.06)^K228</f>
        <v>89135.125898535</v>
      </c>
      <c r="S228" s="77">
        <f t="shared" si="40"/>
        <v>8.2397634345676402E-2</v>
      </c>
    </row>
    <row r="229" spans="1:19" ht="15.5" x14ac:dyDescent="0.35">
      <c r="A229" s="3" t="s">
        <v>504</v>
      </c>
      <c r="B229" s="16" t="s">
        <v>3052</v>
      </c>
      <c r="C229" s="17" t="s">
        <v>1356</v>
      </c>
      <c r="D229" s="17" t="str">
        <f t="shared" si="34"/>
        <v>21/05/95</v>
      </c>
      <c r="E229" s="3" t="s">
        <v>3766</v>
      </c>
      <c r="F229" s="6">
        <v>17936.304</v>
      </c>
      <c r="G229" s="6">
        <f>IF(F229=0,$Y$3,F229)</f>
        <v>17936.304</v>
      </c>
      <c r="H229" s="79">
        <f t="shared" si="31"/>
        <v>16</v>
      </c>
      <c r="I229">
        <f t="shared" si="32"/>
        <v>27</v>
      </c>
      <c r="J229">
        <f t="shared" si="33"/>
        <v>4</v>
      </c>
      <c r="K229">
        <f t="shared" si="35"/>
        <v>38</v>
      </c>
      <c r="L229" s="80">
        <f t="shared" si="36"/>
        <v>6</v>
      </c>
      <c r="M229" s="80">
        <f t="shared" si="37"/>
        <v>44</v>
      </c>
      <c r="N229">
        <f t="shared" si="38"/>
        <v>14207.232740310759</v>
      </c>
      <c r="O229" s="87">
        <f>(((1-((1+$W$11)/(1+$W$10))^(6*(J229+K229)))/($W$10-$W$11))*(1+$W$10)^(6*(J229+K229)))</f>
        <v>3532.9398561414855</v>
      </c>
      <c r="P229" s="69">
        <f>N229*0.065*O229</f>
        <v>3262564.4215919366</v>
      </c>
      <c r="Q229" s="69">
        <f t="shared" si="39"/>
        <v>21750.429477279577</v>
      </c>
      <c r="R229" s="69">
        <f>G229*(1+0.06)^K229</f>
        <v>164193.45298909181</v>
      </c>
      <c r="S229" s="77">
        <f t="shared" si="40"/>
        <v>0.13246831150280131</v>
      </c>
    </row>
    <row r="230" spans="1:19" ht="15.5" x14ac:dyDescent="0.35">
      <c r="A230" s="3" t="s">
        <v>507</v>
      </c>
      <c r="B230" s="16" t="s">
        <v>3055</v>
      </c>
      <c r="C230" s="17" t="s">
        <v>1359</v>
      </c>
      <c r="D230" s="17" t="str">
        <f t="shared" si="34"/>
        <v>21/10/90</v>
      </c>
      <c r="E230" s="3" t="s">
        <v>3768</v>
      </c>
      <c r="F230" s="6">
        <v>6298.576</v>
      </c>
      <c r="G230" s="6">
        <f>IF(F230=0,$Y$3,F230)</f>
        <v>6298.576</v>
      </c>
      <c r="H230" s="79">
        <f t="shared" si="31"/>
        <v>11</v>
      </c>
      <c r="I230">
        <f t="shared" si="32"/>
        <v>32</v>
      </c>
      <c r="J230">
        <f t="shared" si="33"/>
        <v>4</v>
      </c>
      <c r="K230">
        <f t="shared" si="35"/>
        <v>33</v>
      </c>
      <c r="L230" s="80">
        <f t="shared" si="36"/>
        <v>11</v>
      </c>
      <c r="M230" s="80">
        <f t="shared" si="37"/>
        <v>44</v>
      </c>
      <c r="N230">
        <f t="shared" si="38"/>
        <v>4989.0621370230774</v>
      </c>
      <c r="O230" s="87">
        <f>(((1-((1+$W$11)/(1+$W$10))^(6*(J230+K230)))/($W$10-$W$11))*(1+$W$10)^(6*(J230+K230)))</f>
        <v>2268.4845089511282</v>
      </c>
      <c r="P230" s="69">
        <f>N230*0.065*O230</f>
        <v>735644.66118204501</v>
      </c>
      <c r="Q230" s="69">
        <f t="shared" si="39"/>
        <v>4904.2977412136333</v>
      </c>
      <c r="R230" s="69">
        <f>G230*(1+0.06)^K230</f>
        <v>43085.975261637184</v>
      </c>
      <c r="S230" s="77">
        <f t="shared" si="40"/>
        <v>0.11382584962815762</v>
      </c>
    </row>
    <row r="231" spans="1:19" ht="15.5" x14ac:dyDescent="0.35">
      <c r="A231" s="3" t="s">
        <v>512</v>
      </c>
      <c r="B231" s="16" t="s">
        <v>3060</v>
      </c>
      <c r="C231" s="17" t="s">
        <v>1364</v>
      </c>
      <c r="D231" s="17" t="str">
        <f t="shared" si="34"/>
        <v>24/07/85</v>
      </c>
      <c r="E231" s="3" t="s">
        <v>3772</v>
      </c>
      <c r="F231" s="6">
        <v>9607.616</v>
      </c>
      <c r="G231" s="6">
        <f>IF(F231=0,$Y$3,F231)</f>
        <v>9607.616</v>
      </c>
      <c r="H231" s="79">
        <f t="shared" si="31"/>
        <v>5</v>
      </c>
      <c r="I231">
        <f t="shared" si="32"/>
        <v>37</v>
      </c>
      <c r="J231">
        <f t="shared" si="33"/>
        <v>4</v>
      </c>
      <c r="K231">
        <f t="shared" si="35"/>
        <v>28</v>
      </c>
      <c r="L231" s="80">
        <f t="shared" si="36"/>
        <v>17</v>
      </c>
      <c r="M231" s="80">
        <f t="shared" si="37"/>
        <v>45</v>
      </c>
      <c r="N231">
        <f t="shared" si="38"/>
        <v>7610.1317524242168</v>
      </c>
      <c r="O231" s="87">
        <f>(((1-((1+$W$11)/(1+$W$10))^(6*(J231+K231)))/($W$10-$W$11))*(1+$W$10)^(6*(J231+K231)))</f>
        <v>1430.2452154182549</v>
      </c>
      <c r="P231" s="69">
        <f>N231*0.065*O231</f>
        <v>707483.0442944729</v>
      </c>
      <c r="Q231" s="69">
        <f t="shared" si="39"/>
        <v>4716.5536286298193</v>
      </c>
      <c r="R231" s="69">
        <f>G231*(1+0.06)^K231</f>
        <v>49111.122898487178</v>
      </c>
      <c r="S231" s="77">
        <f t="shared" si="40"/>
        <v>9.6038399251814066E-2</v>
      </c>
    </row>
    <row r="232" spans="1:19" ht="15.5" x14ac:dyDescent="0.35">
      <c r="A232" s="3" t="s">
        <v>513</v>
      </c>
      <c r="B232" s="16" t="s">
        <v>3061</v>
      </c>
      <c r="C232" s="17" t="s">
        <v>1365</v>
      </c>
      <c r="D232" s="17" t="str">
        <f t="shared" si="34"/>
        <v>11/03/65</v>
      </c>
      <c r="E232" s="3" t="s">
        <v>3772</v>
      </c>
      <c r="F232" s="6">
        <v>5632.2079999999996</v>
      </c>
      <c r="G232" s="6">
        <f>IF(F232=0,$Y$3,F232)</f>
        <v>5632.2079999999996</v>
      </c>
      <c r="H232" s="79">
        <f t="shared" si="31"/>
        <v>3</v>
      </c>
      <c r="I232">
        <f t="shared" si="32"/>
        <v>57</v>
      </c>
      <c r="J232">
        <f t="shared" si="33"/>
        <v>4</v>
      </c>
      <c r="K232">
        <f t="shared" si="35"/>
        <v>8</v>
      </c>
      <c r="L232" s="80">
        <f t="shared" si="36"/>
        <v>19</v>
      </c>
      <c r="M232" s="80">
        <f t="shared" si="37"/>
        <v>27</v>
      </c>
      <c r="N232">
        <f t="shared" si="38"/>
        <v>4461.236266838484</v>
      </c>
      <c r="O232" s="87">
        <f>(((1-((1+$W$11)/(1+$W$10))^(6*(J232+K232)))/($W$10-$W$11))*(1+$W$10)^(6*(J232+K232)))</f>
        <v>151.75484256444349</v>
      </c>
      <c r="P232" s="69">
        <f>N232*0.065*O232</f>
        <v>44005.923475595882</v>
      </c>
      <c r="Q232" s="69">
        <f t="shared" si="39"/>
        <v>293.37282317063921</v>
      </c>
      <c r="R232" s="69">
        <f>G232*(1+0.06)^K232</f>
        <v>8976.883876157206</v>
      </c>
      <c r="S232" s="77">
        <f t="shared" si="40"/>
        <v>3.2680919929224402E-2</v>
      </c>
    </row>
    <row r="233" spans="1:19" ht="15.5" x14ac:dyDescent="0.35">
      <c r="A233" s="3" t="s">
        <v>516</v>
      </c>
      <c r="B233" s="16" t="s">
        <v>3064</v>
      </c>
      <c r="C233" s="17" t="s">
        <v>1368</v>
      </c>
      <c r="D233" s="17" t="str">
        <f t="shared" si="34"/>
        <v>22/01/86</v>
      </c>
      <c r="E233" s="3" t="s">
        <v>3774</v>
      </c>
      <c r="F233" s="6">
        <v>24484.16</v>
      </c>
      <c r="G233" s="6">
        <f>IF(F233=0,$Y$3,F233)</f>
        <v>24484.16</v>
      </c>
      <c r="H233" s="79">
        <f t="shared" si="31"/>
        <v>9</v>
      </c>
      <c r="I233">
        <f t="shared" si="32"/>
        <v>36</v>
      </c>
      <c r="J233">
        <f t="shared" si="33"/>
        <v>4</v>
      </c>
      <c r="K233">
        <f t="shared" si="35"/>
        <v>29</v>
      </c>
      <c r="L233" s="80">
        <f t="shared" si="36"/>
        <v>13</v>
      </c>
      <c r="M233" s="80">
        <f t="shared" si="37"/>
        <v>42</v>
      </c>
      <c r="N233">
        <f t="shared" si="38"/>
        <v>19393.74798570581</v>
      </c>
      <c r="O233" s="87">
        <f>(((1-((1+$W$11)/(1+$W$10))^(6*(J233+K233)))/($W$10-$W$11))*(1+$W$10)^(6*(J233+K233)))</f>
        <v>1571.1687390454781</v>
      </c>
      <c r="P233" s="69">
        <f>N233*0.065*O233</f>
        <v>1980605.2869243666</v>
      </c>
      <c r="Q233" s="69">
        <f t="shared" si="39"/>
        <v>13204.035246162444</v>
      </c>
      <c r="R233" s="69">
        <f>G233*(1+0.06)^K233</f>
        <v>132664.67626056218</v>
      </c>
      <c r="S233" s="77">
        <f t="shared" si="40"/>
        <v>9.9529397111171078E-2</v>
      </c>
    </row>
    <row r="234" spans="1:19" ht="15.5" x14ac:dyDescent="0.35">
      <c r="A234" s="3" t="s">
        <v>519</v>
      </c>
      <c r="B234" s="16" t="s">
        <v>3067</v>
      </c>
      <c r="C234" s="17" t="s">
        <v>1371</v>
      </c>
      <c r="D234" s="17" t="str">
        <f t="shared" si="34"/>
        <v>19/10/93</v>
      </c>
      <c r="E234" s="3" t="s">
        <v>3776</v>
      </c>
      <c r="F234" s="6">
        <v>7862.0479999999998</v>
      </c>
      <c r="G234" s="6">
        <f>IF(F234=0,$Y$3,F234)</f>
        <v>7862.0479999999998</v>
      </c>
      <c r="H234" s="79">
        <f t="shared" si="31"/>
        <v>13</v>
      </c>
      <c r="I234">
        <f t="shared" si="32"/>
        <v>29</v>
      </c>
      <c r="J234">
        <f t="shared" si="33"/>
        <v>0</v>
      </c>
      <c r="K234">
        <f t="shared" si="35"/>
        <v>36</v>
      </c>
      <c r="L234" s="80">
        <f t="shared" si="36"/>
        <v>9</v>
      </c>
      <c r="M234" s="80">
        <f t="shared" si="37"/>
        <v>45</v>
      </c>
      <c r="N234">
        <f t="shared" si="38"/>
        <v>7862.0479999999998</v>
      </c>
      <c r="O234" s="87">
        <f>(((1-((1+$W$11)/(1+$W$10))^(6*(J234+K234)))/($W$10-$W$11))*(1+$W$10)^(6*(J234+K234)))</f>
        <v>2071.9321695914473</v>
      </c>
      <c r="P234" s="69">
        <f>N234*0.065*O234</f>
        <v>1058825.9610546865</v>
      </c>
      <c r="Q234" s="69">
        <f t="shared" si="39"/>
        <v>7058.8397403645768</v>
      </c>
      <c r="R234" s="69">
        <f>G234*(1+0.06)^K234</f>
        <v>64054.086290925276</v>
      </c>
      <c r="S234" s="77">
        <f t="shared" si="40"/>
        <v>0.11020124006303439</v>
      </c>
    </row>
    <row r="235" spans="1:19" ht="15.5" x14ac:dyDescent="0.35">
      <c r="A235" s="3" t="s">
        <v>520</v>
      </c>
      <c r="B235" s="16" t="s">
        <v>3068</v>
      </c>
      <c r="C235" s="17" t="s">
        <v>1372</v>
      </c>
      <c r="D235" s="17" t="str">
        <f t="shared" si="34"/>
        <v>18/07/84</v>
      </c>
      <c r="E235" s="3" t="s">
        <v>3777</v>
      </c>
      <c r="F235" s="6">
        <v>26094.752</v>
      </c>
      <c r="G235" s="6">
        <f>IF(F235=0,$Y$3,F235)</f>
        <v>26094.752</v>
      </c>
      <c r="H235" s="79">
        <f t="shared" si="31"/>
        <v>5</v>
      </c>
      <c r="I235">
        <f t="shared" si="32"/>
        <v>38</v>
      </c>
      <c r="J235">
        <f t="shared" si="33"/>
        <v>4</v>
      </c>
      <c r="K235">
        <f t="shared" si="35"/>
        <v>27</v>
      </c>
      <c r="L235" s="80">
        <f t="shared" si="36"/>
        <v>17</v>
      </c>
      <c r="M235" s="80">
        <f t="shared" si="37"/>
        <v>44</v>
      </c>
      <c r="N235">
        <f t="shared" si="38"/>
        <v>20669.487702967661</v>
      </c>
      <c r="O235" s="87">
        <f>(((1-((1+$W$11)/(1+$W$10))^(6*(J235+K235)))/($W$10-$W$11))*(1+$W$10)^(6*(J235+K235)))</f>
        <v>1300.6996735984885</v>
      </c>
      <c r="P235" s="69">
        <f>N235*0.065*O235</f>
        <v>1747511.7340653706</v>
      </c>
      <c r="Q235" s="69">
        <f t="shared" si="39"/>
        <v>11650.078227102471</v>
      </c>
      <c r="R235" s="69">
        <f>G235*(1+0.06)^K235</f>
        <v>125837.92138087197</v>
      </c>
      <c r="S235" s="77">
        <f t="shared" si="40"/>
        <v>9.2580027540675389E-2</v>
      </c>
    </row>
    <row r="236" spans="1:19" ht="15.5" x14ac:dyDescent="0.35">
      <c r="A236" s="3" t="s">
        <v>521</v>
      </c>
      <c r="B236" s="16" t="s">
        <v>3069</v>
      </c>
      <c r="C236" s="17" t="s">
        <v>1373</v>
      </c>
      <c r="D236" s="17" t="str">
        <f t="shared" si="34"/>
        <v>09/04/91</v>
      </c>
      <c r="E236" s="3" t="s">
        <v>3778</v>
      </c>
      <c r="F236" s="6">
        <v>9916.1759999999995</v>
      </c>
      <c r="G236" s="6">
        <f>IF(F236=0,$Y$3,F236)</f>
        <v>9916.1759999999995</v>
      </c>
      <c r="H236" s="79">
        <f t="shared" si="31"/>
        <v>9</v>
      </c>
      <c r="I236">
        <f t="shared" si="32"/>
        <v>31</v>
      </c>
      <c r="J236">
        <f t="shared" si="33"/>
        <v>4</v>
      </c>
      <c r="K236">
        <f t="shared" si="35"/>
        <v>34</v>
      </c>
      <c r="L236" s="80">
        <f t="shared" si="36"/>
        <v>13</v>
      </c>
      <c r="M236" s="80">
        <f t="shared" si="37"/>
        <v>47</v>
      </c>
      <c r="N236">
        <f t="shared" si="38"/>
        <v>7854.54017315294</v>
      </c>
      <c r="O236" s="87">
        <f>(((1-((1+$W$11)/(1+$W$10))^(6*(J236+K236)))/($W$10-$W$11))*(1+$W$10)^(6*(J236+K236)))</f>
        <v>2481.8865373152853</v>
      </c>
      <c r="P236" s="69">
        <f>N236*0.065*O236</f>
        <v>1267115.0383157728</v>
      </c>
      <c r="Q236" s="69">
        <f t="shared" si="39"/>
        <v>8447.4335887718189</v>
      </c>
      <c r="R236" s="69">
        <f>G236*(1+0.06)^K236</f>
        <v>71902.442814947834</v>
      </c>
      <c r="S236" s="77">
        <f t="shared" si="40"/>
        <v>0.11748465362314058</v>
      </c>
    </row>
    <row r="237" spans="1:19" ht="15.5" x14ac:dyDescent="0.35">
      <c r="A237" s="3" t="s">
        <v>522</v>
      </c>
      <c r="B237" s="16" t="s">
        <v>3070</v>
      </c>
      <c r="C237" s="17" t="s">
        <v>1374</v>
      </c>
      <c r="D237" s="17" t="str">
        <f t="shared" si="34"/>
        <v>08/06/82</v>
      </c>
      <c r="E237" s="3" t="s">
        <v>3779</v>
      </c>
      <c r="F237" s="6">
        <v>13842.944</v>
      </c>
      <c r="G237" s="6">
        <f>IF(F237=0,$Y$3,F237)</f>
        <v>13842.944</v>
      </c>
      <c r="H237" s="79">
        <f t="shared" si="31"/>
        <v>14</v>
      </c>
      <c r="I237">
        <f t="shared" si="32"/>
        <v>40</v>
      </c>
      <c r="J237">
        <f t="shared" si="33"/>
        <v>4</v>
      </c>
      <c r="K237">
        <f t="shared" si="35"/>
        <v>25</v>
      </c>
      <c r="L237" s="80">
        <f t="shared" si="36"/>
        <v>8</v>
      </c>
      <c r="M237" s="80">
        <f t="shared" si="37"/>
        <v>33</v>
      </c>
      <c r="N237">
        <f t="shared" si="38"/>
        <v>10964.908222958775</v>
      </c>
      <c r="O237" s="87">
        <f>(((1-((1+$W$11)/(1+$W$10))^(6*(J237+K237)))/($W$10-$W$11))*(1+$W$10)^(6*(J237+K237)))</f>
        <v>1072.3399666941964</v>
      </c>
      <c r="P237" s="69">
        <f>N237*0.065*O237</f>
        <v>764277.10570981458</v>
      </c>
      <c r="Q237" s="69">
        <f t="shared" si="39"/>
        <v>5095.1807047320972</v>
      </c>
      <c r="R237" s="69">
        <f>G237*(1+0.06)^K237</f>
        <v>59412.126028648803</v>
      </c>
      <c r="S237" s="77">
        <f t="shared" si="40"/>
        <v>8.5759945743654711E-2</v>
      </c>
    </row>
    <row r="238" spans="1:19" ht="15.5" x14ac:dyDescent="0.35">
      <c r="A238" s="3" t="s">
        <v>525</v>
      </c>
      <c r="B238" s="16" t="s">
        <v>3073</v>
      </c>
      <c r="C238" s="17" t="s">
        <v>1377</v>
      </c>
      <c r="D238" s="17" t="str">
        <f t="shared" si="34"/>
        <v>20/09/79</v>
      </c>
      <c r="E238" s="3" t="s">
        <v>3781</v>
      </c>
      <c r="F238" s="6">
        <v>10616.592000000001</v>
      </c>
      <c r="G238" s="6">
        <f>IF(F238=0,$Y$3,F238)</f>
        <v>10616.592000000001</v>
      </c>
      <c r="H238" s="79">
        <f t="shared" si="31"/>
        <v>99</v>
      </c>
      <c r="I238">
        <f t="shared" si="32"/>
        <v>43</v>
      </c>
      <c r="J238">
        <f t="shared" si="33"/>
        <v>4</v>
      </c>
      <c r="K238">
        <f t="shared" si="35"/>
        <v>22</v>
      </c>
      <c r="L238" s="80">
        <f t="shared" si="36"/>
        <v>23</v>
      </c>
      <c r="M238" s="80">
        <f t="shared" si="37"/>
        <v>45</v>
      </c>
      <c r="N238">
        <f t="shared" si="38"/>
        <v>8409.3352483834624</v>
      </c>
      <c r="O238" s="87">
        <f>(((1-((1+$W$11)/(1+$W$10))^(6*(J238+K238)))/($W$10-$W$11))*(1+$W$10)^(6*(J238+K238)))</f>
        <v>795.44548998043808</v>
      </c>
      <c r="P238" s="69">
        <f>N238*0.065*O238</f>
        <v>434795.9068089099</v>
      </c>
      <c r="Q238" s="69">
        <f t="shared" si="39"/>
        <v>2898.6393787260658</v>
      </c>
      <c r="R238" s="69">
        <f>G238*(1+0.06)^K238</f>
        <v>38257.286508546451</v>
      </c>
      <c r="S238" s="77">
        <f t="shared" si="40"/>
        <v>7.5766988285447978E-2</v>
      </c>
    </row>
    <row r="239" spans="1:19" ht="15.5" x14ac:dyDescent="0.35">
      <c r="A239" s="3" t="s">
        <v>526</v>
      </c>
      <c r="B239" s="16" t="s">
        <v>3074</v>
      </c>
      <c r="C239" s="17" t="s">
        <v>1093</v>
      </c>
      <c r="D239" s="17" t="str">
        <f t="shared" si="34"/>
        <v>29/06/92</v>
      </c>
      <c r="E239" s="3" t="s">
        <v>3782</v>
      </c>
      <c r="F239" s="6">
        <v>18859.552</v>
      </c>
      <c r="G239" s="6">
        <f>IF(F239=0,$Y$3,F239)</f>
        <v>18859.552</v>
      </c>
      <c r="H239" s="79">
        <f t="shared" si="31"/>
        <v>11</v>
      </c>
      <c r="I239">
        <f t="shared" si="32"/>
        <v>30</v>
      </c>
      <c r="J239">
        <f t="shared" si="33"/>
        <v>4</v>
      </c>
      <c r="K239">
        <f t="shared" si="35"/>
        <v>35</v>
      </c>
      <c r="L239" s="80">
        <f t="shared" si="36"/>
        <v>11</v>
      </c>
      <c r="M239" s="80">
        <f t="shared" si="37"/>
        <v>46</v>
      </c>
      <c r="N239">
        <f t="shared" si="38"/>
        <v>14938.531630707934</v>
      </c>
      <c r="O239" s="87">
        <f>(((1-((1+$W$11)/(1+$W$10))^(6*(J239+K239)))/($W$10-$W$11))*(1+$W$10)^(6*(J239+K239)))</f>
        <v>2713.5031944291845</v>
      </c>
      <c r="P239" s="69">
        <f>N239*0.065*O239</f>
        <v>2634823.9645004808</v>
      </c>
      <c r="Q239" s="69">
        <f t="shared" si="39"/>
        <v>17565.49309666987</v>
      </c>
      <c r="R239" s="69">
        <f>G239*(1+0.06)^K239</f>
        <v>144956.15353612797</v>
      </c>
      <c r="S239" s="77">
        <f t="shared" si="40"/>
        <v>0.12117797463694396</v>
      </c>
    </row>
    <row r="240" spans="1:19" ht="15.5" x14ac:dyDescent="0.35">
      <c r="A240" s="3" t="s">
        <v>527</v>
      </c>
      <c r="B240" s="16" t="s">
        <v>3075</v>
      </c>
      <c r="C240" s="17" t="s">
        <v>1378</v>
      </c>
      <c r="D240" s="17" t="str">
        <f t="shared" si="34"/>
        <v>03/12/86</v>
      </c>
      <c r="E240" s="3" t="s">
        <v>3783</v>
      </c>
      <c r="F240" s="6">
        <v>7176.2240000000002</v>
      </c>
      <c r="G240" s="6">
        <f>IF(F240=0,$Y$3,F240)</f>
        <v>7176.2240000000002</v>
      </c>
      <c r="H240" s="79">
        <f t="shared" si="31"/>
        <v>8</v>
      </c>
      <c r="I240">
        <f t="shared" si="32"/>
        <v>36</v>
      </c>
      <c r="J240">
        <f t="shared" si="33"/>
        <v>4</v>
      </c>
      <c r="K240">
        <f t="shared" si="35"/>
        <v>29</v>
      </c>
      <c r="L240" s="80">
        <f t="shared" si="36"/>
        <v>14</v>
      </c>
      <c r="M240" s="80">
        <f t="shared" si="37"/>
        <v>43</v>
      </c>
      <c r="N240">
        <f t="shared" si="38"/>
        <v>5684.2415563765999</v>
      </c>
      <c r="O240" s="87">
        <f>(((1-((1+$W$11)/(1+$W$10))^(6*(J240+K240)))/($W$10-$W$11))*(1+$W$10)^(6*(J240+K240)))</f>
        <v>1571.1687390454781</v>
      </c>
      <c r="P240" s="69">
        <f>N240*0.065*O240</f>
        <v>580508.67150653841</v>
      </c>
      <c r="Q240" s="69">
        <f t="shared" si="39"/>
        <v>3870.0578100435891</v>
      </c>
      <c r="R240" s="69">
        <f>G240*(1+0.06)^K240</f>
        <v>38883.565281932344</v>
      </c>
      <c r="S240" s="77">
        <f t="shared" si="40"/>
        <v>9.9529397111171078E-2</v>
      </c>
    </row>
    <row r="241" spans="1:19" ht="15.5" x14ac:dyDescent="0.35">
      <c r="A241" s="3" t="s">
        <v>533</v>
      </c>
      <c r="B241" s="16" t="s">
        <v>3081</v>
      </c>
      <c r="C241" s="17" t="s">
        <v>1384</v>
      </c>
      <c r="D241" s="17" t="str">
        <f t="shared" si="34"/>
        <v>14/12/76</v>
      </c>
      <c r="E241" s="3" t="s">
        <v>3784</v>
      </c>
      <c r="F241" s="6">
        <v>42591.92</v>
      </c>
      <c r="G241" s="6">
        <f>IF(F241=0,$Y$3,F241)</f>
        <v>42591.92</v>
      </c>
      <c r="H241" s="79">
        <f t="shared" si="31"/>
        <v>98</v>
      </c>
      <c r="I241">
        <f t="shared" si="32"/>
        <v>46</v>
      </c>
      <c r="J241">
        <f t="shared" si="33"/>
        <v>4</v>
      </c>
      <c r="K241">
        <f t="shared" si="35"/>
        <v>19</v>
      </c>
      <c r="L241" s="80">
        <f t="shared" si="36"/>
        <v>24</v>
      </c>
      <c r="M241" s="80">
        <f t="shared" si="37"/>
        <v>43</v>
      </c>
      <c r="N241">
        <f t="shared" si="38"/>
        <v>33736.789937140704</v>
      </c>
      <c r="O241" s="87">
        <f>(((1-((1+$W$11)/(1+$W$10))^(6*(J241+K241)))/($W$10-$W$11))*(1+$W$10)^(6*(J241+K241)))</f>
        <v>582.2320727785642</v>
      </c>
      <c r="P241" s="69">
        <f>N241*0.065*O241</f>
        <v>1276771.6737097686</v>
      </c>
      <c r="Q241" s="69">
        <f t="shared" si="39"/>
        <v>8511.8111580651239</v>
      </c>
      <c r="R241" s="69">
        <f>G241*(1+0.06)^K241</f>
        <v>128866.09194495458</v>
      </c>
      <c r="S241" s="77">
        <f t="shared" si="40"/>
        <v>6.6051596890987913E-2</v>
      </c>
    </row>
    <row r="242" spans="1:19" ht="15.5" x14ac:dyDescent="0.35">
      <c r="A242" s="3" t="s">
        <v>539</v>
      </c>
      <c r="B242" s="16" t="s">
        <v>3087</v>
      </c>
      <c r="C242" s="17" t="s">
        <v>1389</v>
      </c>
      <c r="D242" s="17" t="str">
        <f t="shared" si="34"/>
        <v>22/09/91</v>
      </c>
      <c r="E242" s="3" t="s">
        <v>3786</v>
      </c>
      <c r="F242" s="6">
        <v>15673.023999999998</v>
      </c>
      <c r="G242" s="6">
        <f>IF(F242=0,$Y$3,F242)</f>
        <v>15673.023999999998</v>
      </c>
      <c r="H242" s="79">
        <f t="shared" si="31"/>
        <v>11</v>
      </c>
      <c r="I242">
        <f t="shared" si="32"/>
        <v>31</v>
      </c>
      <c r="J242">
        <f t="shared" si="33"/>
        <v>4</v>
      </c>
      <c r="K242">
        <f t="shared" si="35"/>
        <v>34</v>
      </c>
      <c r="L242" s="80">
        <f t="shared" si="36"/>
        <v>11</v>
      </c>
      <c r="M242" s="80">
        <f t="shared" si="37"/>
        <v>45</v>
      </c>
      <c r="N242">
        <f t="shared" si="38"/>
        <v>12414.50299417741</v>
      </c>
      <c r="O242" s="87">
        <f>(((1-((1+$W$11)/(1+$W$10))^(6*(J242+K242)))/($W$10-$W$11))*(1+$W$10)^(6*(J242+K242)))</f>
        <v>2481.8865373152853</v>
      </c>
      <c r="P242" s="69">
        <f>N242*0.065*O242</f>
        <v>2002740.210166099</v>
      </c>
      <c r="Q242" s="69">
        <f t="shared" si="39"/>
        <v>13351.601401107328</v>
      </c>
      <c r="R242" s="69">
        <f>G242*(1+0.06)^K242</f>
        <v>113645.49317169287</v>
      </c>
      <c r="S242" s="77">
        <f t="shared" si="40"/>
        <v>0.1174846536231406</v>
      </c>
    </row>
    <row r="243" spans="1:19" ht="15.5" x14ac:dyDescent="0.35">
      <c r="A243" s="3" t="s">
        <v>541</v>
      </c>
      <c r="B243" s="16" t="s">
        <v>3089</v>
      </c>
      <c r="C243" s="17" t="s">
        <v>1391</v>
      </c>
      <c r="D243" s="17" t="str">
        <f t="shared" si="34"/>
        <v>04/10/72</v>
      </c>
      <c r="E243" s="3" t="s">
        <v>3788</v>
      </c>
      <c r="F243" s="6">
        <v>12154.831999999999</v>
      </c>
      <c r="G243" s="6">
        <f>IF(F243=0,$Y$3,F243)</f>
        <v>12154.831999999999</v>
      </c>
      <c r="H243" s="79">
        <f t="shared" si="31"/>
        <v>8</v>
      </c>
      <c r="I243">
        <f t="shared" si="32"/>
        <v>50</v>
      </c>
      <c r="J243">
        <f t="shared" si="33"/>
        <v>4</v>
      </c>
      <c r="K243">
        <f t="shared" si="35"/>
        <v>15</v>
      </c>
      <c r="L243" s="80">
        <f t="shared" si="36"/>
        <v>14</v>
      </c>
      <c r="M243" s="80">
        <f t="shared" si="37"/>
        <v>29</v>
      </c>
      <c r="N243">
        <f t="shared" si="38"/>
        <v>9627.7654049227131</v>
      </c>
      <c r="O243" s="87">
        <f>(((1-((1+$W$11)/(1+$W$10))^(6*(J243+K243)))/($W$10-$W$11))*(1+$W$10)^(6*(J243+K243)))</f>
        <v>373.65839639087795</v>
      </c>
      <c r="P243" s="69">
        <f>N243*0.065*O243</f>
        <v>233837.19983201454</v>
      </c>
      <c r="Q243" s="69">
        <f t="shared" si="39"/>
        <v>1558.9146655467637</v>
      </c>
      <c r="R243" s="69">
        <f>G243*(1+0.06)^K243</f>
        <v>29129.762215350318</v>
      </c>
      <c r="S243" s="77">
        <f t="shared" si="40"/>
        <v>5.3516216645437382E-2</v>
      </c>
    </row>
    <row r="244" spans="1:19" ht="15.5" x14ac:dyDescent="0.35">
      <c r="A244" s="3" t="s">
        <v>542</v>
      </c>
      <c r="B244" s="16" t="s">
        <v>3090</v>
      </c>
      <c r="C244" s="17" t="s">
        <v>1392</v>
      </c>
      <c r="D244" s="17" t="str">
        <f t="shared" si="34"/>
        <v>08/03/88</v>
      </c>
      <c r="E244" s="3" t="s">
        <v>3788</v>
      </c>
      <c r="F244" s="6">
        <v>44291.887999999999</v>
      </c>
      <c r="G244" s="6">
        <f>IF(F244=0,$Y$3,F244)</f>
        <v>44291.887999999999</v>
      </c>
      <c r="H244" s="79">
        <f t="shared" si="31"/>
        <v>4</v>
      </c>
      <c r="I244">
        <f t="shared" si="32"/>
        <v>34</v>
      </c>
      <c r="J244">
        <f t="shared" si="33"/>
        <v>4</v>
      </c>
      <c r="K244">
        <f t="shared" si="35"/>
        <v>31</v>
      </c>
      <c r="L244" s="80">
        <f t="shared" si="36"/>
        <v>18</v>
      </c>
      <c r="M244" s="80">
        <f t="shared" si="37"/>
        <v>49</v>
      </c>
      <c r="N244">
        <f t="shared" si="38"/>
        <v>35083.323817648117</v>
      </c>
      <c r="O244" s="87">
        <f>(((1-((1+$W$11)/(1+$W$10))^(6*(J244+K244)))/($W$10-$W$11))*(1+$W$10)^(6*(J244+K244)))</f>
        <v>1890.963685662718</v>
      </c>
      <c r="P244" s="69">
        <f>N244*0.065*O244</f>
        <v>4312183.9352487028</v>
      </c>
      <c r="Q244" s="69">
        <f t="shared" si="39"/>
        <v>28747.892901658019</v>
      </c>
      <c r="R244" s="69">
        <f>G244*(1+0.06)^K244</f>
        <v>269653.47182524257</v>
      </c>
      <c r="S244" s="77">
        <f t="shared" si="40"/>
        <v>0.10661050535365996</v>
      </c>
    </row>
    <row r="245" spans="1:19" ht="15.5" x14ac:dyDescent="0.35">
      <c r="A245" s="3" t="s">
        <v>543</v>
      </c>
      <c r="B245" s="16" t="s">
        <v>3091</v>
      </c>
      <c r="C245" s="17" t="s">
        <v>1393</v>
      </c>
      <c r="D245" s="17" t="str">
        <f t="shared" si="34"/>
        <v>14/04/98</v>
      </c>
      <c r="E245" s="3" t="s">
        <v>3789</v>
      </c>
      <c r="F245" s="6">
        <v>14162.144</v>
      </c>
      <c r="G245" s="6">
        <f>IF(F245=0,$Y$3,F245)</f>
        <v>14162.144</v>
      </c>
      <c r="H245" s="79">
        <f t="shared" si="31"/>
        <v>16</v>
      </c>
      <c r="I245">
        <f t="shared" si="32"/>
        <v>24</v>
      </c>
      <c r="J245">
        <f t="shared" si="33"/>
        <v>4</v>
      </c>
      <c r="K245">
        <f t="shared" si="35"/>
        <v>41</v>
      </c>
      <c r="L245" s="80">
        <f t="shared" si="36"/>
        <v>6</v>
      </c>
      <c r="M245" s="80">
        <f t="shared" si="37"/>
        <v>47</v>
      </c>
      <c r="N245">
        <f t="shared" si="38"/>
        <v>11217.744520264352</v>
      </c>
      <c r="O245" s="87">
        <f>(((1-((1+$W$11)/(1+$W$10))^(6*(J245+K245)))/($W$10-$W$11))*(1+$W$10)^(6*(J245+K245)))</f>
        <v>4576.6656596284247</v>
      </c>
      <c r="P245" s="69">
        <f>N245*0.065*O245</f>
        <v>3337091.2980846218</v>
      </c>
      <c r="Q245" s="69">
        <f t="shared" si="39"/>
        <v>22247.275320564146</v>
      </c>
      <c r="R245" s="69">
        <f>G245*(1+0.06)^K245</f>
        <v>154407.88768309794</v>
      </c>
      <c r="S245" s="77">
        <f t="shared" si="40"/>
        <v>0.14408121019195455</v>
      </c>
    </row>
    <row r="246" spans="1:19" ht="15.5" x14ac:dyDescent="0.35">
      <c r="A246" s="3" t="s">
        <v>544</v>
      </c>
      <c r="B246" s="16" t="s">
        <v>3092</v>
      </c>
      <c r="C246" s="17" t="s">
        <v>1394</v>
      </c>
      <c r="D246" s="17" t="str">
        <f t="shared" si="34"/>
        <v>28/12/89</v>
      </c>
      <c r="E246" s="3" t="s">
        <v>3790</v>
      </c>
      <c r="F246" s="6">
        <v>19710.448</v>
      </c>
      <c r="G246" s="6">
        <f>IF(F246=0,$Y$3,F246)</f>
        <v>19710.448</v>
      </c>
      <c r="H246" s="79">
        <f t="shared" si="31"/>
        <v>14</v>
      </c>
      <c r="I246">
        <f t="shared" si="32"/>
        <v>33</v>
      </c>
      <c r="J246">
        <f t="shared" si="33"/>
        <v>4</v>
      </c>
      <c r="K246">
        <f t="shared" si="35"/>
        <v>32</v>
      </c>
      <c r="L246" s="80">
        <f t="shared" si="36"/>
        <v>8</v>
      </c>
      <c r="M246" s="80">
        <f t="shared" si="37"/>
        <v>40</v>
      </c>
      <c r="N246">
        <f t="shared" si="38"/>
        <v>15612.520960382513</v>
      </c>
      <c r="O246" s="87">
        <f>(((1-((1+$W$11)/(1+$W$10))^(6*(J246+K246)))/($W$10-$W$11))*(1+$W$10)^(6*(J246+K246)))</f>
        <v>2071.9321695914473</v>
      </c>
      <c r="P246" s="69">
        <f>N246*0.065*O246</f>
        <v>2102625.4877054235</v>
      </c>
      <c r="Q246" s="69">
        <f t="shared" si="39"/>
        <v>14017.50325136949</v>
      </c>
      <c r="R246" s="69">
        <f>G246*(1+0.06)^K246</f>
        <v>127199.1426171935</v>
      </c>
      <c r="S246" s="77">
        <f t="shared" si="40"/>
        <v>0.11020124006303439</v>
      </c>
    </row>
    <row r="247" spans="1:19" ht="15.5" x14ac:dyDescent="0.35">
      <c r="A247" s="3" t="s">
        <v>548</v>
      </c>
      <c r="B247" s="16" t="s">
        <v>3096</v>
      </c>
      <c r="C247" s="17" t="s">
        <v>1398</v>
      </c>
      <c r="D247" s="17" t="str">
        <f t="shared" si="34"/>
        <v>12/09/91</v>
      </c>
      <c r="E247" s="3" t="s">
        <v>3791</v>
      </c>
      <c r="F247" s="6">
        <v>10626.624</v>
      </c>
      <c r="G247" s="6">
        <f>IF(F247=0,$Y$3,F247)</f>
        <v>10626.624</v>
      </c>
      <c r="H247" s="79">
        <f t="shared" si="31"/>
        <v>9</v>
      </c>
      <c r="I247">
        <f t="shared" si="32"/>
        <v>31</v>
      </c>
      <c r="J247">
        <f t="shared" si="33"/>
        <v>4</v>
      </c>
      <c r="K247">
        <f t="shared" si="35"/>
        <v>34</v>
      </c>
      <c r="L247" s="80">
        <f t="shared" si="36"/>
        <v>13</v>
      </c>
      <c r="M247" s="80">
        <f t="shared" si="37"/>
        <v>47</v>
      </c>
      <c r="N247">
        <f t="shared" si="38"/>
        <v>8417.2815320130649</v>
      </c>
      <c r="O247" s="87">
        <f>(((1-((1+$W$11)/(1+$W$10))^(6*(J247+K247)))/($W$10-$W$11))*(1+$W$10)^(6*(J247+K247)))</f>
        <v>2481.8865373152853</v>
      </c>
      <c r="P247" s="69">
        <f>N247*0.065*O247</f>
        <v>1357897.9514812273</v>
      </c>
      <c r="Q247" s="69">
        <f t="shared" si="39"/>
        <v>9052.6530098748481</v>
      </c>
      <c r="R247" s="69">
        <f>G247*(1+0.06)^K247</f>
        <v>77053.919220065494</v>
      </c>
      <c r="S247" s="77">
        <f t="shared" si="40"/>
        <v>0.11748465362314056</v>
      </c>
    </row>
    <row r="248" spans="1:19" ht="15.5" x14ac:dyDescent="0.35">
      <c r="A248" s="3" t="s">
        <v>549</v>
      </c>
      <c r="B248" s="16" t="s">
        <v>3097</v>
      </c>
      <c r="C248" s="17" t="s">
        <v>1399</v>
      </c>
      <c r="D248" s="17" t="str">
        <f t="shared" si="34"/>
        <v>17/12/82</v>
      </c>
      <c r="E248" s="3" t="s">
        <v>3792</v>
      </c>
      <c r="F248" s="6">
        <v>78285.053505493343</v>
      </c>
      <c r="G248" s="6">
        <f>IF(F248=0,$Y$3,F248)</f>
        <v>78285.053505493343</v>
      </c>
      <c r="H248" s="79">
        <f t="shared" si="31"/>
        <v>98</v>
      </c>
      <c r="I248">
        <f t="shared" si="32"/>
        <v>40</v>
      </c>
      <c r="J248">
        <f t="shared" si="33"/>
        <v>4</v>
      </c>
      <c r="K248">
        <f t="shared" si="35"/>
        <v>25</v>
      </c>
      <c r="L248" s="80">
        <f t="shared" si="36"/>
        <v>24</v>
      </c>
      <c r="M248" s="80">
        <f t="shared" si="37"/>
        <v>49</v>
      </c>
      <c r="N248">
        <f t="shared" si="38"/>
        <v>62009.094807950656</v>
      </c>
      <c r="O248" s="87">
        <f>(((1-((1+$W$11)/(1+$W$10))^(6*(J248+K248)))/($W$10-$W$11))*(1+$W$10)^(6*(J248+K248)))</f>
        <v>1072.3399666941964</v>
      </c>
      <c r="P248" s="69">
        <f>N248*0.065*O248</f>
        <v>4322163.99297118</v>
      </c>
      <c r="Q248" s="69">
        <f t="shared" si="39"/>
        <v>28814.426619807866</v>
      </c>
      <c r="R248" s="69">
        <f>G248*(1+0.06)^K248</f>
        <v>335989.32893377921</v>
      </c>
      <c r="S248" s="77">
        <f t="shared" si="40"/>
        <v>8.5759945743654725E-2</v>
      </c>
    </row>
    <row r="249" spans="1:19" ht="15.5" x14ac:dyDescent="0.35">
      <c r="A249" s="3" t="s">
        <v>550</v>
      </c>
      <c r="B249" s="16" t="s">
        <v>3098</v>
      </c>
      <c r="C249" s="17" t="s">
        <v>1400</v>
      </c>
      <c r="D249" s="17" t="str">
        <f t="shared" si="34"/>
        <v>20/06/70</v>
      </c>
      <c r="E249" s="3" t="s">
        <v>3793</v>
      </c>
      <c r="F249" s="6">
        <v>7176.2240000000002</v>
      </c>
      <c r="G249" s="6">
        <f>IF(F249=0,$Y$3,F249)</f>
        <v>7176.2240000000002</v>
      </c>
      <c r="H249" s="79">
        <f t="shared" si="31"/>
        <v>1</v>
      </c>
      <c r="I249">
        <f t="shared" si="32"/>
        <v>52</v>
      </c>
      <c r="J249">
        <f t="shared" si="33"/>
        <v>4</v>
      </c>
      <c r="K249">
        <f t="shared" si="35"/>
        <v>13</v>
      </c>
      <c r="L249" s="80">
        <f t="shared" si="36"/>
        <v>21</v>
      </c>
      <c r="M249" s="80">
        <f t="shared" si="37"/>
        <v>34</v>
      </c>
      <c r="N249">
        <f t="shared" si="38"/>
        <v>5684.2415563765999</v>
      </c>
      <c r="O249" s="87">
        <f>(((1-((1+$W$11)/(1+$W$10))^(6*(J249+K249)))/($W$10-$W$11))*(1+$W$10)^(6*(J249+K249)))</f>
        <v>294.69014083058926</v>
      </c>
      <c r="P249" s="69">
        <f>N249*0.065*O249</f>
        <v>108880.84640964103</v>
      </c>
      <c r="Q249" s="69">
        <f t="shared" si="39"/>
        <v>725.87230939760684</v>
      </c>
      <c r="R249" s="69">
        <f>G249*(1+0.06)^K249</f>
        <v>15306.37097073571</v>
      </c>
      <c r="S249" s="77">
        <f t="shared" si="40"/>
        <v>4.7422887553516375E-2</v>
      </c>
    </row>
    <row r="250" spans="1:19" ht="15.5" x14ac:dyDescent="0.35">
      <c r="A250" s="3" t="s">
        <v>558</v>
      </c>
      <c r="B250" s="16" t="s">
        <v>3106</v>
      </c>
      <c r="C250" s="17" t="s">
        <v>1408</v>
      </c>
      <c r="D250" s="17" t="str">
        <f t="shared" si="34"/>
        <v>26/11/74</v>
      </c>
      <c r="E250" s="3" t="s">
        <v>3795</v>
      </c>
      <c r="F250" s="6">
        <v>20330</v>
      </c>
      <c r="G250" s="6">
        <f>IF(F250=0,$Y$3,F250)</f>
        <v>20330</v>
      </c>
      <c r="H250" s="79">
        <f t="shared" si="31"/>
        <v>98</v>
      </c>
      <c r="I250">
        <f t="shared" si="32"/>
        <v>48</v>
      </c>
      <c r="J250">
        <f t="shared" si="33"/>
        <v>4</v>
      </c>
      <c r="K250">
        <f t="shared" si="35"/>
        <v>17</v>
      </c>
      <c r="L250" s="80">
        <f t="shared" si="36"/>
        <v>24</v>
      </c>
      <c r="M250" s="80">
        <f t="shared" si="37"/>
        <v>41</v>
      </c>
      <c r="N250">
        <f t="shared" si="38"/>
        <v>16103.264173628955</v>
      </c>
      <c r="O250" s="87">
        <f>(((1-((1+$W$11)/(1+$W$10))^(6*(J250+K250)))/($W$10-$W$11))*(1+$W$10)^(6*(J250+K250)))</f>
        <v>468.55183423527927</v>
      </c>
      <c r="P250" s="69">
        <f>N250*0.065*O250</f>
        <v>490438.90777239186</v>
      </c>
      <c r="Q250" s="69">
        <f t="shared" si="39"/>
        <v>3269.5927184826123</v>
      </c>
      <c r="R250" s="69">
        <f>G250*(1+0.06)^K250</f>
        <v>54744.070734639332</v>
      </c>
      <c r="S250" s="77">
        <f t="shared" si="40"/>
        <v>5.9725056514910869E-2</v>
      </c>
    </row>
    <row r="251" spans="1:19" ht="15.5" x14ac:dyDescent="0.35">
      <c r="A251" s="3" t="s">
        <v>559</v>
      </c>
      <c r="B251" s="16" t="s">
        <v>3107</v>
      </c>
      <c r="C251" s="17" t="s">
        <v>1409</v>
      </c>
      <c r="D251" s="17" t="str">
        <f t="shared" si="34"/>
        <v>01/02/89</v>
      </c>
      <c r="E251" s="3" t="s">
        <v>3796</v>
      </c>
      <c r="F251" s="6">
        <v>10490.431999999999</v>
      </c>
      <c r="G251" s="6">
        <f>IF(F251=0,$Y$3,F251)</f>
        <v>10490.431999999999</v>
      </c>
      <c r="H251" s="79">
        <f t="shared" si="31"/>
        <v>18</v>
      </c>
      <c r="I251">
        <f t="shared" si="32"/>
        <v>33</v>
      </c>
      <c r="J251">
        <f t="shared" si="33"/>
        <v>1</v>
      </c>
      <c r="K251">
        <f t="shared" si="35"/>
        <v>32</v>
      </c>
      <c r="L251" s="80">
        <f t="shared" si="36"/>
        <v>4</v>
      </c>
      <c r="M251" s="80">
        <f t="shared" si="37"/>
        <v>36</v>
      </c>
      <c r="N251">
        <f t="shared" si="38"/>
        <v>9896.6339622641481</v>
      </c>
      <c r="O251" s="87">
        <f>(((1-((1+$W$11)/(1+$W$10))^(6*(J251+K251)))/($W$10-$W$11))*(1+$W$10)^(6*(J251+K251)))</f>
        <v>1571.1687390454781</v>
      </c>
      <c r="P251" s="69">
        <f>N251*0.065*O251</f>
        <v>1010703.3237135391</v>
      </c>
      <c r="Q251" s="69">
        <f t="shared" si="39"/>
        <v>6738.0221580902607</v>
      </c>
      <c r="R251" s="69">
        <f>G251*(1+0.06)^K251</f>
        <v>67698.814156023771</v>
      </c>
      <c r="S251" s="77">
        <f t="shared" si="40"/>
        <v>9.9529397111171092E-2</v>
      </c>
    </row>
    <row r="252" spans="1:19" ht="15.5" x14ac:dyDescent="0.35">
      <c r="A252" s="3" t="s">
        <v>566</v>
      </c>
      <c r="B252" s="16" t="s">
        <v>3114</v>
      </c>
      <c r="C252" s="17" t="s">
        <v>1416</v>
      </c>
      <c r="D252" s="17" t="str">
        <f t="shared" si="34"/>
        <v>04/12/85</v>
      </c>
      <c r="E252" s="3" t="s">
        <v>3798</v>
      </c>
      <c r="F252" s="6">
        <v>19877.04</v>
      </c>
      <c r="G252" s="6">
        <f>IF(F252=0,$Y$3,F252)</f>
        <v>19877.04</v>
      </c>
      <c r="H252" s="79">
        <f t="shared" si="31"/>
        <v>8</v>
      </c>
      <c r="I252">
        <f t="shared" si="32"/>
        <v>37</v>
      </c>
      <c r="J252">
        <f t="shared" si="33"/>
        <v>4</v>
      </c>
      <c r="K252">
        <f t="shared" si="35"/>
        <v>28</v>
      </c>
      <c r="L252" s="80">
        <f t="shared" si="36"/>
        <v>14</v>
      </c>
      <c r="M252" s="80">
        <f t="shared" si="37"/>
        <v>42</v>
      </c>
      <c r="N252">
        <f t="shared" si="38"/>
        <v>15744.477427928663</v>
      </c>
      <c r="O252" s="87">
        <f>(((1-((1+$W$11)/(1+$W$10))^(6*(J252+K252)))/($W$10-$W$11))*(1+$W$10)^(6*(J252+K252)))</f>
        <v>1430.2452154182549</v>
      </c>
      <c r="P252" s="69">
        <f>N252*0.065*O252</f>
        <v>1463700.1281861195</v>
      </c>
      <c r="Q252" s="69">
        <f t="shared" si="39"/>
        <v>9758.0008545741293</v>
      </c>
      <c r="R252" s="69">
        <f>G252*(1+0.06)^K252</f>
        <v>101605.20094663916</v>
      </c>
      <c r="S252" s="77">
        <f t="shared" si="40"/>
        <v>9.603839925181408E-2</v>
      </c>
    </row>
    <row r="253" spans="1:19" ht="15.5" x14ac:dyDescent="0.35">
      <c r="A253" s="3" t="s">
        <v>3809</v>
      </c>
      <c r="B253" s="16" t="s">
        <v>3810</v>
      </c>
      <c r="C253" s="17" t="s">
        <v>3812</v>
      </c>
      <c r="D253" s="17" t="str">
        <f t="shared" si="34"/>
        <v>19/08/90</v>
      </c>
      <c r="E253" s="3" t="s">
        <v>3813</v>
      </c>
      <c r="F253" s="6">
        <v>17536.240000000002</v>
      </c>
      <c r="G253" s="6">
        <f>IF(F253=0,$Y$3,F253)</f>
        <v>17536.240000000002</v>
      </c>
      <c r="H253" s="79">
        <f t="shared" si="31"/>
        <v>17</v>
      </c>
      <c r="I253">
        <f t="shared" si="32"/>
        <v>32</v>
      </c>
      <c r="J253">
        <f t="shared" si="33"/>
        <v>0</v>
      </c>
      <c r="K253">
        <f t="shared" si="35"/>
        <v>33</v>
      </c>
      <c r="L253" s="80">
        <f t="shared" si="36"/>
        <v>5</v>
      </c>
      <c r="M253" s="80">
        <f t="shared" si="37"/>
        <v>38</v>
      </c>
      <c r="N253">
        <f t="shared" si="38"/>
        <v>17536.240000000002</v>
      </c>
      <c r="O253" s="87">
        <f>(((1-((1+$W$11)/(1+$W$10))^(6*(J253+K253)))/($W$10-$W$11))*(1+$W$10)^(6*(J253+K253)))</f>
        <v>1571.1687390454781</v>
      </c>
      <c r="P253" s="69">
        <f>N253*0.065*O253</f>
        <v>1790905.4857459271</v>
      </c>
      <c r="Q253" s="69">
        <f t="shared" si="39"/>
        <v>11939.369904972848</v>
      </c>
      <c r="R253" s="69">
        <f>G253*(1+0.06)^K253</f>
        <v>119958.22592632566</v>
      </c>
      <c r="S253" s="77">
        <f t="shared" si="40"/>
        <v>9.9529397111171106E-2</v>
      </c>
    </row>
    <row r="254" spans="1:19" ht="15.5" x14ac:dyDescent="0.35">
      <c r="A254" s="3" t="s">
        <v>572</v>
      </c>
      <c r="B254" s="16" t="s">
        <v>3120</v>
      </c>
      <c r="C254" s="17" t="s">
        <v>1422</v>
      </c>
      <c r="D254" s="17" t="str">
        <f t="shared" si="34"/>
        <v>11/08/83</v>
      </c>
      <c r="E254" s="3" t="s">
        <v>3826</v>
      </c>
      <c r="F254" s="6">
        <v>17738.703999999998</v>
      </c>
      <c r="G254" s="6">
        <f>IF(F254=0,$Y$3,F254)</f>
        <v>17738.703999999998</v>
      </c>
      <c r="H254" s="79">
        <f t="shared" si="31"/>
        <v>8</v>
      </c>
      <c r="I254">
        <f t="shared" si="32"/>
        <v>39</v>
      </c>
      <c r="J254">
        <f t="shared" si="33"/>
        <v>4</v>
      </c>
      <c r="K254">
        <f t="shared" si="35"/>
        <v>26</v>
      </c>
      <c r="L254" s="80">
        <f t="shared" si="36"/>
        <v>14</v>
      </c>
      <c r="M254" s="80">
        <f t="shared" si="37"/>
        <v>40</v>
      </c>
      <c r="N254">
        <f t="shared" si="38"/>
        <v>14050.715032454924</v>
      </c>
      <c r="O254" s="87">
        <f>(((1-((1+$W$11)/(1+$W$10))^(6*(J254+K254)))/($W$10-$W$11))*(1+$W$10)^(6*(J254+K254)))</f>
        <v>1181.6655698699749</v>
      </c>
      <c r="P254" s="69">
        <f>N254*0.065*O254</f>
        <v>1079211.0020839206</v>
      </c>
      <c r="Q254" s="69">
        <f t="shared" si="39"/>
        <v>7194.7400138928042</v>
      </c>
      <c r="R254" s="69">
        <f>G254*(1+0.06)^K254</f>
        <v>80700.157762024493</v>
      </c>
      <c r="S254" s="77">
        <f t="shared" si="40"/>
        <v>8.915397706048192E-2</v>
      </c>
    </row>
    <row r="255" spans="1:19" ht="15.5" x14ac:dyDescent="0.35">
      <c r="A255" s="3" t="s">
        <v>573</v>
      </c>
      <c r="B255" s="16" t="s">
        <v>3121</v>
      </c>
      <c r="C255" s="17" t="s">
        <v>1423</v>
      </c>
      <c r="D255" s="17" t="str">
        <f t="shared" si="34"/>
        <v>22/05/89</v>
      </c>
      <c r="E255" s="3" t="s">
        <v>3827</v>
      </c>
      <c r="F255" s="6">
        <v>10925.152</v>
      </c>
      <c r="G255" s="6">
        <f>IF(F255=0,$Y$3,F255)</f>
        <v>10925.152</v>
      </c>
      <c r="H255" s="79">
        <f t="shared" si="31"/>
        <v>9</v>
      </c>
      <c r="I255">
        <f t="shared" si="32"/>
        <v>33</v>
      </c>
      <c r="J255">
        <f t="shared" si="33"/>
        <v>4</v>
      </c>
      <c r="K255">
        <f t="shared" si="35"/>
        <v>32</v>
      </c>
      <c r="L255" s="80">
        <f t="shared" si="36"/>
        <v>13</v>
      </c>
      <c r="M255" s="80">
        <f t="shared" si="37"/>
        <v>45</v>
      </c>
      <c r="N255">
        <f t="shared" si="38"/>
        <v>8653.7436691121857</v>
      </c>
      <c r="O255" s="87">
        <f>(((1-((1+$W$11)/(1+$W$10))^(6*(J255+K255)))/($W$10-$W$11))*(1+$W$10)^(6*(J255+K255)))</f>
        <v>2071.9321695914473</v>
      </c>
      <c r="P255" s="69">
        <f>N255*0.065*O255</f>
        <v>1165448.043203071</v>
      </c>
      <c r="Q255" s="69">
        <f t="shared" si="39"/>
        <v>7769.6536213538066</v>
      </c>
      <c r="R255" s="69">
        <f>G255*(1+0.06)^K255</f>
        <v>70504.230414372971</v>
      </c>
      <c r="S255" s="77">
        <f t="shared" si="40"/>
        <v>0.11020124006303439</v>
      </c>
    </row>
    <row r="256" spans="1:19" ht="15.5" x14ac:dyDescent="0.35">
      <c r="A256" s="3" t="s">
        <v>576</v>
      </c>
      <c r="B256" s="16" t="s">
        <v>3124</v>
      </c>
      <c r="C256" s="17" t="s">
        <v>1426</v>
      </c>
      <c r="D256" s="17" t="str">
        <f t="shared" si="34"/>
        <v>07/04/89</v>
      </c>
      <c r="E256" s="3" t="s">
        <v>3829</v>
      </c>
      <c r="F256" s="6">
        <v>18430.608</v>
      </c>
      <c r="G256" s="6">
        <f>IF(F256=0,$Y$3,F256)</f>
        <v>18430.608</v>
      </c>
      <c r="H256" s="79">
        <f t="shared" si="31"/>
        <v>7</v>
      </c>
      <c r="I256">
        <f t="shared" si="32"/>
        <v>33</v>
      </c>
      <c r="J256">
        <f t="shared" si="33"/>
        <v>2</v>
      </c>
      <c r="K256">
        <f t="shared" si="35"/>
        <v>32</v>
      </c>
      <c r="L256" s="80">
        <f t="shared" si="36"/>
        <v>15</v>
      </c>
      <c r="M256" s="80">
        <f t="shared" si="37"/>
        <v>47</v>
      </c>
      <c r="N256">
        <f t="shared" si="38"/>
        <v>16403.175507297969</v>
      </c>
      <c r="O256" s="87">
        <f>(((1-((1+$W$11)/(1+$W$10))^(6*(J256+K256)))/($W$10-$W$11))*(1+$W$10)^(6*(J256+K256)))</f>
        <v>1724.4052908394829</v>
      </c>
      <c r="P256" s="69">
        <f>N256*0.065*O256</f>
        <v>1838571.9710379604</v>
      </c>
      <c r="Q256" s="69">
        <f t="shared" si="39"/>
        <v>12257.146473586403</v>
      </c>
      <c r="R256" s="69">
        <f>G256*(1+0.06)^K256</f>
        <v>118939.84020624937</v>
      </c>
      <c r="S256" s="77">
        <f t="shared" si="40"/>
        <v>0.10305332891259748</v>
      </c>
    </row>
    <row r="257" spans="1:19" ht="15.5" x14ac:dyDescent="0.35">
      <c r="A257" s="3" t="s">
        <v>581</v>
      </c>
      <c r="B257" s="16" t="s">
        <v>3129</v>
      </c>
      <c r="C257" s="17" t="s">
        <v>1431</v>
      </c>
      <c r="D257" s="17" t="str">
        <f t="shared" si="34"/>
        <v>02/07/69</v>
      </c>
      <c r="E257" s="3" t="s">
        <v>3832</v>
      </c>
      <c r="F257" s="6">
        <v>5610.32</v>
      </c>
      <c r="G257" s="6">
        <f>IF(F257=0,$Y$3,F257)</f>
        <v>5610.32</v>
      </c>
      <c r="H257" s="79">
        <f t="shared" si="31"/>
        <v>18</v>
      </c>
      <c r="I257">
        <f t="shared" si="32"/>
        <v>53</v>
      </c>
      <c r="J257">
        <f t="shared" si="33"/>
        <v>1</v>
      </c>
      <c r="K257">
        <f t="shared" si="35"/>
        <v>12</v>
      </c>
      <c r="L257" s="80">
        <f t="shared" si="36"/>
        <v>4</v>
      </c>
      <c r="M257" s="80">
        <f t="shared" si="37"/>
        <v>16</v>
      </c>
      <c r="N257">
        <f t="shared" si="38"/>
        <v>5292.7547169811314</v>
      </c>
      <c r="O257" s="87">
        <f>(((1-((1+$W$11)/(1+$W$10))^(6*(J257+K257)))/($W$10-$W$11))*(1+$W$10)^(6*(J257+K257)))</f>
        <v>175.10129702621214</v>
      </c>
      <c r="P257" s="69">
        <f>N257*0.065*O257</f>
        <v>60239.934026024901</v>
      </c>
      <c r="Q257" s="69">
        <f t="shared" si="39"/>
        <v>401.59956017349936</v>
      </c>
      <c r="R257" s="69">
        <f>G257*(1+0.06)^K257</f>
        <v>11289.066109868432</v>
      </c>
      <c r="S257" s="77">
        <f t="shared" si="40"/>
        <v>3.5574205719500367E-2</v>
      </c>
    </row>
    <row r="258" spans="1:19" ht="15.5" x14ac:dyDescent="0.35">
      <c r="A258" s="3" t="s">
        <v>582</v>
      </c>
      <c r="B258" s="16" t="s">
        <v>3130</v>
      </c>
      <c r="C258" s="17" t="s">
        <v>1427</v>
      </c>
      <c r="D258" s="17" t="str">
        <f t="shared" si="34"/>
        <v>20/01/98</v>
      </c>
      <c r="E258" s="3" t="s">
        <v>3833</v>
      </c>
      <c r="F258" s="6">
        <v>15616.784</v>
      </c>
      <c r="G258" s="6">
        <f>IF(F258=0,$Y$3,F258)</f>
        <v>15616.784</v>
      </c>
      <c r="H258" s="79">
        <f t="shared" ref="H258:H321" si="41">_xlfn.NUMBERVALUE(MID(B258,3,2))</f>
        <v>13</v>
      </c>
      <c r="I258">
        <f t="shared" ref="I258:I321" si="42">2022-YEAR(D258)</f>
        <v>24</v>
      </c>
      <c r="J258">
        <f t="shared" ref="J258:J321" si="43">2022-YEAR(E258)</f>
        <v>4</v>
      </c>
      <c r="K258">
        <f t="shared" si="35"/>
        <v>41</v>
      </c>
      <c r="L258" s="80">
        <f t="shared" si="36"/>
        <v>9</v>
      </c>
      <c r="M258" s="80">
        <f t="shared" si="37"/>
        <v>50</v>
      </c>
      <c r="N258">
        <f t="shared" si="38"/>
        <v>12369.955646556906</v>
      </c>
      <c r="O258" s="87">
        <f>(((1-((1+$W$11)/(1+$W$10))^(6*(J258+K258)))/($W$10-$W$11))*(1+$W$10)^(6*(J258+K258)))</f>
        <v>4576.6656596284247</v>
      </c>
      <c r="P258" s="69">
        <f>N258*0.065*O258</f>
        <v>3679854.8292170414</v>
      </c>
      <c r="Q258" s="69">
        <f t="shared" si="39"/>
        <v>24532.365528113609</v>
      </c>
      <c r="R258" s="69">
        <f>G258*(1+0.06)^K258</f>
        <v>170267.62542756245</v>
      </c>
      <c r="S258" s="77">
        <f t="shared" si="40"/>
        <v>0.14408121019195455</v>
      </c>
    </row>
    <row r="259" spans="1:19" ht="15.5" x14ac:dyDescent="0.35">
      <c r="A259" s="3" t="s">
        <v>593</v>
      </c>
      <c r="B259" s="16" t="s">
        <v>3141</v>
      </c>
      <c r="C259" s="17" t="s">
        <v>1442</v>
      </c>
      <c r="D259" s="17" t="str">
        <f t="shared" ref="D259:D322" si="44">_xlfn.CONCAT(MID(C259,5,2),"/",MID(C259,3,2),"/",MID(C259,1,2))</f>
        <v>11/07/91</v>
      </c>
      <c r="E259" s="3" t="s">
        <v>3836</v>
      </c>
      <c r="F259" s="6">
        <v>10914.207999999999</v>
      </c>
      <c r="G259" s="6">
        <f>IF(F259=0,$Y$3,F259)</f>
        <v>10914.207999999999</v>
      </c>
      <c r="H259" s="79">
        <f t="shared" si="41"/>
        <v>12</v>
      </c>
      <c r="I259">
        <f t="shared" si="42"/>
        <v>31</v>
      </c>
      <c r="J259">
        <f t="shared" si="43"/>
        <v>3</v>
      </c>
      <c r="K259">
        <f t="shared" ref="K259:K322" si="45">65-I259</f>
        <v>34</v>
      </c>
      <c r="L259" s="80">
        <f t="shared" ref="L259:L322" si="46">IF(H259&gt;22,122-H259,22-H259)</f>
        <v>10</v>
      </c>
      <c r="M259" s="80">
        <f t="shared" ref="M259:M322" si="47">L259+K259</f>
        <v>44</v>
      </c>
      <c r="N259">
        <f t="shared" ref="N259:N322" si="48">G259*(1+0.06)^-J259</f>
        <v>9163.779495825409</v>
      </c>
      <c r="O259" s="87">
        <f>(((1-((1+$W$11)/(1+$W$10))^(6*(J259+K259)))/($W$10-$W$11))*(1+$W$10)^(6*(J259+K259)))</f>
        <v>2268.4845089511282</v>
      </c>
      <c r="P259" s="69">
        <f>N259*0.065*O259</f>
        <v>1351212.9689320549</v>
      </c>
      <c r="Q259" s="69">
        <f t="shared" ref="Q259:Q322" si="49">P259/150</f>
        <v>9008.0864595470321</v>
      </c>
      <c r="R259" s="69">
        <f>G259*(1+0.06)^K259</f>
        <v>79139.198072971485</v>
      </c>
      <c r="S259" s="77">
        <f t="shared" si="40"/>
        <v>0.1138258496281576</v>
      </c>
    </row>
    <row r="260" spans="1:19" ht="15.5" x14ac:dyDescent="0.35">
      <c r="A260" s="3" t="s">
        <v>594</v>
      </c>
      <c r="B260" s="16" t="s">
        <v>3142</v>
      </c>
      <c r="C260" s="17" t="s">
        <v>1443</v>
      </c>
      <c r="D260" s="17" t="str">
        <f t="shared" si="44"/>
        <v>05/03/85</v>
      </c>
      <c r="E260" s="3" t="s">
        <v>3837</v>
      </c>
      <c r="F260" s="6">
        <v>69475.551999999996</v>
      </c>
      <c r="G260" s="6">
        <f>IF(F260=0,$Y$3,F260)</f>
        <v>69475.551999999996</v>
      </c>
      <c r="H260" s="79">
        <f t="shared" si="41"/>
        <v>8</v>
      </c>
      <c r="I260">
        <f t="shared" si="42"/>
        <v>37</v>
      </c>
      <c r="J260">
        <f t="shared" si="43"/>
        <v>3</v>
      </c>
      <c r="K260">
        <f t="shared" si="45"/>
        <v>28</v>
      </c>
      <c r="L260" s="80">
        <f t="shared" si="46"/>
        <v>14</v>
      </c>
      <c r="M260" s="80">
        <f t="shared" si="47"/>
        <v>42</v>
      </c>
      <c r="N260">
        <f t="shared" si="48"/>
        <v>58333.013158513386</v>
      </c>
      <c r="O260" s="87">
        <f>(((1-((1+$W$11)/(1+$W$10))^(6*(J260+K260)))/($W$10-$W$11))*(1+$W$10)^(6*(J260+K260)))</f>
        <v>1300.6996735984885</v>
      </c>
      <c r="P260" s="69">
        <f>N260*0.065*O260</f>
        <v>4931792.5263941558</v>
      </c>
      <c r="Q260" s="69">
        <f t="shared" si="49"/>
        <v>32878.616842627707</v>
      </c>
      <c r="R260" s="69">
        <f>G260*(1+0.06)^K260</f>
        <v>355137.254935276</v>
      </c>
      <c r="S260" s="77">
        <f t="shared" si="40"/>
        <v>9.2580027540675389E-2</v>
      </c>
    </row>
    <row r="261" spans="1:19" ht="15.5" x14ac:dyDescent="0.35">
      <c r="A261" s="3" t="s">
        <v>598</v>
      </c>
      <c r="B261" s="16" t="s">
        <v>3146</v>
      </c>
      <c r="C261" s="17" t="s">
        <v>1447</v>
      </c>
      <c r="D261" s="17" t="str">
        <f t="shared" si="44"/>
        <v>24/04/96</v>
      </c>
      <c r="E261" s="3" t="s">
        <v>3838</v>
      </c>
      <c r="F261" s="6">
        <v>23288.528000000002</v>
      </c>
      <c r="G261" s="6">
        <f>IF(F261=0,$Y$3,F261)</f>
        <v>23288.528000000002</v>
      </c>
      <c r="H261" s="79">
        <f t="shared" si="41"/>
        <v>11</v>
      </c>
      <c r="I261">
        <f t="shared" si="42"/>
        <v>26</v>
      </c>
      <c r="J261">
        <f t="shared" si="43"/>
        <v>3</v>
      </c>
      <c r="K261">
        <f t="shared" si="45"/>
        <v>39</v>
      </c>
      <c r="L261" s="80">
        <f t="shared" si="46"/>
        <v>11</v>
      </c>
      <c r="M261" s="80">
        <f t="shared" si="47"/>
        <v>50</v>
      </c>
      <c r="N261">
        <f t="shared" si="48"/>
        <v>19553.497182237683</v>
      </c>
      <c r="O261" s="87">
        <f>(((1-((1+$W$11)/(1+$W$10))^(6*(J261+K261)))/($W$10-$W$11))*(1+$W$10)^(6*(J261+K261)))</f>
        <v>3532.9398561414855</v>
      </c>
      <c r="P261" s="69">
        <f>N261*0.065*O261</f>
        <v>4490286.4189350531</v>
      </c>
      <c r="Q261" s="69">
        <f t="shared" si="49"/>
        <v>29935.242792900353</v>
      </c>
      <c r="R261" s="69">
        <f>G261*(1+0.06)^K261</f>
        <v>225980.40582911271</v>
      </c>
      <c r="S261" s="77">
        <f t="shared" ref="S261:S324" si="50">Q261/R261</f>
        <v>0.13246831150280128</v>
      </c>
    </row>
    <row r="262" spans="1:19" ht="15.5" x14ac:dyDescent="0.35">
      <c r="A262" s="3" t="s">
        <v>600</v>
      </c>
      <c r="B262" s="16" t="s">
        <v>3148</v>
      </c>
      <c r="C262" s="17" t="s">
        <v>1449</v>
      </c>
      <c r="D262" s="17" t="str">
        <f t="shared" si="44"/>
        <v>23/01/92</v>
      </c>
      <c r="E262" s="3" t="s">
        <v>3838</v>
      </c>
      <c r="F262" s="6">
        <v>11510.655999999999</v>
      </c>
      <c r="G262" s="6">
        <f>IF(F262=0,$Y$3,F262)</f>
        <v>11510.655999999999</v>
      </c>
      <c r="H262" s="79">
        <f t="shared" si="41"/>
        <v>11</v>
      </c>
      <c r="I262">
        <f t="shared" si="42"/>
        <v>30</v>
      </c>
      <c r="J262">
        <f t="shared" si="43"/>
        <v>3</v>
      </c>
      <c r="K262">
        <f t="shared" si="45"/>
        <v>35</v>
      </c>
      <c r="L262" s="80">
        <f t="shared" si="46"/>
        <v>11</v>
      </c>
      <c r="M262" s="80">
        <f t="shared" si="47"/>
        <v>46</v>
      </c>
      <c r="N262">
        <f t="shared" si="48"/>
        <v>9664.5687379514602</v>
      </c>
      <c r="O262" s="87">
        <f>(((1-((1+$W$11)/(1+$W$10))^(6*(J262+K262)))/($W$10-$W$11))*(1+$W$10)^(6*(J262+K262)))</f>
        <v>2481.8865373152853</v>
      </c>
      <c r="P262" s="69">
        <f>N262*0.065*O262</f>
        <v>1559113.597579194</v>
      </c>
      <c r="Q262" s="69">
        <f t="shared" si="49"/>
        <v>10394.09065052796</v>
      </c>
      <c r="R262" s="69">
        <f>G262*(1+0.06)^K262</f>
        <v>88471.901052450907</v>
      </c>
      <c r="S262" s="77">
        <f t="shared" si="50"/>
        <v>0.11748465362314056</v>
      </c>
    </row>
    <row r="263" spans="1:19" ht="15.5" x14ac:dyDescent="0.35">
      <c r="A263" s="3" t="s">
        <v>604</v>
      </c>
      <c r="B263" s="16" t="s">
        <v>3152</v>
      </c>
      <c r="C263" s="17" t="s">
        <v>1453</v>
      </c>
      <c r="D263" s="17" t="str">
        <f t="shared" si="44"/>
        <v>31/10/97</v>
      </c>
      <c r="E263" s="3" t="s">
        <v>3840</v>
      </c>
      <c r="F263" s="6">
        <v>7995.8079999999991</v>
      </c>
      <c r="G263" s="6">
        <f>IF(F263=0,$Y$3,F263)</f>
        <v>7995.8079999999991</v>
      </c>
      <c r="H263" s="79">
        <f t="shared" si="41"/>
        <v>19</v>
      </c>
      <c r="I263">
        <f t="shared" si="42"/>
        <v>25</v>
      </c>
      <c r="J263">
        <f t="shared" si="43"/>
        <v>3</v>
      </c>
      <c r="K263">
        <f t="shared" si="45"/>
        <v>40</v>
      </c>
      <c r="L263" s="80">
        <f t="shared" si="46"/>
        <v>3</v>
      </c>
      <c r="M263" s="80">
        <f t="shared" si="47"/>
        <v>43</v>
      </c>
      <c r="N263">
        <f t="shared" si="48"/>
        <v>6713.4345802239404</v>
      </c>
      <c r="O263" s="87">
        <f>(((1-((1+$W$11)/(1+$W$10))^(6*(J263+K263)))/($W$10-$W$11))*(1+$W$10)^(6*(J263+K263)))</f>
        <v>3853.3236192812783</v>
      </c>
      <c r="P263" s="69">
        <f>N263*0.065*O263</f>
        <v>1681487.3422409794</v>
      </c>
      <c r="Q263" s="69">
        <f t="shared" si="49"/>
        <v>11209.915614939862</v>
      </c>
      <c r="R263" s="69">
        <f>G263*(1+0.06)^K263</f>
        <v>82242.625767414997</v>
      </c>
      <c r="S263" s="77">
        <f t="shared" si="50"/>
        <v>0.13630298777962044</v>
      </c>
    </row>
    <row r="264" spans="1:19" ht="15.5" x14ac:dyDescent="0.35">
      <c r="A264" s="3" t="s">
        <v>607</v>
      </c>
      <c r="B264" s="16" t="s">
        <v>3155</v>
      </c>
      <c r="C264" s="17" t="s">
        <v>1456</v>
      </c>
      <c r="D264" s="17" t="str">
        <f t="shared" si="44"/>
        <v>08/08/86</v>
      </c>
      <c r="E264" s="3" t="s">
        <v>3841</v>
      </c>
      <c r="F264" s="6">
        <v>7134.576</v>
      </c>
      <c r="G264" s="6">
        <f>IF(F264=0,$Y$3,F264)</f>
        <v>7134.576</v>
      </c>
      <c r="H264" s="79">
        <f t="shared" si="41"/>
        <v>6</v>
      </c>
      <c r="I264">
        <f t="shared" si="42"/>
        <v>36</v>
      </c>
      <c r="J264">
        <f t="shared" si="43"/>
        <v>3</v>
      </c>
      <c r="K264">
        <f t="shared" si="45"/>
        <v>29</v>
      </c>
      <c r="L264" s="80">
        <f t="shared" si="46"/>
        <v>16</v>
      </c>
      <c r="M264" s="80">
        <f t="shared" si="47"/>
        <v>45</v>
      </c>
      <c r="N264">
        <f t="shared" si="48"/>
        <v>5990.3275858594661</v>
      </c>
      <c r="O264" s="87">
        <f>(((1-((1+$W$11)/(1+$W$10))^(6*(J264+K264)))/($W$10-$W$11))*(1+$W$10)^(6*(J264+K264)))</f>
        <v>1430.2452154182549</v>
      </c>
      <c r="P264" s="69">
        <f>N264*0.065*O264</f>
        <v>556896.42895012663</v>
      </c>
      <c r="Q264" s="69">
        <f t="shared" si="49"/>
        <v>3712.6428596675109</v>
      </c>
      <c r="R264" s="69">
        <f>G264*(1+0.06)^K264</f>
        <v>38657.900262715841</v>
      </c>
      <c r="S264" s="77">
        <f t="shared" si="50"/>
        <v>9.6038399251814038E-2</v>
      </c>
    </row>
    <row r="265" spans="1:19" ht="15.5" x14ac:dyDescent="0.35">
      <c r="A265" s="3" t="s">
        <v>609</v>
      </c>
      <c r="B265" s="16" t="s">
        <v>3157</v>
      </c>
      <c r="C265" s="17" t="s">
        <v>1458</v>
      </c>
      <c r="D265" s="17" t="str">
        <f t="shared" si="44"/>
        <v>15/02/93</v>
      </c>
      <c r="E265" s="3" t="s">
        <v>3842</v>
      </c>
      <c r="F265" s="6">
        <v>19749.359999999997</v>
      </c>
      <c r="G265" s="6">
        <f>IF(F265=0,$Y$3,F265)</f>
        <v>19749.359999999997</v>
      </c>
      <c r="H265" s="79">
        <f t="shared" si="41"/>
        <v>12</v>
      </c>
      <c r="I265">
        <f t="shared" si="42"/>
        <v>29</v>
      </c>
      <c r="J265">
        <f t="shared" si="43"/>
        <v>3</v>
      </c>
      <c r="K265">
        <f t="shared" si="45"/>
        <v>36</v>
      </c>
      <c r="L265" s="80">
        <f t="shared" si="46"/>
        <v>10</v>
      </c>
      <c r="M265" s="80">
        <f t="shared" si="47"/>
        <v>46</v>
      </c>
      <c r="N265">
        <f t="shared" si="48"/>
        <v>16581.943483546813</v>
      </c>
      <c r="O265" s="87">
        <f>(((1-((1+$W$11)/(1+$W$10))^(6*(J265+K265)))/($W$10-$W$11))*(1+$W$10)^(6*(J265+K265)))</f>
        <v>2713.5031944291845</v>
      </c>
      <c r="P265" s="69">
        <f>N265*0.065*O265</f>
        <v>2924685.1798091512</v>
      </c>
      <c r="Q265" s="69">
        <f t="shared" si="49"/>
        <v>19497.901198727675</v>
      </c>
      <c r="R265" s="69">
        <f>G265*(1+0.06)^K265</f>
        <v>160903.01275577914</v>
      </c>
      <c r="S265" s="77">
        <f t="shared" si="50"/>
        <v>0.12117797463694396</v>
      </c>
    </row>
    <row r="266" spans="1:19" ht="15.5" x14ac:dyDescent="0.35">
      <c r="A266" s="3" t="s">
        <v>610</v>
      </c>
      <c r="B266" s="16" t="s">
        <v>3158</v>
      </c>
      <c r="C266" s="17" t="s">
        <v>1459</v>
      </c>
      <c r="D266" s="17" t="str">
        <f t="shared" si="44"/>
        <v>20/03/77</v>
      </c>
      <c r="E266" s="3" t="s">
        <v>3842</v>
      </c>
      <c r="F266" s="6">
        <v>48488.911999999997</v>
      </c>
      <c r="G266" s="6">
        <f>IF(F266=0,$Y$3,F266)</f>
        <v>48488.911999999997</v>
      </c>
      <c r="H266" s="79">
        <f t="shared" si="41"/>
        <v>3</v>
      </c>
      <c r="I266">
        <f t="shared" si="42"/>
        <v>45</v>
      </c>
      <c r="J266">
        <f t="shared" si="43"/>
        <v>3</v>
      </c>
      <c r="K266">
        <f t="shared" si="45"/>
        <v>20</v>
      </c>
      <c r="L266" s="80">
        <f t="shared" si="46"/>
        <v>19</v>
      </c>
      <c r="M266" s="80">
        <f t="shared" si="47"/>
        <v>39</v>
      </c>
      <c r="N266">
        <f t="shared" si="48"/>
        <v>40712.225528456365</v>
      </c>
      <c r="O266" s="87">
        <f>(((1-((1+$W$11)/(1+$W$10))^(6*(J266+K266)))/($W$10-$W$11))*(1+$W$10)^(6*(J266+K266)))</f>
        <v>582.2320727785642</v>
      </c>
      <c r="P266" s="69">
        <f>N266*0.065*O266</f>
        <v>1540757.6246959993</v>
      </c>
      <c r="Q266" s="69">
        <f t="shared" si="49"/>
        <v>10271.717497973328</v>
      </c>
      <c r="R266" s="69">
        <f>G266*(1+0.06)^K266</f>
        <v>155510.50968420721</v>
      </c>
      <c r="S266" s="77">
        <f t="shared" si="50"/>
        <v>6.6051596890987926E-2</v>
      </c>
    </row>
    <row r="267" spans="1:19" ht="15.5" x14ac:dyDescent="0.35">
      <c r="A267" s="3" t="s">
        <v>611</v>
      </c>
      <c r="B267" s="16" t="s">
        <v>3159</v>
      </c>
      <c r="C267" s="17" t="s">
        <v>1460</v>
      </c>
      <c r="D267" s="17" t="str">
        <f t="shared" si="44"/>
        <v>16/08/91</v>
      </c>
      <c r="E267" s="3" t="s">
        <v>3843</v>
      </c>
      <c r="F267" s="6">
        <v>16588.976000000002</v>
      </c>
      <c r="G267" s="6">
        <f>IF(F267=0,$Y$3,F267)</f>
        <v>16588.976000000002</v>
      </c>
      <c r="H267" s="79">
        <f t="shared" si="41"/>
        <v>19</v>
      </c>
      <c r="I267">
        <f t="shared" si="42"/>
        <v>31</v>
      </c>
      <c r="J267">
        <f t="shared" si="43"/>
        <v>3</v>
      </c>
      <c r="K267">
        <f t="shared" si="45"/>
        <v>34</v>
      </c>
      <c r="L267" s="80">
        <f t="shared" si="46"/>
        <v>3</v>
      </c>
      <c r="M267" s="80">
        <f t="shared" si="47"/>
        <v>37</v>
      </c>
      <c r="N267">
        <f t="shared" si="48"/>
        <v>13928.424135360061</v>
      </c>
      <c r="O267" s="87">
        <f>(((1-((1+$W$11)/(1+$W$10))^(6*(J267+K267)))/($W$10-$W$11))*(1+$W$10)^(6*(J267+K267)))</f>
        <v>2268.4845089511282</v>
      </c>
      <c r="P267" s="69">
        <f>N267*0.065*O267</f>
        <v>2053766.9350357454</v>
      </c>
      <c r="Q267" s="69">
        <f t="shared" si="49"/>
        <v>13691.779566904968</v>
      </c>
      <c r="R267" s="69">
        <f>G267*(1+0.06)^K267</f>
        <v>120287.08427508167</v>
      </c>
      <c r="S267" s="77">
        <f t="shared" si="50"/>
        <v>0.11382584962815762</v>
      </c>
    </row>
    <row r="268" spans="1:19" ht="15.5" x14ac:dyDescent="0.35">
      <c r="A268" s="3" t="s">
        <v>612</v>
      </c>
      <c r="B268" s="16" t="s">
        <v>3160</v>
      </c>
      <c r="C268" s="17" t="s">
        <v>1461</v>
      </c>
      <c r="D268" s="17" t="str">
        <f t="shared" si="44"/>
        <v>14/02/94</v>
      </c>
      <c r="E268" s="3" t="s">
        <v>3844</v>
      </c>
      <c r="F268" s="6">
        <v>15631.68</v>
      </c>
      <c r="G268" s="6">
        <f>IF(F268=0,$Y$3,F268)</f>
        <v>15631.68</v>
      </c>
      <c r="H268" s="79">
        <f t="shared" si="41"/>
        <v>11</v>
      </c>
      <c r="I268">
        <f t="shared" si="42"/>
        <v>28</v>
      </c>
      <c r="J268">
        <f t="shared" si="43"/>
        <v>3</v>
      </c>
      <c r="K268">
        <f t="shared" si="45"/>
        <v>37</v>
      </c>
      <c r="L268" s="80">
        <f t="shared" si="46"/>
        <v>11</v>
      </c>
      <c r="M268" s="80">
        <f t="shared" si="47"/>
        <v>48</v>
      </c>
      <c r="N268">
        <f t="shared" si="48"/>
        <v>13124.659954190369</v>
      </c>
      <c r="O268" s="87">
        <f>(((1-((1+$W$11)/(1+$W$10))^(6*(J268+K268)))/($W$10-$W$11))*(1+$W$10)^(6*(J268+K268)))</f>
        <v>2964.8060935111685</v>
      </c>
      <c r="P268" s="69">
        <f>N268*0.065*O268</f>
        <v>2529284.6674839654</v>
      </c>
      <c r="Q268" s="69">
        <f t="shared" si="49"/>
        <v>16861.897783226435</v>
      </c>
      <c r="R268" s="69">
        <f>G268*(1+0.06)^K268</f>
        <v>134996.55030949425</v>
      </c>
      <c r="S268" s="77">
        <f t="shared" si="50"/>
        <v>0.12490613830182107</v>
      </c>
    </row>
    <row r="269" spans="1:19" ht="15.5" x14ac:dyDescent="0.35">
      <c r="A269" s="3" t="s">
        <v>613</v>
      </c>
      <c r="B269" s="16" t="s">
        <v>3161</v>
      </c>
      <c r="C269" s="17" t="s">
        <v>1462</v>
      </c>
      <c r="D269" s="17" t="str">
        <f t="shared" si="44"/>
        <v>25/04/92</v>
      </c>
      <c r="E269" s="3" t="s">
        <v>3845</v>
      </c>
      <c r="F269" s="6">
        <v>9389.9519999999993</v>
      </c>
      <c r="G269" s="6">
        <f>IF(F269=0,$Y$3,F269)</f>
        <v>9389.9519999999993</v>
      </c>
      <c r="H269" s="79">
        <f t="shared" si="41"/>
        <v>10</v>
      </c>
      <c r="I269">
        <f t="shared" si="42"/>
        <v>30</v>
      </c>
      <c r="J269">
        <f t="shared" si="43"/>
        <v>3</v>
      </c>
      <c r="K269">
        <f t="shared" si="45"/>
        <v>35</v>
      </c>
      <c r="L269" s="80">
        <f t="shared" si="46"/>
        <v>12</v>
      </c>
      <c r="M269" s="80">
        <f t="shared" si="47"/>
        <v>47</v>
      </c>
      <c r="N269">
        <f t="shared" si="48"/>
        <v>7883.9847659477255</v>
      </c>
      <c r="O269" s="87">
        <f>(((1-((1+$W$11)/(1+$W$10))^(6*(J269+K269)))/($W$10-$W$11))*(1+$W$10)^(6*(J269+K269)))</f>
        <v>2481.8865373152853</v>
      </c>
      <c r="P269" s="69">
        <f>N269*0.065*O269</f>
        <v>1271865.11731529</v>
      </c>
      <c r="Q269" s="69">
        <f t="shared" si="49"/>
        <v>8479.1007821019339</v>
      </c>
      <c r="R269" s="69">
        <f>G269*(1+0.06)^K269</f>
        <v>72171.986047646933</v>
      </c>
      <c r="S269" s="77">
        <f t="shared" si="50"/>
        <v>0.11748465362314058</v>
      </c>
    </row>
    <row r="270" spans="1:19" ht="15.5" x14ac:dyDescent="0.35">
      <c r="A270" s="3" t="s">
        <v>615</v>
      </c>
      <c r="B270" s="16" t="s">
        <v>3163</v>
      </c>
      <c r="C270" s="17" t="s">
        <v>1464</v>
      </c>
      <c r="D270" s="17" t="str">
        <f t="shared" si="44"/>
        <v>11/03/87</v>
      </c>
      <c r="E270" s="3" t="s">
        <v>3846</v>
      </c>
      <c r="F270" s="6">
        <v>28708.847999999998</v>
      </c>
      <c r="G270" s="6">
        <f>IF(F270=0,$Y$3,F270)</f>
        <v>28708.847999999998</v>
      </c>
      <c r="H270" s="79">
        <f t="shared" si="41"/>
        <v>4</v>
      </c>
      <c r="I270">
        <f t="shared" si="42"/>
        <v>35</v>
      </c>
      <c r="J270">
        <f t="shared" si="43"/>
        <v>3</v>
      </c>
      <c r="K270">
        <f t="shared" si="45"/>
        <v>30</v>
      </c>
      <c r="L270" s="80">
        <f t="shared" si="46"/>
        <v>18</v>
      </c>
      <c r="M270" s="80">
        <f t="shared" si="47"/>
        <v>48</v>
      </c>
      <c r="N270">
        <f t="shared" si="48"/>
        <v>24104.502374443324</v>
      </c>
      <c r="O270" s="87">
        <f>(((1-((1+$W$11)/(1+$W$10))^(6*(J270+K270)))/($W$10-$W$11))*(1+$W$10)^(6*(J270+K270)))</f>
        <v>1571.1687390454781</v>
      </c>
      <c r="P270" s="69">
        <f>N270*0.065*O270</f>
        <v>2461695.6390632354</v>
      </c>
      <c r="Q270" s="69">
        <f t="shared" si="49"/>
        <v>16411.30426042157</v>
      </c>
      <c r="R270" s="69">
        <f>G270*(1+0.06)^K270</f>
        <v>164889.01507250848</v>
      </c>
      <c r="S270" s="77">
        <f t="shared" si="50"/>
        <v>9.9529397111171078E-2</v>
      </c>
    </row>
    <row r="271" spans="1:19" ht="15.5" x14ac:dyDescent="0.35">
      <c r="A271" s="3" t="s">
        <v>616</v>
      </c>
      <c r="B271" s="16" t="s">
        <v>3164</v>
      </c>
      <c r="C271" s="17" t="s">
        <v>1465</v>
      </c>
      <c r="D271" s="17" t="str">
        <f t="shared" si="44"/>
        <v>25/09/00</v>
      </c>
      <c r="E271" s="3" t="s">
        <v>3847</v>
      </c>
      <c r="F271" s="6">
        <v>10758.864</v>
      </c>
      <c r="G271" s="6">
        <f>IF(F271=0,$Y$3,F271)</f>
        <v>10758.864</v>
      </c>
      <c r="H271" s="79">
        <f t="shared" si="41"/>
        <v>19</v>
      </c>
      <c r="I271">
        <f t="shared" si="42"/>
        <v>22</v>
      </c>
      <c r="J271">
        <f t="shared" si="43"/>
        <v>3</v>
      </c>
      <c r="K271">
        <f t="shared" si="45"/>
        <v>43</v>
      </c>
      <c r="L271" s="80">
        <f t="shared" si="46"/>
        <v>3</v>
      </c>
      <c r="M271" s="80">
        <f t="shared" si="47"/>
        <v>46</v>
      </c>
      <c r="N271">
        <f t="shared" si="48"/>
        <v>9033.3496779220404</v>
      </c>
      <c r="O271" s="87">
        <f>(((1-((1+$W$11)/(1+$W$10))^(6*(J271+K271)))/($W$10-$W$11))*(1+$W$10)^(6*(J271+K271)))</f>
        <v>4984.0692911429642</v>
      </c>
      <c r="P271" s="69">
        <f>N271*0.065*O271</f>
        <v>2926484.647182683</v>
      </c>
      <c r="Q271" s="69">
        <f t="shared" si="49"/>
        <v>19509.897647884554</v>
      </c>
      <c r="R271" s="69">
        <f>G271*(1+0.06)^K271</f>
        <v>131800.97535187387</v>
      </c>
      <c r="S271" s="77">
        <f t="shared" si="50"/>
        <v>0.14802544211678456</v>
      </c>
    </row>
    <row r="272" spans="1:19" ht="15.5" x14ac:dyDescent="0.35">
      <c r="A272" s="3" t="s">
        <v>617</v>
      </c>
      <c r="B272" s="16" t="s">
        <v>3165</v>
      </c>
      <c r="C272" s="17" t="s">
        <v>1466</v>
      </c>
      <c r="D272" s="17" t="str">
        <f t="shared" si="44"/>
        <v>10/10/78</v>
      </c>
      <c r="E272" s="3" t="s">
        <v>3848</v>
      </c>
      <c r="F272" s="6">
        <v>8426.271999999999</v>
      </c>
      <c r="G272" s="6">
        <f>IF(F272=0,$Y$3,F272)</f>
        <v>8426.271999999999</v>
      </c>
      <c r="H272" s="79">
        <f t="shared" si="41"/>
        <v>99</v>
      </c>
      <c r="I272">
        <f t="shared" si="42"/>
        <v>44</v>
      </c>
      <c r="J272">
        <f t="shared" si="43"/>
        <v>3</v>
      </c>
      <c r="K272">
        <f t="shared" si="45"/>
        <v>21</v>
      </c>
      <c r="L272" s="80">
        <f t="shared" si="46"/>
        <v>23</v>
      </c>
      <c r="M272" s="80">
        <f t="shared" si="47"/>
        <v>44</v>
      </c>
      <c r="N272">
        <f t="shared" si="48"/>
        <v>7074.8604552751576</v>
      </c>
      <c r="O272" s="87">
        <f>(((1-((1+$W$11)/(1+$W$10))^(6*(J272+K272)))/($W$10-$W$11))*(1+$W$10)^(6*(J272+K272)))</f>
        <v>647.14153879984769</v>
      </c>
      <c r="P272" s="69">
        <f>N272*0.065*O272</f>
        <v>297598.34531836218</v>
      </c>
      <c r="Q272" s="69">
        <f t="shared" si="49"/>
        <v>1983.9889687890811</v>
      </c>
      <c r="R272" s="69">
        <f>G272*(1+0.06)^K272</f>
        <v>28645.647579496737</v>
      </c>
      <c r="S272" s="77">
        <f t="shared" si="50"/>
        <v>6.9259700388450321E-2</v>
      </c>
    </row>
    <row r="273" spans="1:19" ht="15.5" x14ac:dyDescent="0.35">
      <c r="A273" s="3" t="s">
        <v>619</v>
      </c>
      <c r="B273" s="16" t="s">
        <v>3167</v>
      </c>
      <c r="C273" s="17" t="s">
        <v>1468</v>
      </c>
      <c r="D273" s="17" t="str">
        <f t="shared" si="44"/>
        <v>24/10/92</v>
      </c>
      <c r="E273" s="3" t="s">
        <v>3849</v>
      </c>
      <c r="F273" s="6">
        <v>10094.624</v>
      </c>
      <c r="G273" s="6">
        <f>IF(F273=0,$Y$3,F273)</f>
        <v>10094.624</v>
      </c>
      <c r="H273" s="79">
        <f t="shared" si="41"/>
        <v>14</v>
      </c>
      <c r="I273">
        <f t="shared" si="42"/>
        <v>30</v>
      </c>
      <c r="J273">
        <f t="shared" si="43"/>
        <v>3</v>
      </c>
      <c r="K273">
        <f t="shared" si="45"/>
        <v>35</v>
      </c>
      <c r="L273" s="80">
        <f t="shared" si="46"/>
        <v>8</v>
      </c>
      <c r="M273" s="80">
        <f t="shared" si="47"/>
        <v>43</v>
      </c>
      <c r="N273">
        <f t="shared" si="48"/>
        <v>8475.6409653606643</v>
      </c>
      <c r="O273" s="87">
        <f>(((1-((1+$W$11)/(1+$W$10))^(6*(J273+K273)))/($W$10-$W$11))*(1+$W$10)^(6*(J273+K273)))</f>
        <v>2481.8865373152853</v>
      </c>
      <c r="P273" s="69">
        <f>N273*0.065*O273</f>
        <v>1367312.6484580263</v>
      </c>
      <c r="Q273" s="69">
        <f t="shared" si="49"/>
        <v>9115.4176563868423</v>
      </c>
      <c r="R273" s="69">
        <f>G273*(1+0.06)^K273</f>
        <v>77588.156199759265</v>
      </c>
      <c r="S273" s="77">
        <f t="shared" si="50"/>
        <v>0.11748465362314055</v>
      </c>
    </row>
    <row r="274" spans="1:19" ht="15.5" x14ac:dyDescent="0.35">
      <c r="A274" s="3" t="s">
        <v>620</v>
      </c>
      <c r="B274" s="16" t="s">
        <v>3168</v>
      </c>
      <c r="C274" s="17" t="s">
        <v>1469</v>
      </c>
      <c r="D274" s="17" t="str">
        <f t="shared" si="44"/>
        <v>19/12/81</v>
      </c>
      <c r="E274" s="3" t="s">
        <v>3850</v>
      </c>
      <c r="F274" s="6">
        <v>68901.295999999988</v>
      </c>
      <c r="G274" s="6">
        <f>IF(F274=0,$Y$3,F274)</f>
        <v>68901.295999999988</v>
      </c>
      <c r="H274" s="79">
        <f t="shared" si="41"/>
        <v>2</v>
      </c>
      <c r="I274">
        <f t="shared" si="42"/>
        <v>41</v>
      </c>
      <c r="J274">
        <f t="shared" si="43"/>
        <v>3</v>
      </c>
      <c r="K274">
        <f t="shared" si="45"/>
        <v>24</v>
      </c>
      <c r="L274" s="80">
        <f t="shared" si="46"/>
        <v>20</v>
      </c>
      <c r="M274" s="80">
        <f t="shared" si="47"/>
        <v>44</v>
      </c>
      <c r="N274">
        <f t="shared" si="48"/>
        <v>57850.85674751638</v>
      </c>
      <c r="O274" s="87">
        <f>(((1-((1+$W$11)/(1+$W$10))^(6*(J274+K274)))/($W$10-$W$11))*(1+$W$10)^(6*(J274+K274)))</f>
        <v>879.8935468544031</v>
      </c>
      <c r="P274" s="69">
        <f>N274*0.065*O274</f>
        <v>3308668.7095889808</v>
      </c>
      <c r="Q274" s="69">
        <f t="shared" si="49"/>
        <v>22057.791397259873</v>
      </c>
      <c r="R274" s="69">
        <f>G274*(1+0.06)^K274</f>
        <v>278976.84420262178</v>
      </c>
      <c r="S274" s="77">
        <f t="shared" si="50"/>
        <v>7.9066746418707159E-2</v>
      </c>
    </row>
    <row r="275" spans="1:19" ht="15.5" x14ac:dyDescent="0.35">
      <c r="A275" s="3" t="s">
        <v>624</v>
      </c>
      <c r="B275" s="16" t="s">
        <v>3172</v>
      </c>
      <c r="C275" s="17" t="s">
        <v>1473</v>
      </c>
      <c r="D275" s="17" t="str">
        <f t="shared" si="44"/>
        <v>23/10/91</v>
      </c>
      <c r="E275" s="3" t="s">
        <v>3851</v>
      </c>
      <c r="F275" s="6">
        <v>30752.944</v>
      </c>
      <c r="G275" s="6">
        <f>IF(F275=0,$Y$3,F275)</f>
        <v>30752.944</v>
      </c>
      <c r="H275" s="79">
        <f t="shared" si="41"/>
        <v>14</v>
      </c>
      <c r="I275">
        <f t="shared" si="42"/>
        <v>31</v>
      </c>
      <c r="J275">
        <f t="shared" si="43"/>
        <v>3</v>
      </c>
      <c r="K275">
        <f t="shared" si="45"/>
        <v>34</v>
      </c>
      <c r="L275" s="80">
        <f t="shared" si="46"/>
        <v>8</v>
      </c>
      <c r="M275" s="80">
        <f t="shared" si="47"/>
        <v>42</v>
      </c>
      <c r="N275">
        <f t="shared" si="48"/>
        <v>25820.764792412519</v>
      </c>
      <c r="O275" s="87">
        <f>(((1-((1+$W$11)/(1+$W$10))^(6*(J275+K275)))/($W$10-$W$11))*(1+$W$10)^(6*(J275+K275)))</f>
        <v>2268.4845089511282</v>
      </c>
      <c r="P275" s="69">
        <f>N275*0.065*O275</f>
        <v>3807310.3211558019</v>
      </c>
      <c r="Q275" s="69">
        <f t="shared" si="49"/>
        <v>25382.068807705346</v>
      </c>
      <c r="R275" s="69">
        <f>G275*(1+0.06)^K275</f>
        <v>222990.37424822766</v>
      </c>
      <c r="S275" s="77">
        <f t="shared" si="50"/>
        <v>0.11382584962815759</v>
      </c>
    </row>
    <row r="276" spans="1:19" ht="15.5" x14ac:dyDescent="0.35">
      <c r="A276" s="3" t="s">
        <v>630</v>
      </c>
      <c r="B276" s="16" t="s">
        <v>3178</v>
      </c>
      <c r="C276" s="17" t="s">
        <v>1479</v>
      </c>
      <c r="D276" s="17" t="str">
        <f t="shared" si="44"/>
        <v>10/06/96</v>
      </c>
      <c r="E276" s="3" t="s">
        <v>3851</v>
      </c>
      <c r="F276" s="6">
        <v>9609.7440000000006</v>
      </c>
      <c r="G276" s="6">
        <f>IF(F276=0,$Y$3,F276)</f>
        <v>9609.7440000000006</v>
      </c>
      <c r="H276" s="79">
        <f t="shared" si="41"/>
        <v>15</v>
      </c>
      <c r="I276">
        <f t="shared" si="42"/>
        <v>26</v>
      </c>
      <c r="J276">
        <f t="shared" si="43"/>
        <v>3</v>
      </c>
      <c r="K276">
        <f t="shared" si="45"/>
        <v>39</v>
      </c>
      <c r="L276" s="80">
        <f t="shared" si="46"/>
        <v>7</v>
      </c>
      <c r="M276" s="80">
        <f t="shared" si="47"/>
        <v>46</v>
      </c>
      <c r="N276">
        <f t="shared" si="48"/>
        <v>8068.5263674039625</v>
      </c>
      <c r="O276" s="87">
        <f>(((1-((1+$W$11)/(1+$W$10))^(6*(J276+K276)))/($W$10-$W$11))*(1+$W$10)^(6*(J276+K276)))</f>
        <v>3532.9398561414855</v>
      </c>
      <c r="P276" s="69">
        <f>N276*0.065*O276</f>
        <v>1852865.1949424462</v>
      </c>
      <c r="Q276" s="69">
        <f t="shared" si="49"/>
        <v>12352.434632949642</v>
      </c>
      <c r="R276" s="69">
        <f>G276*(1+0.06)^K276</f>
        <v>93248.22286036631</v>
      </c>
      <c r="S276" s="77">
        <f t="shared" si="50"/>
        <v>0.13246831150280131</v>
      </c>
    </row>
    <row r="277" spans="1:19" ht="15.5" x14ac:dyDescent="0.35">
      <c r="A277" s="3" t="s">
        <v>632</v>
      </c>
      <c r="B277" s="16" t="s">
        <v>3180</v>
      </c>
      <c r="C277" s="17" t="s">
        <v>1481</v>
      </c>
      <c r="D277" s="17" t="str">
        <f t="shared" si="44"/>
        <v>14/01/76</v>
      </c>
      <c r="E277" s="3" t="s">
        <v>3853</v>
      </c>
      <c r="F277" s="6">
        <v>37895.727999999996</v>
      </c>
      <c r="G277" s="6">
        <f>IF(F277=0,$Y$3,F277)</f>
        <v>37895.727999999996</v>
      </c>
      <c r="H277" s="79">
        <f t="shared" si="41"/>
        <v>2</v>
      </c>
      <c r="I277">
        <f t="shared" si="42"/>
        <v>46</v>
      </c>
      <c r="J277">
        <f t="shared" si="43"/>
        <v>3</v>
      </c>
      <c r="K277">
        <f t="shared" si="45"/>
        <v>19</v>
      </c>
      <c r="L277" s="80">
        <f t="shared" si="46"/>
        <v>20</v>
      </c>
      <c r="M277" s="80">
        <f t="shared" si="47"/>
        <v>39</v>
      </c>
      <c r="N277">
        <f t="shared" si="48"/>
        <v>31817.983973347113</v>
      </c>
      <c r="O277" s="87">
        <f>(((1-((1+$W$11)/(1+$W$10))^(6*(J277+K277)))/($W$10-$W$11))*(1+$W$10)^(6*(J277+K277)))</f>
        <v>522.84674327146399</v>
      </c>
      <c r="P277" s="69">
        <f>N277*0.065*O277</f>
        <v>1081335.4043653312</v>
      </c>
      <c r="Q277" s="69">
        <f t="shared" si="49"/>
        <v>7208.9026957688748</v>
      </c>
      <c r="R277" s="69">
        <f>G277*(1+0.06)^K277</f>
        <v>114657.29576804682</v>
      </c>
      <c r="S277" s="77">
        <f t="shared" si="50"/>
        <v>6.2873475669202747E-2</v>
      </c>
    </row>
    <row r="278" spans="1:19" ht="15.5" x14ac:dyDescent="0.35">
      <c r="A278" s="3" t="s">
        <v>635</v>
      </c>
      <c r="B278" s="16" t="s">
        <v>3183</v>
      </c>
      <c r="C278" s="17" t="s">
        <v>1484</v>
      </c>
      <c r="D278" s="17" t="str">
        <f t="shared" si="44"/>
        <v>31/12/96</v>
      </c>
      <c r="E278" s="3" t="s">
        <v>3854</v>
      </c>
      <c r="F278" s="6">
        <v>6982.576</v>
      </c>
      <c r="G278" s="6">
        <f>IF(F278=0,$Y$3,F278)</f>
        <v>6982.576</v>
      </c>
      <c r="H278" s="79">
        <f t="shared" si="41"/>
        <v>19</v>
      </c>
      <c r="I278">
        <f t="shared" si="42"/>
        <v>26</v>
      </c>
      <c r="J278">
        <f t="shared" si="43"/>
        <v>3</v>
      </c>
      <c r="K278">
        <f t="shared" si="45"/>
        <v>39</v>
      </c>
      <c r="L278" s="80">
        <f t="shared" si="46"/>
        <v>3</v>
      </c>
      <c r="M278" s="80">
        <f t="shared" si="47"/>
        <v>42</v>
      </c>
      <c r="N278">
        <f t="shared" si="48"/>
        <v>5862.7054548385568</v>
      </c>
      <c r="O278" s="87">
        <f>(((1-((1+$W$11)/(1+$W$10))^(6*(J278+K278)))/($W$10-$W$11))*(1+$W$10)^(6*(J278+K278)))</f>
        <v>3532.9398561414855</v>
      </c>
      <c r="P278" s="69">
        <f>N278*0.065*O278</f>
        <v>1346318.0748041202</v>
      </c>
      <c r="Q278" s="69">
        <f t="shared" si="49"/>
        <v>8975.4538320274678</v>
      </c>
      <c r="R278" s="69">
        <f>G278*(1+0.06)^K278</f>
        <v>67755.478500514175</v>
      </c>
      <c r="S278" s="77">
        <f t="shared" si="50"/>
        <v>0.13246831150280131</v>
      </c>
    </row>
    <row r="279" spans="1:19" ht="15.5" x14ac:dyDescent="0.35">
      <c r="A279" s="3" t="s">
        <v>636</v>
      </c>
      <c r="B279" s="16" t="s">
        <v>3184</v>
      </c>
      <c r="C279" s="17" t="s">
        <v>1485</v>
      </c>
      <c r="D279" s="17" t="str">
        <f t="shared" si="44"/>
        <v>07/02/78</v>
      </c>
      <c r="E279" s="3" t="s">
        <v>3851</v>
      </c>
      <c r="F279" s="6">
        <v>5624.6080000000002</v>
      </c>
      <c r="G279" s="6">
        <f>IF(F279=0,$Y$3,F279)</f>
        <v>5624.6080000000002</v>
      </c>
      <c r="H279" s="79">
        <f t="shared" si="41"/>
        <v>13</v>
      </c>
      <c r="I279">
        <f t="shared" si="42"/>
        <v>44</v>
      </c>
      <c r="J279">
        <f t="shared" si="43"/>
        <v>3</v>
      </c>
      <c r="K279">
        <f t="shared" si="45"/>
        <v>21</v>
      </c>
      <c r="L279" s="80">
        <f t="shared" si="46"/>
        <v>9</v>
      </c>
      <c r="M279" s="80">
        <f t="shared" si="47"/>
        <v>30</v>
      </c>
      <c r="N279">
        <f t="shared" si="48"/>
        <v>4722.5293362977482</v>
      </c>
      <c r="O279" s="87">
        <f>(((1-((1+$W$11)/(1+$W$10))^(6*(J279+K279)))/($W$10-$W$11))*(1+$W$10)^(6*(J279+K279)))</f>
        <v>647.14153879984769</v>
      </c>
      <c r="P279" s="69">
        <f>N279*0.065*O279</f>
        <v>198649.41861174462</v>
      </c>
      <c r="Q279" s="69">
        <f t="shared" si="49"/>
        <v>1324.3294574116308</v>
      </c>
      <c r="R279" s="69">
        <f>G279*(1+0.06)^K279</f>
        <v>19121.212624137697</v>
      </c>
      <c r="S279" s="77">
        <f t="shared" si="50"/>
        <v>6.9259700388450321E-2</v>
      </c>
    </row>
    <row r="280" spans="1:19" ht="15.5" x14ac:dyDescent="0.35">
      <c r="A280" s="3" t="s">
        <v>638</v>
      </c>
      <c r="B280" s="16" t="s">
        <v>3186</v>
      </c>
      <c r="C280" s="17" t="s">
        <v>1487</v>
      </c>
      <c r="D280" s="17" t="str">
        <f t="shared" si="44"/>
        <v>30/05/88</v>
      </c>
      <c r="E280" s="3" t="s">
        <v>3856</v>
      </c>
      <c r="F280" s="6">
        <v>12378.575999999999</v>
      </c>
      <c r="G280" s="6">
        <f>IF(F280=0,$Y$3,F280)</f>
        <v>12378.575999999999</v>
      </c>
      <c r="H280" s="79">
        <f t="shared" si="41"/>
        <v>8</v>
      </c>
      <c r="I280">
        <f t="shared" si="42"/>
        <v>34</v>
      </c>
      <c r="J280">
        <f t="shared" si="43"/>
        <v>3</v>
      </c>
      <c r="K280">
        <f t="shared" si="45"/>
        <v>31</v>
      </c>
      <c r="L280" s="80">
        <f t="shared" si="46"/>
        <v>14</v>
      </c>
      <c r="M280" s="80">
        <f t="shared" si="47"/>
        <v>45</v>
      </c>
      <c r="N280">
        <f t="shared" si="48"/>
        <v>10393.291106080855</v>
      </c>
      <c r="O280" s="87">
        <f>(((1-((1+$W$11)/(1+$W$10))^(6*(J280+K280)))/($W$10-$W$11))*(1+$W$10)^(6*(J280+K280)))</f>
        <v>1724.4052908394829</v>
      </c>
      <c r="P280" s="69">
        <f>N280*0.065*O280</f>
        <v>1164946.00121645</v>
      </c>
      <c r="Q280" s="69">
        <f t="shared" si="49"/>
        <v>7766.3066747763332</v>
      </c>
      <c r="R280" s="69">
        <f>G280*(1+0.06)^K280</f>
        <v>75362.016508590095</v>
      </c>
      <c r="S280" s="77">
        <f t="shared" si="50"/>
        <v>0.10305332891259744</v>
      </c>
    </row>
    <row r="281" spans="1:19" ht="15.5" x14ac:dyDescent="0.35">
      <c r="A281" s="3" t="s">
        <v>639</v>
      </c>
      <c r="B281" s="16" t="s">
        <v>3187</v>
      </c>
      <c r="C281" s="17" t="s">
        <v>1488</v>
      </c>
      <c r="D281" s="17" t="str">
        <f t="shared" si="44"/>
        <v>05/08/91</v>
      </c>
      <c r="E281" s="3" t="s">
        <v>3857</v>
      </c>
      <c r="F281" s="6">
        <v>11928.351999999999</v>
      </c>
      <c r="G281" s="6">
        <f>IF(F281=0,$Y$3,F281)</f>
        <v>11928.351999999999</v>
      </c>
      <c r="H281" s="79">
        <f t="shared" si="41"/>
        <v>9</v>
      </c>
      <c r="I281">
        <f t="shared" si="42"/>
        <v>31</v>
      </c>
      <c r="J281">
        <f t="shared" si="43"/>
        <v>3</v>
      </c>
      <c r="K281">
        <f t="shared" si="45"/>
        <v>34</v>
      </c>
      <c r="L281" s="80">
        <f t="shared" si="46"/>
        <v>13</v>
      </c>
      <c r="M281" s="80">
        <f t="shared" si="47"/>
        <v>47</v>
      </c>
      <c r="N281">
        <f t="shared" si="48"/>
        <v>10015.27435399692</v>
      </c>
      <c r="O281" s="87">
        <f>(((1-((1+$W$11)/(1+$W$10))^(6*(J281+K281)))/($W$10-$W$11))*(1+$W$10)^(6*(J281+K281)))</f>
        <v>2268.4845089511282</v>
      </c>
      <c r="P281" s="69">
        <f>N281*0.065*O281</f>
        <v>1476767.1571209396</v>
      </c>
      <c r="Q281" s="69">
        <f t="shared" si="49"/>
        <v>9845.1143808062643</v>
      </c>
      <c r="R281" s="69">
        <f>G281*(1+0.06)^K281</f>
        <v>86492.781850238287</v>
      </c>
      <c r="S281" s="77">
        <f t="shared" si="50"/>
        <v>0.11382584962815763</v>
      </c>
    </row>
    <row r="282" spans="1:19" ht="15.5" x14ac:dyDescent="0.35">
      <c r="A282" s="3" t="s">
        <v>643</v>
      </c>
      <c r="B282" s="16" t="s">
        <v>3191</v>
      </c>
      <c r="C282" s="17" t="s">
        <v>1491</v>
      </c>
      <c r="D282" s="17" t="str">
        <f t="shared" si="44"/>
        <v>05/06/83</v>
      </c>
      <c r="E282" s="3" t="s">
        <v>3858</v>
      </c>
      <c r="F282" s="6">
        <v>45508.799999999996</v>
      </c>
      <c r="G282" s="6">
        <f>IF(F282=0,$Y$3,F282)</f>
        <v>45508.799999999996</v>
      </c>
      <c r="H282" s="79">
        <f t="shared" si="41"/>
        <v>12</v>
      </c>
      <c r="I282">
        <f t="shared" si="42"/>
        <v>39</v>
      </c>
      <c r="J282">
        <f t="shared" si="43"/>
        <v>3</v>
      </c>
      <c r="K282">
        <f t="shared" si="45"/>
        <v>26</v>
      </c>
      <c r="L282" s="80">
        <f t="shared" si="46"/>
        <v>10</v>
      </c>
      <c r="M282" s="80">
        <f t="shared" si="47"/>
        <v>36</v>
      </c>
      <c r="N282">
        <f t="shared" si="48"/>
        <v>38210.066027660403</v>
      </c>
      <c r="O282" s="87">
        <f>(((1-((1+$W$11)/(1+$W$10))^(6*(J282+K282)))/($W$10-$W$11))*(1+$W$10)^(6*(J282+K282)))</f>
        <v>1072.3399666941964</v>
      </c>
      <c r="P282" s="69">
        <f>N282*0.065*O282</f>
        <v>2663321.7605464864</v>
      </c>
      <c r="Q282" s="69">
        <f t="shared" si="49"/>
        <v>17755.478403643243</v>
      </c>
      <c r="R282" s="69">
        <f>G282*(1+0.06)^K282</f>
        <v>207036.95938330219</v>
      </c>
      <c r="S282" s="77">
        <f t="shared" si="50"/>
        <v>8.5759945743654725E-2</v>
      </c>
    </row>
    <row r="283" spans="1:19" ht="15.5" x14ac:dyDescent="0.35">
      <c r="A283" s="3" t="s">
        <v>645</v>
      </c>
      <c r="B283" s="16" t="s">
        <v>3193</v>
      </c>
      <c r="C283" s="17" t="s">
        <v>1493</v>
      </c>
      <c r="D283" s="17" t="str">
        <f t="shared" si="44"/>
        <v>05/10/64</v>
      </c>
      <c r="E283" s="3" t="s">
        <v>3859</v>
      </c>
      <c r="F283" s="6">
        <v>24602.415999999997</v>
      </c>
      <c r="G283" s="6">
        <f>IF(F283=0,$Y$3,F283)</f>
        <v>24602.415999999997</v>
      </c>
      <c r="H283" s="79">
        <f t="shared" si="41"/>
        <v>14</v>
      </c>
      <c r="I283">
        <f t="shared" si="42"/>
        <v>58</v>
      </c>
      <c r="J283">
        <f t="shared" si="43"/>
        <v>3</v>
      </c>
      <c r="K283">
        <f t="shared" si="45"/>
        <v>7</v>
      </c>
      <c r="L283" s="80">
        <f t="shared" si="46"/>
        <v>8</v>
      </c>
      <c r="M283" s="80">
        <f t="shared" si="47"/>
        <v>15</v>
      </c>
      <c r="N283">
        <f t="shared" si="48"/>
        <v>20656.662882782424</v>
      </c>
      <c r="O283" s="87">
        <f>(((1-((1+$W$11)/(1+$W$10))^(6*(J283+K283)))/($W$10-$W$11))*(1+$W$10)^(6*(J283+K283)))</f>
        <v>111.48116095289858</v>
      </c>
      <c r="P283" s="69">
        <f>N283*0.065*O283</f>
        <v>149683.86937304016</v>
      </c>
      <c r="Q283" s="69">
        <f t="shared" si="49"/>
        <v>997.89246248693439</v>
      </c>
      <c r="R283" s="69">
        <f>G283*(1+0.06)^K283</f>
        <v>36992.937141893199</v>
      </c>
      <c r="S283" s="77">
        <f t="shared" si="50"/>
        <v>2.6975215800230587E-2</v>
      </c>
    </row>
    <row r="284" spans="1:19" ht="15.5" x14ac:dyDescent="0.35">
      <c r="A284" s="3" t="s">
        <v>647</v>
      </c>
      <c r="B284" s="16" t="s">
        <v>3195</v>
      </c>
      <c r="C284" s="17" t="s">
        <v>1495</v>
      </c>
      <c r="D284" s="17" t="str">
        <f t="shared" si="44"/>
        <v>21/11/86</v>
      </c>
      <c r="E284" s="3" t="s">
        <v>3860</v>
      </c>
      <c r="F284" s="6">
        <v>19578.815999999999</v>
      </c>
      <c r="G284" s="6">
        <f>IF(F284=0,$Y$3,F284)</f>
        <v>19578.815999999999</v>
      </c>
      <c r="H284" s="79">
        <f t="shared" si="41"/>
        <v>19</v>
      </c>
      <c r="I284">
        <f t="shared" si="42"/>
        <v>36</v>
      </c>
      <c r="J284">
        <f t="shared" si="43"/>
        <v>3</v>
      </c>
      <c r="K284">
        <f t="shared" si="45"/>
        <v>29</v>
      </c>
      <c r="L284" s="80">
        <f t="shared" si="46"/>
        <v>3</v>
      </c>
      <c r="M284" s="80">
        <f t="shared" si="47"/>
        <v>32</v>
      </c>
      <c r="N284">
        <f t="shared" si="48"/>
        <v>16438.751452541354</v>
      </c>
      <c r="O284" s="87">
        <f>(((1-((1+$W$11)/(1+$W$10))^(6*(J284+K284)))/($W$10-$W$11))*(1+$W$10)^(6*(J284+K284)))</f>
        <v>1430.2452154182549</v>
      </c>
      <c r="P284" s="69">
        <f>N284*0.065*O284</f>
        <v>1528243.9648090652</v>
      </c>
      <c r="Q284" s="69">
        <f t="shared" si="49"/>
        <v>10188.293098727101</v>
      </c>
      <c r="R284" s="69">
        <f>G284*(1+0.06)^K284</f>
        <v>106085.61969065366</v>
      </c>
      <c r="S284" s="77">
        <f t="shared" si="50"/>
        <v>9.6038399251814038E-2</v>
      </c>
    </row>
    <row r="285" spans="1:19" ht="15.5" x14ac:dyDescent="0.35">
      <c r="A285" s="3" t="s">
        <v>3863</v>
      </c>
      <c r="B285" s="16" t="s">
        <v>3864</v>
      </c>
      <c r="C285" s="17" t="s">
        <v>3866</v>
      </c>
      <c r="D285" s="17" t="str">
        <f t="shared" si="44"/>
        <v>11/10/90</v>
      </c>
      <c r="E285" s="3" t="s">
        <v>3867</v>
      </c>
      <c r="F285" s="6">
        <v>21838.144</v>
      </c>
      <c r="G285" s="6">
        <f>IF(F285=0,$Y$3,F285)</f>
        <v>21838.144</v>
      </c>
      <c r="H285" s="79">
        <f t="shared" si="41"/>
        <v>16</v>
      </c>
      <c r="I285">
        <f t="shared" si="42"/>
        <v>32</v>
      </c>
      <c r="J285">
        <f t="shared" si="43"/>
        <v>0</v>
      </c>
      <c r="K285">
        <f t="shared" si="45"/>
        <v>33</v>
      </c>
      <c r="L285" s="80">
        <f t="shared" si="46"/>
        <v>6</v>
      </c>
      <c r="M285" s="80">
        <f t="shared" si="47"/>
        <v>39</v>
      </c>
      <c r="N285">
        <f t="shared" si="48"/>
        <v>21838.144</v>
      </c>
      <c r="O285" s="87">
        <f>(((1-((1+$W$11)/(1+$W$10))^(6*(J285+K285)))/($W$10-$W$11))*(1+$W$10)^(6*(J285+K285)))</f>
        <v>1571.1687390454781</v>
      </c>
      <c r="P285" s="69">
        <f>N285*0.065*O285</f>
        <v>2230241.5961522823</v>
      </c>
      <c r="Q285" s="69">
        <f t="shared" si="49"/>
        <v>14868.277307681883</v>
      </c>
      <c r="R285" s="69">
        <f>G285*(1+0.06)^K285</f>
        <v>149385.78690549586</v>
      </c>
      <c r="S285" s="77">
        <f t="shared" si="50"/>
        <v>9.952939711117112E-2</v>
      </c>
    </row>
    <row r="286" spans="1:19" ht="15.5" x14ac:dyDescent="0.35">
      <c r="A286" s="3" t="s">
        <v>658</v>
      </c>
      <c r="B286" s="16" t="s">
        <v>3206</v>
      </c>
      <c r="C286" s="17" t="s">
        <v>1504</v>
      </c>
      <c r="D286" s="17" t="str">
        <f t="shared" si="44"/>
        <v>21/04/89</v>
      </c>
      <c r="E286" s="3" t="s">
        <v>3868</v>
      </c>
      <c r="F286" s="6">
        <v>70323.712</v>
      </c>
      <c r="G286" s="6">
        <f>IF(F286=0,$Y$3,F286)</f>
        <v>70323.712</v>
      </c>
      <c r="H286" s="79">
        <f t="shared" si="41"/>
        <v>11</v>
      </c>
      <c r="I286">
        <f t="shared" si="42"/>
        <v>33</v>
      </c>
      <c r="J286">
        <f t="shared" si="43"/>
        <v>3</v>
      </c>
      <c r="K286">
        <f t="shared" si="45"/>
        <v>32</v>
      </c>
      <c r="L286" s="80">
        <f t="shared" si="46"/>
        <v>11</v>
      </c>
      <c r="M286" s="80">
        <f t="shared" si="47"/>
        <v>43</v>
      </c>
      <c r="N286">
        <f t="shared" si="48"/>
        <v>59045.144649610062</v>
      </c>
      <c r="O286" s="87">
        <f>(((1-((1+$W$11)/(1+$W$10))^(6*(J286+K286)))/($W$10-$W$11))*(1+$W$10)^(6*(J286+K286)))</f>
        <v>1890.963685662718</v>
      </c>
      <c r="P286" s="69">
        <f>N286*0.065*O286</f>
        <v>7257394.5825624727</v>
      </c>
      <c r="Q286" s="69">
        <f t="shared" si="49"/>
        <v>48382.630550416485</v>
      </c>
      <c r="R286" s="69">
        <f>G286*(1+0.06)^K286</f>
        <v>453826.10644154018</v>
      </c>
      <c r="S286" s="77">
        <f t="shared" si="50"/>
        <v>0.10661050535365998</v>
      </c>
    </row>
    <row r="287" spans="1:19" ht="15.5" x14ac:dyDescent="0.35">
      <c r="A287" s="3" t="s">
        <v>660</v>
      </c>
      <c r="B287" s="16" t="s">
        <v>3208</v>
      </c>
      <c r="C287" s="17" t="s">
        <v>1501</v>
      </c>
      <c r="D287" s="17" t="str">
        <f t="shared" si="44"/>
        <v>01/07/74</v>
      </c>
      <c r="E287" s="3" t="s">
        <v>3869</v>
      </c>
      <c r="F287" s="6">
        <v>19245.936000000002</v>
      </c>
      <c r="G287" s="6">
        <f>IF(F287=0,$Y$3,F287)</f>
        <v>19245.936000000002</v>
      </c>
      <c r="H287" s="79">
        <f t="shared" si="41"/>
        <v>13</v>
      </c>
      <c r="I287">
        <f t="shared" si="42"/>
        <v>48</v>
      </c>
      <c r="J287">
        <f t="shared" si="43"/>
        <v>2</v>
      </c>
      <c r="K287">
        <f t="shared" si="45"/>
        <v>17</v>
      </c>
      <c r="L287" s="80">
        <f t="shared" si="46"/>
        <v>9</v>
      </c>
      <c r="M287" s="80">
        <f t="shared" si="47"/>
        <v>26</v>
      </c>
      <c r="N287">
        <f t="shared" si="48"/>
        <v>17128.814524741902</v>
      </c>
      <c r="O287" s="87">
        <f>(((1-((1+$W$11)/(1+$W$10))^(6*(J287+K287)))/($W$10-$W$11))*(1+$W$10)^(6*(J287+K287)))</f>
        <v>373.65839639087795</v>
      </c>
      <c r="P287" s="69">
        <f>N287*0.065*O287</f>
        <v>416021.14888046944</v>
      </c>
      <c r="Q287" s="69">
        <f t="shared" si="49"/>
        <v>2773.4743258697963</v>
      </c>
      <c r="R287" s="69">
        <f>G287*(1+0.06)^K287</f>
        <v>51824.932697409815</v>
      </c>
      <c r="S287" s="77">
        <f t="shared" si="50"/>
        <v>5.3516216645437403E-2</v>
      </c>
    </row>
    <row r="288" spans="1:19" ht="15.5" x14ac:dyDescent="0.35">
      <c r="A288" s="3" t="s">
        <v>661</v>
      </c>
      <c r="B288" s="16" t="s">
        <v>3209</v>
      </c>
      <c r="C288" s="17" t="s">
        <v>1506</v>
      </c>
      <c r="D288" s="17" t="str">
        <f t="shared" si="44"/>
        <v>08/02/78</v>
      </c>
      <c r="E288" s="3" t="s">
        <v>3870</v>
      </c>
      <c r="F288" s="6">
        <v>5624.6080000000002</v>
      </c>
      <c r="G288" s="6">
        <f>IF(F288=0,$Y$3,F288)</f>
        <v>5624.6080000000002</v>
      </c>
      <c r="H288" s="79">
        <f t="shared" si="41"/>
        <v>16</v>
      </c>
      <c r="I288">
        <f t="shared" si="42"/>
        <v>44</v>
      </c>
      <c r="J288">
        <f t="shared" si="43"/>
        <v>3</v>
      </c>
      <c r="K288">
        <f t="shared" si="45"/>
        <v>21</v>
      </c>
      <c r="L288" s="80">
        <f t="shared" si="46"/>
        <v>6</v>
      </c>
      <c r="M288" s="80">
        <f t="shared" si="47"/>
        <v>27</v>
      </c>
      <c r="N288">
        <f t="shared" si="48"/>
        <v>4722.5293362977482</v>
      </c>
      <c r="O288" s="87">
        <f>(((1-((1+$W$11)/(1+$W$10))^(6*(J288+K288)))/($W$10-$W$11))*(1+$W$10)^(6*(J288+K288)))</f>
        <v>647.14153879984769</v>
      </c>
      <c r="P288" s="69">
        <f>N288*0.065*O288</f>
        <v>198649.41861174462</v>
      </c>
      <c r="Q288" s="69">
        <f t="shared" si="49"/>
        <v>1324.3294574116308</v>
      </c>
      <c r="R288" s="69">
        <f>G288*(1+0.06)^K288</f>
        <v>19121.212624137697</v>
      </c>
      <c r="S288" s="77">
        <f t="shared" si="50"/>
        <v>6.9259700388450321E-2</v>
      </c>
    </row>
    <row r="289" spans="1:19" ht="15.5" x14ac:dyDescent="0.35">
      <c r="A289" s="3" t="s">
        <v>663</v>
      </c>
      <c r="B289" s="16" t="s">
        <v>3211</v>
      </c>
      <c r="C289" s="17" t="s">
        <v>1508</v>
      </c>
      <c r="D289" s="17" t="str">
        <f t="shared" si="44"/>
        <v>03/02/86</v>
      </c>
      <c r="E289" s="3" t="s">
        <v>3871</v>
      </c>
      <c r="F289" s="6">
        <v>25561.536</v>
      </c>
      <c r="G289" s="6">
        <f>IF(F289=0,$Y$3,F289)</f>
        <v>25561.536</v>
      </c>
      <c r="H289" s="79">
        <f t="shared" si="41"/>
        <v>3</v>
      </c>
      <c r="I289">
        <f t="shared" si="42"/>
        <v>36</v>
      </c>
      <c r="J289">
        <f t="shared" si="43"/>
        <v>3</v>
      </c>
      <c r="K289">
        <f t="shared" si="45"/>
        <v>29</v>
      </c>
      <c r="L289" s="80">
        <f t="shared" si="46"/>
        <v>19</v>
      </c>
      <c r="M289" s="80">
        <f t="shared" si="47"/>
        <v>48</v>
      </c>
      <c r="N289">
        <f t="shared" si="48"/>
        <v>21461.958529524367</v>
      </c>
      <c r="O289" s="87">
        <f>(((1-((1+$W$11)/(1+$W$10))^(6*(J289+K289)))/($W$10-$W$11))*(1+$W$10)^(6*(J289+K289)))</f>
        <v>1430.2452154182549</v>
      </c>
      <c r="P289" s="69">
        <f>N289*0.065*O289</f>
        <v>1995231.1275232201</v>
      </c>
      <c r="Q289" s="69">
        <f t="shared" si="49"/>
        <v>13301.540850154801</v>
      </c>
      <c r="R289" s="69">
        <f>G289*(1+0.06)^K289</f>
        <v>138502.31734160802</v>
      </c>
      <c r="S289" s="77">
        <f t="shared" si="50"/>
        <v>9.6038399251814052E-2</v>
      </c>
    </row>
    <row r="290" spans="1:19" ht="15.5" x14ac:dyDescent="0.35">
      <c r="A290" s="3" t="s">
        <v>665</v>
      </c>
      <c r="B290" s="16" t="s">
        <v>3213</v>
      </c>
      <c r="C290" s="17" t="s">
        <v>1510</v>
      </c>
      <c r="D290" s="17" t="str">
        <f t="shared" si="44"/>
        <v>03/07/85</v>
      </c>
      <c r="E290" s="3" t="s">
        <v>3872</v>
      </c>
      <c r="F290" s="6">
        <v>18963.823999999997</v>
      </c>
      <c r="G290" s="6">
        <f>IF(F290=0,$Y$3,F290)</f>
        <v>18963.823999999997</v>
      </c>
      <c r="H290" s="79">
        <f t="shared" si="41"/>
        <v>7</v>
      </c>
      <c r="I290">
        <f t="shared" si="42"/>
        <v>37</v>
      </c>
      <c r="J290">
        <f t="shared" si="43"/>
        <v>2</v>
      </c>
      <c r="K290">
        <f t="shared" si="45"/>
        <v>28</v>
      </c>
      <c r="L290" s="80">
        <f t="shared" si="46"/>
        <v>15</v>
      </c>
      <c r="M290" s="80">
        <f t="shared" si="47"/>
        <v>43</v>
      </c>
      <c r="N290">
        <f t="shared" si="48"/>
        <v>16877.7358490566</v>
      </c>
      <c r="O290" s="87">
        <f>(((1-((1+$W$11)/(1+$W$10))^(6*(J290+K290)))/($W$10-$W$11))*(1+$W$10)^(6*(J290+K290)))</f>
        <v>1181.6655698699749</v>
      </c>
      <c r="P290" s="69">
        <f>N290*0.065*O290</f>
        <v>1296349.5577623742</v>
      </c>
      <c r="Q290" s="69">
        <f t="shared" si="49"/>
        <v>8642.3303850824941</v>
      </c>
      <c r="R290" s="69">
        <f>G290*(1+0.06)^K290</f>
        <v>96937.126867818253</v>
      </c>
      <c r="S290" s="77">
        <f t="shared" si="50"/>
        <v>8.915397706048192E-2</v>
      </c>
    </row>
    <row r="291" spans="1:19" ht="15.5" x14ac:dyDescent="0.35">
      <c r="A291" s="3" t="s">
        <v>666</v>
      </c>
      <c r="B291" s="16" t="s">
        <v>3214</v>
      </c>
      <c r="C291" s="17" t="s">
        <v>1511</v>
      </c>
      <c r="D291" s="17" t="str">
        <f t="shared" si="44"/>
        <v>03/01/93</v>
      </c>
      <c r="E291" s="3" t="s">
        <v>3873</v>
      </c>
      <c r="F291" s="6">
        <v>12749.759999999998</v>
      </c>
      <c r="G291" s="6">
        <f>IF(F291=0,$Y$3,F291)</f>
        <v>12749.759999999998</v>
      </c>
      <c r="H291" s="79">
        <f t="shared" si="41"/>
        <v>11</v>
      </c>
      <c r="I291">
        <f t="shared" si="42"/>
        <v>29</v>
      </c>
      <c r="J291">
        <f t="shared" si="43"/>
        <v>0</v>
      </c>
      <c r="K291">
        <f t="shared" si="45"/>
        <v>36</v>
      </c>
      <c r="L291" s="80">
        <f t="shared" si="46"/>
        <v>11</v>
      </c>
      <c r="M291" s="80">
        <f t="shared" si="47"/>
        <v>47</v>
      </c>
      <c r="N291">
        <f t="shared" si="48"/>
        <v>12749.759999999998</v>
      </c>
      <c r="O291" s="87">
        <f>(((1-((1+$W$11)/(1+$W$10))^(6*(J291+K291)))/($W$10-$W$11))*(1+$W$10)^(6*(J291+K291)))</f>
        <v>2071.9321695914473</v>
      </c>
      <c r="P291" s="69">
        <f>N291*0.065*O291</f>
        <v>1717081.4634070662</v>
      </c>
      <c r="Q291" s="69">
        <f t="shared" si="49"/>
        <v>11447.209756047108</v>
      </c>
      <c r="R291" s="69">
        <f>G291*(1+0.06)^K291</f>
        <v>103875.50765762143</v>
      </c>
      <c r="S291" s="77">
        <f t="shared" si="50"/>
        <v>0.1102012400630344</v>
      </c>
    </row>
    <row r="292" spans="1:19" ht="15.5" x14ac:dyDescent="0.35">
      <c r="A292" s="3" t="s">
        <v>667</v>
      </c>
      <c r="B292" s="16" t="s">
        <v>3215</v>
      </c>
      <c r="C292" s="17" t="s">
        <v>1512</v>
      </c>
      <c r="D292" s="17" t="str">
        <f t="shared" si="44"/>
        <v>18/05/90</v>
      </c>
      <c r="E292" s="3" t="s">
        <v>3874</v>
      </c>
      <c r="F292" s="6">
        <v>15261.711999999998</v>
      </c>
      <c r="G292" s="6">
        <f>IF(F292=0,$Y$3,F292)</f>
        <v>15261.711999999998</v>
      </c>
      <c r="H292" s="79">
        <f t="shared" si="41"/>
        <v>8</v>
      </c>
      <c r="I292">
        <f t="shared" si="42"/>
        <v>32</v>
      </c>
      <c r="J292">
        <f t="shared" si="43"/>
        <v>3</v>
      </c>
      <c r="K292">
        <f t="shared" si="45"/>
        <v>33</v>
      </c>
      <c r="L292" s="80">
        <f t="shared" si="46"/>
        <v>14</v>
      </c>
      <c r="M292" s="80">
        <f t="shared" si="47"/>
        <v>47</v>
      </c>
      <c r="N292">
        <f t="shared" si="48"/>
        <v>12814.027687285472</v>
      </c>
      <c r="O292" s="87">
        <f>(((1-((1+$W$11)/(1+$W$10))^(6*(J292+K292)))/($W$10-$W$11))*(1+$W$10)^(6*(J292+K292)))</f>
        <v>2071.9321695914473</v>
      </c>
      <c r="P292" s="69">
        <f>N292*0.065*O292</f>
        <v>1725736.7521759472</v>
      </c>
      <c r="Q292" s="69">
        <f t="shared" si="49"/>
        <v>11504.911681172982</v>
      </c>
      <c r="R292" s="69">
        <f>G292*(1+0.06)^K292</f>
        <v>104399.11270138381</v>
      </c>
      <c r="S292" s="77">
        <f t="shared" si="50"/>
        <v>0.1102012400630344</v>
      </c>
    </row>
    <row r="293" spans="1:19" ht="15.5" x14ac:dyDescent="0.35">
      <c r="A293" s="3" t="s">
        <v>675</v>
      </c>
      <c r="B293" s="16" t="s">
        <v>3223</v>
      </c>
      <c r="C293" s="17" t="s">
        <v>1520</v>
      </c>
      <c r="D293" s="17" t="str">
        <f t="shared" si="44"/>
        <v>02/03/88</v>
      </c>
      <c r="E293" s="3" t="s">
        <v>3875</v>
      </c>
      <c r="F293" s="6">
        <v>13846.288</v>
      </c>
      <c r="G293" s="6">
        <f>IF(F293=0,$Y$3,F293)</f>
        <v>13846.288</v>
      </c>
      <c r="H293" s="79">
        <f t="shared" si="41"/>
        <v>7</v>
      </c>
      <c r="I293">
        <f t="shared" si="42"/>
        <v>34</v>
      </c>
      <c r="J293">
        <f t="shared" si="43"/>
        <v>3</v>
      </c>
      <c r="K293">
        <f t="shared" si="45"/>
        <v>31</v>
      </c>
      <c r="L293" s="80">
        <f t="shared" si="46"/>
        <v>15</v>
      </c>
      <c r="M293" s="80">
        <f t="shared" si="47"/>
        <v>46</v>
      </c>
      <c r="N293">
        <f t="shared" si="48"/>
        <v>11625.610403218761</v>
      </c>
      <c r="O293" s="87">
        <f>(((1-((1+$W$11)/(1+$W$10))^(6*(J293+K293)))/($W$10-$W$11))*(1+$W$10)^(6*(J293+K293)))</f>
        <v>1724.4052908394829</v>
      </c>
      <c r="P293" s="69">
        <f>N293*0.065*O293</f>
        <v>1303072.1657556826</v>
      </c>
      <c r="Q293" s="69">
        <f t="shared" si="49"/>
        <v>8687.1477717045509</v>
      </c>
      <c r="R293" s="69">
        <f>G293*(1+0.06)^K293</f>
        <v>84297.594879951706</v>
      </c>
      <c r="S293" s="77">
        <f t="shared" si="50"/>
        <v>0.10305332891259741</v>
      </c>
    </row>
    <row r="294" spans="1:19" ht="15.5" x14ac:dyDescent="0.35">
      <c r="A294" s="3" t="s">
        <v>676</v>
      </c>
      <c r="B294" s="16" t="s">
        <v>3224</v>
      </c>
      <c r="C294" s="17" t="s">
        <v>1521</v>
      </c>
      <c r="D294" s="17" t="str">
        <f t="shared" si="44"/>
        <v>19/10/95</v>
      </c>
      <c r="E294" s="3" t="s">
        <v>3876</v>
      </c>
      <c r="F294" s="6">
        <v>16558.576000000001</v>
      </c>
      <c r="G294" s="6">
        <f>IF(F294=0,$Y$3,F294)</f>
        <v>16558.576000000001</v>
      </c>
      <c r="H294" s="79">
        <f t="shared" si="41"/>
        <v>13</v>
      </c>
      <c r="I294">
        <f t="shared" si="42"/>
        <v>27</v>
      </c>
      <c r="J294">
        <f t="shared" si="43"/>
        <v>3</v>
      </c>
      <c r="K294">
        <f t="shared" si="45"/>
        <v>38</v>
      </c>
      <c r="L294" s="80">
        <f t="shared" si="46"/>
        <v>9</v>
      </c>
      <c r="M294" s="80">
        <f t="shared" si="47"/>
        <v>47</v>
      </c>
      <c r="N294">
        <f t="shared" si="48"/>
        <v>13902.899709155878</v>
      </c>
      <c r="O294" s="87">
        <f>(((1-((1+$W$11)/(1+$W$10))^(6*(J294+K294)))/($W$10-$W$11))*(1+$W$10)^(6*(J294+K294)))</f>
        <v>3237.3816560572077</v>
      </c>
      <c r="P294" s="69">
        <f>N294*0.065*O294</f>
        <v>2925584.5114875813</v>
      </c>
      <c r="Q294" s="69">
        <f t="shared" si="49"/>
        <v>19503.896743250541</v>
      </c>
      <c r="R294" s="69">
        <f>G294*(1+0.06)^K294</f>
        <v>151581.38321151916</v>
      </c>
      <c r="S294" s="77">
        <f t="shared" si="50"/>
        <v>0.12866947332202716</v>
      </c>
    </row>
    <row r="295" spans="1:19" ht="15.5" x14ac:dyDescent="0.35">
      <c r="A295" s="3" t="s">
        <v>678</v>
      </c>
      <c r="B295" s="16" t="s">
        <v>3226</v>
      </c>
      <c r="C295" s="17" t="s">
        <v>1523</v>
      </c>
      <c r="D295" s="17" t="str">
        <f t="shared" si="44"/>
        <v>07/04/83</v>
      </c>
      <c r="E295" s="3" t="s">
        <v>3877</v>
      </c>
      <c r="F295" s="6">
        <v>30752.944</v>
      </c>
      <c r="G295" s="6">
        <f>IF(F295=0,$Y$3,F295)</f>
        <v>30752.944</v>
      </c>
      <c r="H295" s="79">
        <f t="shared" si="41"/>
        <v>6</v>
      </c>
      <c r="I295">
        <f t="shared" si="42"/>
        <v>39</v>
      </c>
      <c r="J295">
        <f t="shared" si="43"/>
        <v>3</v>
      </c>
      <c r="K295">
        <f t="shared" si="45"/>
        <v>26</v>
      </c>
      <c r="L295" s="80">
        <f t="shared" si="46"/>
        <v>16</v>
      </c>
      <c r="M295" s="80">
        <f t="shared" si="47"/>
        <v>42</v>
      </c>
      <c r="N295">
        <f t="shared" si="48"/>
        <v>25820.764792412519</v>
      </c>
      <c r="O295" s="87">
        <f>(((1-((1+$W$11)/(1+$W$10))^(6*(J295+K295)))/($W$10-$W$11))*(1+$W$10)^(6*(J295+K295)))</f>
        <v>1072.3399666941964</v>
      </c>
      <c r="P295" s="69">
        <f>N295*0.065*O295</f>
        <v>1799761.4737384308</v>
      </c>
      <c r="Q295" s="69">
        <f t="shared" si="49"/>
        <v>11998.409824922872</v>
      </c>
      <c r="R295" s="69">
        <f>G295*(1+0.06)^K295</f>
        <v>139906.91949348187</v>
      </c>
      <c r="S295" s="77">
        <f t="shared" si="50"/>
        <v>8.5759945743654711E-2</v>
      </c>
    </row>
    <row r="296" spans="1:19" ht="15.5" x14ac:dyDescent="0.35">
      <c r="A296" s="3" t="s">
        <v>680</v>
      </c>
      <c r="B296" s="16" t="s">
        <v>3228</v>
      </c>
      <c r="C296" s="17" t="s">
        <v>1525</v>
      </c>
      <c r="D296" s="17" t="str">
        <f t="shared" si="44"/>
        <v>20/06/95</v>
      </c>
      <c r="E296" s="3" t="s">
        <v>3877</v>
      </c>
      <c r="F296" s="6">
        <v>12625.423999999999</v>
      </c>
      <c r="G296" s="6">
        <f>IF(F296=0,$Y$3,F296)</f>
        <v>12625.423999999999</v>
      </c>
      <c r="H296" s="79">
        <f t="shared" si="41"/>
        <v>14</v>
      </c>
      <c r="I296">
        <f t="shared" si="42"/>
        <v>27</v>
      </c>
      <c r="J296">
        <f t="shared" si="43"/>
        <v>3</v>
      </c>
      <c r="K296">
        <f t="shared" si="45"/>
        <v>38</v>
      </c>
      <c r="L296" s="80">
        <f t="shared" si="46"/>
        <v>8</v>
      </c>
      <c r="M296" s="80">
        <f t="shared" si="47"/>
        <v>46</v>
      </c>
      <c r="N296">
        <f t="shared" si="48"/>
        <v>10600.549446858813</v>
      </c>
      <c r="O296" s="87">
        <f>(((1-((1+$W$11)/(1+$W$10))^(6*(J296+K296)))/($W$10-$W$11))*(1+$W$10)^(6*(J296+K296)))</f>
        <v>3237.3816560572077</v>
      </c>
      <c r="P296" s="69">
        <f>N296*0.065*O296</f>
        <v>2230671.5810202267</v>
      </c>
      <c r="Q296" s="69">
        <f t="shared" si="49"/>
        <v>14871.143873468178</v>
      </c>
      <c r="R296" s="69">
        <f>G296*(1+0.06)^K296</f>
        <v>115576.31728428282</v>
      </c>
      <c r="S296" s="77">
        <f t="shared" si="50"/>
        <v>0.12866947332202719</v>
      </c>
    </row>
    <row r="297" spans="1:19" ht="15.5" x14ac:dyDescent="0.35">
      <c r="A297" s="3" t="s">
        <v>682</v>
      </c>
      <c r="B297" s="16" t="s">
        <v>3230</v>
      </c>
      <c r="C297" s="17" t="s">
        <v>1526</v>
      </c>
      <c r="D297" s="17" t="str">
        <f t="shared" si="44"/>
        <v>03/04/92</v>
      </c>
      <c r="E297" s="3" t="s">
        <v>3879</v>
      </c>
      <c r="F297" s="6">
        <v>15991.615999999998</v>
      </c>
      <c r="G297" s="6">
        <f>IF(F297=0,$Y$3,F297)</f>
        <v>15991.615999999998</v>
      </c>
      <c r="H297" s="79">
        <f t="shared" si="41"/>
        <v>15</v>
      </c>
      <c r="I297">
        <f t="shared" si="42"/>
        <v>30</v>
      </c>
      <c r="J297">
        <f t="shared" si="43"/>
        <v>3</v>
      </c>
      <c r="K297">
        <f t="shared" si="45"/>
        <v>35</v>
      </c>
      <c r="L297" s="80">
        <f t="shared" si="46"/>
        <v>7</v>
      </c>
      <c r="M297" s="80">
        <f t="shared" si="47"/>
        <v>42</v>
      </c>
      <c r="N297">
        <f t="shared" si="48"/>
        <v>13426.869160447881</v>
      </c>
      <c r="O297" s="87">
        <f>(((1-((1+$W$11)/(1+$W$10))^(6*(J297+K297)))/($W$10-$W$11))*(1+$W$10)^(6*(J297+K297)))</f>
        <v>2481.8865373152853</v>
      </c>
      <c r="P297" s="69">
        <f>N297*0.065*O297</f>
        <v>2166057.7774946098</v>
      </c>
      <c r="Q297" s="69">
        <f t="shared" si="49"/>
        <v>14440.3851832974</v>
      </c>
      <c r="R297" s="69">
        <f>G297*(1+0.06)^K297</f>
        <v>122912.94852533085</v>
      </c>
      <c r="S297" s="77">
        <f t="shared" si="50"/>
        <v>0.11748465362314055</v>
      </c>
    </row>
    <row r="298" spans="1:19" ht="15.5" x14ac:dyDescent="0.35">
      <c r="A298" s="3" t="s">
        <v>683</v>
      </c>
      <c r="B298" s="16" t="s">
        <v>3231</v>
      </c>
      <c r="C298" s="17" t="s">
        <v>1197</v>
      </c>
      <c r="D298" s="17" t="str">
        <f t="shared" si="44"/>
        <v>29/10/61</v>
      </c>
      <c r="E298" s="3" t="s">
        <v>3880</v>
      </c>
      <c r="F298" s="6">
        <v>9362.8960000000006</v>
      </c>
      <c r="G298" s="6">
        <f>IF(F298=0,$Y$3,F298)</f>
        <v>9362.8960000000006</v>
      </c>
      <c r="H298" s="79">
        <f t="shared" si="41"/>
        <v>19</v>
      </c>
      <c r="I298">
        <f t="shared" si="42"/>
        <v>61</v>
      </c>
      <c r="J298">
        <f t="shared" si="43"/>
        <v>1</v>
      </c>
      <c r="K298">
        <f t="shared" si="45"/>
        <v>4</v>
      </c>
      <c r="L298" s="80">
        <f t="shared" si="46"/>
        <v>3</v>
      </c>
      <c r="M298" s="80">
        <f t="shared" si="47"/>
        <v>7</v>
      </c>
      <c r="N298">
        <f t="shared" si="48"/>
        <v>8832.9207547169808</v>
      </c>
      <c r="O298" s="87">
        <f>(((1-((1+$W$11)/(1+$W$10))^(6*(J298+K298)))/($W$10-$W$11))*(1+$W$10)^(6*(J298+K298)))</f>
        <v>40.675016031144061</v>
      </c>
      <c r="P298" s="69">
        <f>N298*0.065*O298</f>
        <v>23353.14756449599</v>
      </c>
      <c r="Q298" s="69">
        <f t="shared" si="49"/>
        <v>155.68765042997327</v>
      </c>
      <c r="R298" s="69">
        <f>G298*(1+0.06)^K298</f>
        <v>11820.440478876164</v>
      </c>
      <c r="S298" s="77">
        <f t="shared" si="50"/>
        <v>1.3171053202983124E-2</v>
      </c>
    </row>
    <row r="299" spans="1:19" ht="15.5" x14ac:dyDescent="0.35">
      <c r="A299" s="3" t="s">
        <v>685</v>
      </c>
      <c r="B299" s="16" t="s">
        <v>3233</v>
      </c>
      <c r="C299" s="17" t="s">
        <v>1528</v>
      </c>
      <c r="D299" s="17" t="str">
        <f t="shared" si="44"/>
        <v>05/04/95</v>
      </c>
      <c r="E299" s="3" t="s">
        <v>3881</v>
      </c>
      <c r="F299" s="6">
        <v>8469.44</v>
      </c>
      <c r="G299" s="6">
        <f>IF(F299=0,$Y$3,F299)</f>
        <v>8469.44</v>
      </c>
      <c r="H299" s="79">
        <f t="shared" si="41"/>
        <v>13</v>
      </c>
      <c r="I299">
        <f t="shared" si="42"/>
        <v>27</v>
      </c>
      <c r="J299">
        <f t="shared" si="43"/>
        <v>3</v>
      </c>
      <c r="K299">
        <f t="shared" si="45"/>
        <v>38</v>
      </c>
      <c r="L299" s="80">
        <f t="shared" si="46"/>
        <v>9</v>
      </c>
      <c r="M299" s="80">
        <f t="shared" si="47"/>
        <v>47</v>
      </c>
      <c r="N299">
        <f t="shared" si="48"/>
        <v>7111.1051404850969</v>
      </c>
      <c r="O299" s="87">
        <f>(((1-((1+$W$11)/(1+$W$10))^(6*(J299+K299)))/($W$10-$W$11))*(1+$W$10)^(6*(J299+K299)))</f>
        <v>3237.3816560572077</v>
      </c>
      <c r="P299" s="69">
        <f>N299*0.065*O299</f>
        <v>1496388.4868465369</v>
      </c>
      <c r="Q299" s="69">
        <f t="shared" si="49"/>
        <v>9975.9232456435784</v>
      </c>
      <c r="R299" s="69">
        <f>G299*(1+0.06)^K299</f>
        <v>77531.390998052535</v>
      </c>
      <c r="S299" s="77">
        <f t="shared" si="50"/>
        <v>0.12866947332202716</v>
      </c>
    </row>
    <row r="300" spans="1:19" ht="15.5" x14ac:dyDescent="0.35">
      <c r="A300" s="3" t="s">
        <v>687</v>
      </c>
      <c r="B300" s="16" t="s">
        <v>3235</v>
      </c>
      <c r="C300" s="17" t="s">
        <v>1530</v>
      </c>
      <c r="D300" s="17" t="str">
        <f t="shared" si="44"/>
        <v>03/07/73</v>
      </c>
      <c r="E300" s="3" t="s">
        <v>3882</v>
      </c>
      <c r="F300" s="6">
        <v>5624.6080000000002</v>
      </c>
      <c r="G300" s="6">
        <f>IF(F300=0,$Y$3,F300)</f>
        <v>5624.6080000000002</v>
      </c>
      <c r="H300" s="79">
        <f t="shared" si="41"/>
        <v>19</v>
      </c>
      <c r="I300">
        <f t="shared" si="42"/>
        <v>49</v>
      </c>
      <c r="J300">
        <f t="shared" si="43"/>
        <v>3</v>
      </c>
      <c r="K300">
        <f t="shared" si="45"/>
        <v>16</v>
      </c>
      <c r="L300" s="80">
        <f t="shared" si="46"/>
        <v>3</v>
      </c>
      <c r="M300" s="80">
        <f t="shared" si="47"/>
        <v>19</v>
      </c>
      <c r="N300">
        <f t="shared" si="48"/>
        <v>4722.5293362977482</v>
      </c>
      <c r="O300" s="87">
        <f>(((1-((1+$W$11)/(1+$W$10))^(6*(J300+K300)))/($W$10-$W$11))*(1+$W$10)^(6*(J300+K300)))</f>
        <v>373.65839639087795</v>
      </c>
      <c r="P300" s="69">
        <f>N300*0.065*O300</f>
        <v>114699.82801614309</v>
      </c>
      <c r="Q300" s="69">
        <f t="shared" si="49"/>
        <v>764.66552010762064</v>
      </c>
      <c r="R300" s="69">
        <f>G300*(1+0.06)^K300</f>
        <v>14288.482408496517</v>
      </c>
      <c r="S300" s="77">
        <f t="shared" si="50"/>
        <v>5.3516216645437389E-2</v>
      </c>
    </row>
    <row r="301" spans="1:19" ht="15.5" x14ac:dyDescent="0.35">
      <c r="A301" s="3" t="s">
        <v>688</v>
      </c>
      <c r="B301" s="16" t="s">
        <v>3236</v>
      </c>
      <c r="C301" s="17" t="s">
        <v>1531</v>
      </c>
      <c r="D301" s="17" t="str">
        <f t="shared" si="44"/>
        <v>15/05/84</v>
      </c>
      <c r="E301" s="3" t="s">
        <v>3883</v>
      </c>
      <c r="F301" s="6">
        <v>7120.2879999999996</v>
      </c>
      <c r="G301" s="6">
        <f>IF(F301=0,$Y$3,F301)</f>
        <v>7120.2879999999996</v>
      </c>
      <c r="H301" s="79">
        <f t="shared" si="41"/>
        <v>2</v>
      </c>
      <c r="I301">
        <f t="shared" si="42"/>
        <v>38</v>
      </c>
      <c r="J301">
        <f t="shared" si="43"/>
        <v>3</v>
      </c>
      <c r="K301">
        <f t="shared" si="45"/>
        <v>27</v>
      </c>
      <c r="L301" s="80">
        <f t="shared" si="46"/>
        <v>20</v>
      </c>
      <c r="M301" s="80">
        <f t="shared" si="47"/>
        <v>47</v>
      </c>
      <c r="N301">
        <f t="shared" si="48"/>
        <v>5978.3311055435006</v>
      </c>
      <c r="O301" s="87">
        <f>(((1-((1+$W$11)/(1+$W$10))^(6*(J301+K301)))/($W$10-$W$11))*(1+$W$10)^(6*(J301+K301)))</f>
        <v>1181.6655698699749</v>
      </c>
      <c r="P301" s="69">
        <f>N301*0.065*O301</f>
        <v>459185.22212572471</v>
      </c>
      <c r="Q301" s="69">
        <f t="shared" si="49"/>
        <v>3061.2348141714979</v>
      </c>
      <c r="R301" s="69">
        <f>G301*(1+0.06)^K301</f>
        <v>34336.491933441866</v>
      </c>
      <c r="S301" s="77">
        <f t="shared" si="50"/>
        <v>8.9153977060481893E-2</v>
      </c>
    </row>
    <row r="302" spans="1:19" ht="15.5" x14ac:dyDescent="0.35">
      <c r="A302" s="3" t="s">
        <v>690</v>
      </c>
      <c r="B302" s="16" t="s">
        <v>3238</v>
      </c>
      <c r="C302" s="17" t="s">
        <v>1482</v>
      </c>
      <c r="D302" s="17" t="str">
        <f t="shared" si="44"/>
        <v>17/09/91</v>
      </c>
      <c r="E302" s="3" t="s">
        <v>3884</v>
      </c>
      <c r="F302" s="6">
        <v>9633.4559999999983</v>
      </c>
      <c r="G302" s="6">
        <f>IF(F302=0,$Y$3,F302)</f>
        <v>9633.4559999999983</v>
      </c>
      <c r="H302" s="79">
        <f t="shared" si="41"/>
        <v>11</v>
      </c>
      <c r="I302">
        <f t="shared" si="42"/>
        <v>31</v>
      </c>
      <c r="J302">
        <f t="shared" si="43"/>
        <v>3</v>
      </c>
      <c r="K302">
        <f t="shared" si="45"/>
        <v>34</v>
      </c>
      <c r="L302" s="80">
        <f t="shared" si="46"/>
        <v>11</v>
      </c>
      <c r="M302" s="80">
        <f t="shared" si="47"/>
        <v>45</v>
      </c>
      <c r="N302">
        <f t="shared" si="48"/>
        <v>8088.4354198432229</v>
      </c>
      <c r="O302" s="87">
        <f>(((1-((1+$W$11)/(1+$W$10))^(6*(J302+K302)))/($W$10-$W$11))*(1+$W$10)^(6*(J302+K302)))</f>
        <v>2268.4845089511282</v>
      </c>
      <c r="P302" s="69">
        <f>N302*0.065*O302</f>
        <v>1192651.879351788</v>
      </c>
      <c r="Q302" s="69">
        <f t="shared" si="49"/>
        <v>7951.0125290119195</v>
      </c>
      <c r="R302" s="69">
        <f>G302*(1+0.06)^K302</f>
        <v>69852.432948983158</v>
      </c>
      <c r="S302" s="77">
        <f t="shared" si="50"/>
        <v>0.11382584962815762</v>
      </c>
    </row>
    <row r="303" spans="1:19" ht="15.5" x14ac:dyDescent="0.35">
      <c r="A303" s="3" t="s">
        <v>691</v>
      </c>
      <c r="B303" s="16" t="s">
        <v>3239</v>
      </c>
      <c r="C303" s="17" t="s">
        <v>1533</v>
      </c>
      <c r="D303" s="17" t="str">
        <f t="shared" si="44"/>
        <v>14/12/87</v>
      </c>
      <c r="E303" s="3" t="s">
        <v>3885</v>
      </c>
      <c r="F303" s="6">
        <v>10576.464</v>
      </c>
      <c r="G303" s="6">
        <f>IF(F303=0,$Y$3,F303)</f>
        <v>10576.464</v>
      </c>
      <c r="H303" s="79">
        <f t="shared" si="41"/>
        <v>7</v>
      </c>
      <c r="I303">
        <f t="shared" si="42"/>
        <v>35</v>
      </c>
      <c r="J303">
        <f t="shared" si="43"/>
        <v>3</v>
      </c>
      <c r="K303">
        <f t="shared" si="45"/>
        <v>30</v>
      </c>
      <c r="L303" s="80">
        <f t="shared" si="46"/>
        <v>15</v>
      </c>
      <c r="M303" s="80">
        <f t="shared" si="47"/>
        <v>45</v>
      </c>
      <c r="N303">
        <f t="shared" si="48"/>
        <v>8880.2031206969496</v>
      </c>
      <c r="O303" s="87">
        <f>(((1-((1+$W$11)/(1+$W$10))^(6*(J303+K303)))/($W$10-$W$11))*(1+$W$10)^(6*(J303+K303)))</f>
        <v>1571.1687390454781</v>
      </c>
      <c r="P303" s="69">
        <f>N303*0.065*O303</f>
        <v>906899.34007485455</v>
      </c>
      <c r="Q303" s="69">
        <f t="shared" si="49"/>
        <v>6045.9956004990299</v>
      </c>
      <c r="R303" s="69">
        <f>G303*(1+0.06)^K303</f>
        <v>60745.827624634861</v>
      </c>
      <c r="S303" s="77">
        <f t="shared" si="50"/>
        <v>9.9529397111171092E-2</v>
      </c>
    </row>
    <row r="304" spans="1:19" ht="15.5" x14ac:dyDescent="0.35">
      <c r="A304" s="3" t="s">
        <v>693</v>
      </c>
      <c r="B304" s="16" t="s">
        <v>3241</v>
      </c>
      <c r="C304" s="17" t="s">
        <v>1535</v>
      </c>
      <c r="D304" s="17" t="str">
        <f t="shared" si="44"/>
        <v>04/02/92</v>
      </c>
      <c r="E304" s="3" t="s">
        <v>3887</v>
      </c>
      <c r="F304" s="6">
        <v>21826.592000000001</v>
      </c>
      <c r="G304" s="6">
        <f>IF(F304=0,$Y$3,F304)</f>
        <v>21826.592000000001</v>
      </c>
      <c r="H304" s="79">
        <f t="shared" si="41"/>
        <v>16</v>
      </c>
      <c r="I304">
        <f t="shared" si="42"/>
        <v>30</v>
      </c>
      <c r="J304">
        <f t="shared" si="43"/>
        <v>5</v>
      </c>
      <c r="K304">
        <f t="shared" si="45"/>
        <v>35</v>
      </c>
      <c r="L304" s="80">
        <f t="shared" si="46"/>
        <v>6</v>
      </c>
      <c r="M304" s="80">
        <f t="shared" si="47"/>
        <v>41</v>
      </c>
      <c r="N304">
        <f t="shared" si="48"/>
        <v>16310.099257812895</v>
      </c>
      <c r="O304" s="87">
        <f>(((1-((1+$W$11)/(1+$W$10))^(6*(J304+K304)))/($W$10-$W$11))*(1+$W$10)^(6*(J304+K304)))</f>
        <v>2964.8060935111685</v>
      </c>
      <c r="P304" s="69">
        <f>N304*0.065*O304</f>
        <v>3143158.3082468184</v>
      </c>
      <c r="Q304" s="69">
        <f t="shared" si="49"/>
        <v>20954.388721645457</v>
      </c>
      <c r="R304" s="69">
        <f>G304*(1+0.06)^K304</f>
        <v>167761.08049239041</v>
      </c>
      <c r="S304" s="77">
        <f t="shared" si="50"/>
        <v>0.1249061383018211</v>
      </c>
    </row>
    <row r="305" spans="1:19" ht="15.5" x14ac:dyDescent="0.35">
      <c r="A305" s="3" t="s">
        <v>3888</v>
      </c>
      <c r="B305" s="16" t="s">
        <v>3889</v>
      </c>
      <c r="C305" s="17" t="s">
        <v>3891</v>
      </c>
      <c r="D305" s="17" t="str">
        <f t="shared" si="44"/>
        <v>20/11/87</v>
      </c>
      <c r="E305" s="3" t="s">
        <v>3892</v>
      </c>
      <c r="F305" s="6">
        <v>17987.071999999996</v>
      </c>
      <c r="G305" s="6">
        <f>IF(F305=0,$Y$3,F305)</f>
        <v>17987.071999999996</v>
      </c>
      <c r="H305" s="79">
        <f t="shared" si="41"/>
        <v>9</v>
      </c>
      <c r="I305">
        <f t="shared" si="42"/>
        <v>35</v>
      </c>
      <c r="J305">
        <f t="shared" si="43"/>
        <v>1</v>
      </c>
      <c r="K305">
        <f t="shared" si="45"/>
        <v>30</v>
      </c>
      <c r="L305" s="80">
        <f t="shared" si="46"/>
        <v>13</v>
      </c>
      <c r="M305" s="80">
        <f t="shared" si="47"/>
        <v>43</v>
      </c>
      <c r="N305">
        <f t="shared" si="48"/>
        <v>16968.935849056597</v>
      </c>
      <c r="O305" s="87">
        <f>(((1-((1+$W$11)/(1+$W$10))^(6*(J305+K305)))/($W$10-$W$11))*(1+$W$10)^(6*(J305+K305)))</f>
        <v>1300.6996735984885</v>
      </c>
      <c r="P305" s="69">
        <f>N305*0.065*O305</f>
        <v>1434646.8058118047</v>
      </c>
      <c r="Q305" s="69">
        <f t="shared" si="49"/>
        <v>9564.3120387453655</v>
      </c>
      <c r="R305" s="69">
        <f>G305*(1+0.06)^K305</f>
        <v>103308.58925855522</v>
      </c>
      <c r="S305" s="77">
        <f t="shared" si="50"/>
        <v>9.2580027540675403E-2</v>
      </c>
    </row>
    <row r="306" spans="1:19" ht="15.5" x14ac:dyDescent="0.35">
      <c r="A306" s="3" t="s">
        <v>3893</v>
      </c>
      <c r="B306" s="16" t="s">
        <v>3894</v>
      </c>
      <c r="C306" s="17" t="s">
        <v>3896</v>
      </c>
      <c r="D306" s="17" t="str">
        <f t="shared" si="44"/>
        <v>06/11/87</v>
      </c>
      <c r="E306" s="3" t="s">
        <v>3892</v>
      </c>
      <c r="F306" s="6">
        <v>18639.759999999998</v>
      </c>
      <c r="G306" s="6">
        <f>IF(F306=0,$Y$3,F306)</f>
        <v>18639.759999999998</v>
      </c>
      <c r="H306" s="79">
        <f t="shared" si="41"/>
        <v>13</v>
      </c>
      <c r="I306">
        <f t="shared" si="42"/>
        <v>35</v>
      </c>
      <c r="J306">
        <f t="shared" si="43"/>
        <v>1</v>
      </c>
      <c r="K306">
        <f t="shared" si="45"/>
        <v>30</v>
      </c>
      <c r="L306" s="80">
        <f t="shared" si="46"/>
        <v>9</v>
      </c>
      <c r="M306" s="80">
        <f t="shared" si="47"/>
        <v>39</v>
      </c>
      <c r="N306">
        <f t="shared" si="48"/>
        <v>17584.679245283016</v>
      </c>
      <c r="O306" s="87">
        <f>(((1-((1+$W$11)/(1+$W$10))^(6*(J306+K306)))/($W$10-$W$11))*(1+$W$10)^(6*(J306+K306)))</f>
        <v>1300.6996735984885</v>
      </c>
      <c r="P306" s="69">
        <f>N306*0.065*O306</f>
        <v>1486705.1260537929</v>
      </c>
      <c r="Q306" s="69">
        <f t="shared" si="49"/>
        <v>9911.3675070252866</v>
      </c>
      <c r="R306" s="69">
        <f>G306*(1+0.06)^K306</f>
        <v>107057.29702522165</v>
      </c>
      <c r="S306" s="77">
        <f t="shared" si="50"/>
        <v>9.2580027540675403E-2</v>
      </c>
    </row>
    <row r="307" spans="1:19" ht="15.5" x14ac:dyDescent="0.35">
      <c r="A307" s="3" t="s">
        <v>695</v>
      </c>
      <c r="B307" s="16" t="s">
        <v>3243</v>
      </c>
      <c r="C307" s="17" t="s">
        <v>1537</v>
      </c>
      <c r="D307" s="17" t="str">
        <f t="shared" si="44"/>
        <v>02/06/86</v>
      </c>
      <c r="E307" s="3" t="s">
        <v>3897</v>
      </c>
      <c r="F307" s="6">
        <v>30454.415999999997</v>
      </c>
      <c r="G307" s="6">
        <f>IF(F307=0,$Y$3,F307)</f>
        <v>30454.415999999997</v>
      </c>
      <c r="H307" s="79">
        <f t="shared" si="41"/>
        <v>10</v>
      </c>
      <c r="I307">
        <f t="shared" si="42"/>
        <v>36</v>
      </c>
      <c r="J307">
        <f t="shared" si="43"/>
        <v>3</v>
      </c>
      <c r="K307">
        <f t="shared" si="45"/>
        <v>29</v>
      </c>
      <c r="L307" s="80">
        <f t="shared" si="46"/>
        <v>12</v>
      </c>
      <c r="M307" s="80">
        <f t="shared" si="47"/>
        <v>41</v>
      </c>
      <c r="N307">
        <f t="shared" si="48"/>
        <v>25570.114927087452</v>
      </c>
      <c r="O307" s="87">
        <f>(((1-((1+$W$11)/(1+$W$10))^(6*(J307+K307)))/($W$10-$W$11))*(1+$W$10)^(6*(J307+K307)))</f>
        <v>1430.2452154182549</v>
      </c>
      <c r="P307" s="69">
        <f>N307*0.065*O307</f>
        <v>2377149.7445905125</v>
      </c>
      <c r="Q307" s="69">
        <f t="shared" si="49"/>
        <v>15847.66496393675</v>
      </c>
      <c r="R307" s="69">
        <f>G307*(1+0.06)^K307</f>
        <v>165013.83912474368</v>
      </c>
      <c r="S307" s="77">
        <f t="shared" si="50"/>
        <v>9.6038399251814066E-2</v>
      </c>
    </row>
    <row r="308" spans="1:19" ht="15.5" x14ac:dyDescent="0.35">
      <c r="A308" s="3" t="s">
        <v>697</v>
      </c>
      <c r="B308" s="16" t="s">
        <v>3245</v>
      </c>
      <c r="C308" s="17" t="s">
        <v>1539</v>
      </c>
      <c r="D308" s="17" t="str">
        <f t="shared" si="44"/>
        <v>24/07/70</v>
      </c>
      <c r="E308" s="3" t="s">
        <v>3898</v>
      </c>
      <c r="F308" s="6">
        <v>39913.072</v>
      </c>
      <c r="G308" s="6">
        <f>IF(F308=0,$Y$3,F308)</f>
        <v>39913.072</v>
      </c>
      <c r="H308" s="79">
        <f t="shared" si="41"/>
        <v>2</v>
      </c>
      <c r="I308">
        <f t="shared" si="42"/>
        <v>52</v>
      </c>
      <c r="J308">
        <f t="shared" si="43"/>
        <v>3</v>
      </c>
      <c r="K308">
        <f t="shared" si="45"/>
        <v>13</v>
      </c>
      <c r="L308" s="80">
        <f t="shared" si="46"/>
        <v>20</v>
      </c>
      <c r="M308" s="80">
        <f t="shared" si="47"/>
        <v>33</v>
      </c>
      <c r="N308">
        <f t="shared" si="48"/>
        <v>33511.784896256635</v>
      </c>
      <c r="O308" s="87">
        <f>(((1-((1+$W$11)/(1+$W$10))^(6*(J308+K308)))/($W$10-$W$11))*(1+$W$10)^(6*(J308+K308)))</f>
        <v>260.39894339844835</v>
      </c>
      <c r="P308" s="69">
        <f>N308*0.065*O308</f>
        <v>567218.16959478508</v>
      </c>
      <c r="Q308" s="69">
        <f t="shared" si="49"/>
        <v>3781.454463965234</v>
      </c>
      <c r="R308" s="69">
        <f>G308*(1+0.06)^K308</f>
        <v>85131.719218029466</v>
      </c>
      <c r="S308" s="77">
        <f t="shared" si="50"/>
        <v>4.4418866418997276E-2</v>
      </c>
    </row>
    <row r="309" spans="1:19" ht="15.5" x14ac:dyDescent="0.35">
      <c r="A309" s="3" t="s">
        <v>703</v>
      </c>
      <c r="B309" s="16" t="s">
        <v>3251</v>
      </c>
      <c r="C309" s="17" t="s">
        <v>1545</v>
      </c>
      <c r="D309" s="17" t="str">
        <f t="shared" si="44"/>
        <v>13/04/87</v>
      </c>
      <c r="E309" s="3" t="s">
        <v>3900</v>
      </c>
      <c r="F309" s="6">
        <v>8073.3279999999995</v>
      </c>
      <c r="G309" s="6">
        <f>IF(F309=0,$Y$3,F309)</f>
        <v>8073.3279999999995</v>
      </c>
      <c r="H309" s="79">
        <f t="shared" si="41"/>
        <v>10</v>
      </c>
      <c r="I309">
        <f t="shared" si="42"/>
        <v>35</v>
      </c>
      <c r="J309">
        <f t="shared" si="43"/>
        <v>3</v>
      </c>
      <c r="K309">
        <f t="shared" si="45"/>
        <v>30</v>
      </c>
      <c r="L309" s="80">
        <f t="shared" si="46"/>
        <v>12</v>
      </c>
      <c r="M309" s="80">
        <f t="shared" si="47"/>
        <v>42</v>
      </c>
      <c r="N309">
        <f t="shared" si="48"/>
        <v>6778.5218670446047</v>
      </c>
      <c r="O309" s="87">
        <f>(((1-((1+$W$11)/(1+$W$10))^(6*(J309+K309)))/($W$10-$W$11))*(1+$W$10)^(6*(J309+K309)))</f>
        <v>1571.1687390454781</v>
      </c>
      <c r="P309" s="69">
        <f>N309*0.065*O309</f>
        <v>692263.10753838369</v>
      </c>
      <c r="Q309" s="69">
        <f t="shared" si="49"/>
        <v>4615.0873835892244</v>
      </c>
      <c r="R309" s="69">
        <f>G309*(1+0.06)^K309</f>
        <v>46369.088104033457</v>
      </c>
      <c r="S309" s="77">
        <f t="shared" si="50"/>
        <v>9.9529397111171064E-2</v>
      </c>
    </row>
    <row r="310" spans="1:19" ht="15.5" x14ac:dyDescent="0.35">
      <c r="A310" s="3" t="s">
        <v>704</v>
      </c>
      <c r="B310" s="16" t="s">
        <v>3252</v>
      </c>
      <c r="C310" s="17" t="s">
        <v>1546</v>
      </c>
      <c r="D310" s="17" t="str">
        <f t="shared" si="44"/>
        <v>19/11/83</v>
      </c>
      <c r="E310" s="3" t="s">
        <v>3901</v>
      </c>
      <c r="F310" s="6">
        <v>5602.72</v>
      </c>
      <c r="G310" s="6">
        <f>IF(F310=0,$Y$3,F310)</f>
        <v>5602.72</v>
      </c>
      <c r="H310" s="79">
        <f t="shared" si="41"/>
        <v>9</v>
      </c>
      <c r="I310">
        <f t="shared" si="42"/>
        <v>39</v>
      </c>
      <c r="J310">
        <f t="shared" si="43"/>
        <v>0</v>
      </c>
      <c r="K310">
        <f t="shared" si="45"/>
        <v>26</v>
      </c>
      <c r="L310" s="80">
        <f t="shared" si="46"/>
        <v>13</v>
      </c>
      <c r="M310" s="80">
        <f t="shared" si="47"/>
        <v>39</v>
      </c>
      <c r="N310">
        <f t="shared" si="48"/>
        <v>5602.72</v>
      </c>
      <c r="O310" s="87">
        <f>(((1-((1+$W$11)/(1+$W$10))^(6*(J310+K310)))/($W$10-$W$11))*(1+$W$10)^(6*(J310+K310)))</f>
        <v>795.44548998043808</v>
      </c>
      <c r="P310" s="69">
        <f>N310*0.065*O310</f>
        <v>289682.79311550799</v>
      </c>
      <c r="Q310" s="69">
        <f t="shared" si="49"/>
        <v>1931.2186207700533</v>
      </c>
      <c r="R310" s="69">
        <f>G310*(1+0.06)^K310</f>
        <v>25488.918914056514</v>
      </c>
      <c r="S310" s="77">
        <f t="shared" si="50"/>
        <v>7.5766988285447978E-2</v>
      </c>
    </row>
    <row r="311" spans="1:19" ht="15.5" x14ac:dyDescent="0.35">
      <c r="A311" s="3" t="s">
        <v>705</v>
      </c>
      <c r="B311" s="16" t="s">
        <v>3253</v>
      </c>
      <c r="C311" s="17" t="s">
        <v>1547</v>
      </c>
      <c r="D311" s="17" t="str">
        <f t="shared" si="44"/>
        <v>21/10/87</v>
      </c>
      <c r="E311" s="3" t="s">
        <v>3899</v>
      </c>
      <c r="F311" s="6">
        <v>16906.351999999999</v>
      </c>
      <c r="G311" s="6">
        <f>IF(F311=0,$Y$3,F311)</f>
        <v>16906.351999999999</v>
      </c>
      <c r="H311" s="79">
        <f t="shared" si="41"/>
        <v>5</v>
      </c>
      <c r="I311">
        <f t="shared" si="42"/>
        <v>35</v>
      </c>
      <c r="J311">
        <f t="shared" si="43"/>
        <v>3</v>
      </c>
      <c r="K311">
        <f t="shared" si="45"/>
        <v>30</v>
      </c>
      <c r="L311" s="80">
        <f t="shared" si="46"/>
        <v>17</v>
      </c>
      <c r="M311" s="80">
        <f t="shared" si="47"/>
        <v>47</v>
      </c>
      <c r="N311">
        <f t="shared" si="48"/>
        <v>14194.899144931718</v>
      </c>
      <c r="O311" s="87">
        <f>(((1-((1+$W$11)/(1+$W$10))^(6*(J311+K311)))/($W$10-$W$11))*(1+$W$10)^(6*(J311+K311)))</f>
        <v>1571.1687390454781</v>
      </c>
      <c r="P311" s="69">
        <f>N311*0.065*O311</f>
        <v>1449667.8163773068</v>
      </c>
      <c r="Q311" s="69">
        <f t="shared" si="49"/>
        <v>9664.4521091820461</v>
      </c>
      <c r="R311" s="69">
        <f>G311*(1+0.06)^K311</f>
        <v>97101.483478164417</v>
      </c>
      <c r="S311" s="77">
        <f t="shared" si="50"/>
        <v>9.9529397111171106E-2</v>
      </c>
    </row>
    <row r="312" spans="1:19" ht="15.5" x14ac:dyDescent="0.35">
      <c r="A312" s="3" t="s">
        <v>707</v>
      </c>
      <c r="B312" s="16" t="s">
        <v>3255</v>
      </c>
      <c r="C312" s="17" t="s">
        <v>1549</v>
      </c>
      <c r="D312" s="17" t="str">
        <f t="shared" si="44"/>
        <v>02/07/91</v>
      </c>
      <c r="E312" s="3" t="s">
        <v>3902</v>
      </c>
      <c r="F312" s="6">
        <v>15488.191999999999</v>
      </c>
      <c r="G312" s="6">
        <f>IF(F312=0,$Y$3,F312)</f>
        <v>15488.191999999999</v>
      </c>
      <c r="H312" s="79">
        <f t="shared" si="41"/>
        <v>13</v>
      </c>
      <c r="I312">
        <f t="shared" si="42"/>
        <v>31</v>
      </c>
      <c r="J312">
        <f t="shared" si="43"/>
        <v>3</v>
      </c>
      <c r="K312">
        <f t="shared" si="45"/>
        <v>34</v>
      </c>
      <c r="L312" s="80">
        <f t="shared" si="46"/>
        <v>9</v>
      </c>
      <c r="M312" s="80">
        <f t="shared" si="47"/>
        <v>43</v>
      </c>
      <c r="N312">
        <f t="shared" si="48"/>
        <v>13004.184662506628</v>
      </c>
      <c r="O312" s="87">
        <f>(((1-((1+$W$11)/(1+$W$10))^(6*(J312+K312)))/($W$10-$W$11))*(1+$W$10)^(6*(J312+K312)))</f>
        <v>2268.4845089511282</v>
      </c>
      <c r="P312" s="69">
        <f>N312*0.065*O312</f>
        <v>1917486.4447983492</v>
      </c>
      <c r="Q312" s="69">
        <f t="shared" si="49"/>
        <v>12783.242965322328</v>
      </c>
      <c r="R312" s="69">
        <f>G312*(1+0.06)^K312</f>
        <v>112305.27166792244</v>
      </c>
      <c r="S312" s="77">
        <f t="shared" si="50"/>
        <v>0.1138258496281576</v>
      </c>
    </row>
    <row r="313" spans="1:19" ht="15.5" x14ac:dyDescent="0.35">
      <c r="A313" s="3" t="s">
        <v>708</v>
      </c>
      <c r="B313" s="16" t="s">
        <v>3256</v>
      </c>
      <c r="C313" s="17" t="s">
        <v>1550</v>
      </c>
      <c r="D313" s="17" t="str">
        <f t="shared" si="44"/>
        <v>03/04/97</v>
      </c>
      <c r="E313" s="3" t="s">
        <v>3902</v>
      </c>
      <c r="F313" s="6">
        <v>14767.103999999999</v>
      </c>
      <c r="G313" s="6">
        <f>IF(F313=0,$Y$3,F313)</f>
        <v>14767.103999999999</v>
      </c>
      <c r="H313" s="79">
        <f t="shared" si="41"/>
        <v>12</v>
      </c>
      <c r="I313">
        <f t="shared" si="42"/>
        <v>25</v>
      </c>
      <c r="J313">
        <f t="shared" si="43"/>
        <v>3</v>
      </c>
      <c r="K313">
        <f t="shared" si="45"/>
        <v>40</v>
      </c>
      <c r="L313" s="80">
        <f t="shared" si="46"/>
        <v>10</v>
      </c>
      <c r="M313" s="80">
        <f t="shared" si="47"/>
        <v>50</v>
      </c>
      <c r="N313">
        <f t="shared" si="48"/>
        <v>12398.745272943432</v>
      </c>
      <c r="O313" s="87">
        <f>(((1-((1+$W$11)/(1+$W$10))^(6*(J313+K313)))/($W$10-$W$11))*(1+$W$10)^(6*(J313+K313)))</f>
        <v>3853.3236192812783</v>
      </c>
      <c r="P313" s="69">
        <f>N313*0.065*O313</f>
        <v>3105464.5706295269</v>
      </c>
      <c r="Q313" s="69">
        <f t="shared" si="49"/>
        <v>20703.097137530178</v>
      </c>
      <c r="R313" s="69">
        <f>G313*(1+0.06)^K313</f>
        <v>151890.26649220404</v>
      </c>
      <c r="S313" s="77">
        <f t="shared" si="50"/>
        <v>0.13630298777962044</v>
      </c>
    </row>
    <row r="314" spans="1:19" ht="15.5" x14ac:dyDescent="0.35">
      <c r="A314" s="3" t="s">
        <v>710</v>
      </c>
      <c r="B314" s="16" t="s">
        <v>3258</v>
      </c>
      <c r="C314" s="17" t="s">
        <v>1552</v>
      </c>
      <c r="D314" s="17" t="str">
        <f t="shared" si="44"/>
        <v>19/12/97</v>
      </c>
      <c r="E314" s="3" t="s">
        <v>3899</v>
      </c>
      <c r="F314" s="6">
        <v>12709.328</v>
      </c>
      <c r="G314" s="6">
        <f>IF(F314=0,$Y$3,F314)</f>
        <v>12709.328</v>
      </c>
      <c r="H314" s="79">
        <f t="shared" si="41"/>
        <v>15</v>
      </c>
      <c r="I314">
        <f t="shared" si="42"/>
        <v>25</v>
      </c>
      <c r="J314">
        <f t="shared" si="43"/>
        <v>3</v>
      </c>
      <c r="K314">
        <f t="shared" si="45"/>
        <v>40</v>
      </c>
      <c r="L314" s="80">
        <f t="shared" si="46"/>
        <v>7</v>
      </c>
      <c r="M314" s="80">
        <f t="shared" si="47"/>
        <v>47</v>
      </c>
      <c r="N314">
        <f t="shared" si="48"/>
        <v>10670.996863182356</v>
      </c>
      <c r="O314" s="87">
        <f>(((1-((1+$W$11)/(1+$W$10))^(6*(J314+K314)))/($W$10-$W$11))*(1+$W$10)^(6*(J314+K314)))</f>
        <v>3853.3236192812783</v>
      </c>
      <c r="P314" s="69">
        <f>N314*0.065*O314</f>
        <v>2672722.2765215053</v>
      </c>
      <c r="Q314" s="69">
        <f t="shared" si="49"/>
        <v>17818.148510143368</v>
      </c>
      <c r="R314" s="69">
        <f>G314*(1+0.06)^K314</f>
        <v>130724.5629784168</v>
      </c>
      <c r="S314" s="77">
        <f t="shared" si="50"/>
        <v>0.13630298777962044</v>
      </c>
    </row>
    <row r="315" spans="1:19" ht="15.5" x14ac:dyDescent="0.35">
      <c r="A315" s="3" t="s">
        <v>712</v>
      </c>
      <c r="B315" s="16" t="s">
        <v>3260</v>
      </c>
      <c r="C315" s="17" t="s">
        <v>1554</v>
      </c>
      <c r="D315" s="17" t="str">
        <f t="shared" si="44"/>
        <v>02/03/93</v>
      </c>
      <c r="E315" s="3" t="s">
        <v>3899</v>
      </c>
      <c r="F315" s="6">
        <v>18799.359999999997</v>
      </c>
      <c r="G315" s="6">
        <f>IF(F315=0,$Y$3,F315)</f>
        <v>18799.359999999997</v>
      </c>
      <c r="H315" s="79">
        <f t="shared" si="41"/>
        <v>11</v>
      </c>
      <c r="I315">
        <f t="shared" si="42"/>
        <v>29</v>
      </c>
      <c r="J315">
        <f t="shared" si="43"/>
        <v>3</v>
      </c>
      <c r="K315">
        <f t="shared" si="45"/>
        <v>36</v>
      </c>
      <c r="L315" s="80">
        <f t="shared" si="46"/>
        <v>11</v>
      </c>
      <c r="M315" s="80">
        <f t="shared" si="47"/>
        <v>47</v>
      </c>
      <c r="N315">
        <f t="shared" si="48"/>
        <v>15784.305164666126</v>
      </c>
      <c r="O315" s="87">
        <f>(((1-((1+$W$11)/(1+$W$10))^(6*(J315+K315)))/($W$10-$W$11))*(1+$W$10)^(6*(J315+K315)))</f>
        <v>2713.5031944291845</v>
      </c>
      <c r="P315" s="69">
        <f>N315*0.065*O315</f>
        <v>2783999.5616008299</v>
      </c>
      <c r="Q315" s="69">
        <f t="shared" si="49"/>
        <v>18559.997077338867</v>
      </c>
      <c r="R315" s="69">
        <f>G315*(1+0.06)^K315</f>
        <v>153163.1233559206</v>
      </c>
      <c r="S315" s="77">
        <f t="shared" si="50"/>
        <v>0.12117797463694396</v>
      </c>
    </row>
    <row r="316" spans="1:19" ht="15.5" x14ac:dyDescent="0.35">
      <c r="A316" s="3" t="s">
        <v>3904</v>
      </c>
      <c r="B316" s="16" t="s">
        <v>3905</v>
      </c>
      <c r="C316" s="17" t="s">
        <v>3907</v>
      </c>
      <c r="D316" s="17" t="str">
        <f t="shared" si="44"/>
        <v>10/12/77</v>
      </c>
      <c r="E316" s="3" t="s">
        <v>3908</v>
      </c>
      <c r="F316" s="6">
        <v>17536.240000000002</v>
      </c>
      <c r="G316" s="6">
        <f>IF(F316=0,$Y$3,F316)</f>
        <v>17536.240000000002</v>
      </c>
      <c r="H316" s="79">
        <f t="shared" si="41"/>
        <v>2</v>
      </c>
      <c r="I316">
        <f t="shared" si="42"/>
        <v>45</v>
      </c>
      <c r="J316">
        <f t="shared" si="43"/>
        <v>0</v>
      </c>
      <c r="K316">
        <f t="shared" si="45"/>
        <v>20</v>
      </c>
      <c r="L316" s="80">
        <f t="shared" si="46"/>
        <v>20</v>
      </c>
      <c r="M316" s="80">
        <f t="shared" si="47"/>
        <v>40</v>
      </c>
      <c r="N316">
        <f t="shared" si="48"/>
        <v>17536.240000000002</v>
      </c>
      <c r="O316" s="87">
        <f>(((1-((1+$W$11)/(1+$W$10))^(6*(J316+K316)))/($W$10-$W$11))*(1+$W$10)^(6*(J316+K316)))</f>
        <v>418.94609738113263</v>
      </c>
      <c r="P316" s="69">
        <f>N316*0.065*O316</f>
        <v>477538.05519802938</v>
      </c>
      <c r="Q316" s="69">
        <f t="shared" si="49"/>
        <v>3183.5870346535294</v>
      </c>
      <c r="R316" s="69">
        <f>G316*(1+0.06)^K316</f>
        <v>56241.097353237841</v>
      </c>
      <c r="S316" s="77">
        <f t="shared" si="50"/>
        <v>5.6606061838696466E-2</v>
      </c>
    </row>
    <row r="317" spans="1:19" ht="15.5" x14ac:dyDescent="0.35">
      <c r="A317" s="3" t="s">
        <v>717</v>
      </c>
      <c r="B317" s="16" t="s">
        <v>3265</v>
      </c>
      <c r="C317" s="17" t="s">
        <v>1558</v>
      </c>
      <c r="D317" s="17" t="str">
        <f t="shared" si="44"/>
        <v>15/01/79</v>
      </c>
      <c r="E317" s="3" t="s">
        <v>3909</v>
      </c>
      <c r="F317" s="6">
        <v>13141.92</v>
      </c>
      <c r="G317" s="6">
        <f>IF(F317=0,$Y$3,F317)</f>
        <v>13141.92</v>
      </c>
      <c r="H317" s="79">
        <f t="shared" si="41"/>
        <v>8</v>
      </c>
      <c r="I317">
        <f t="shared" si="42"/>
        <v>43</v>
      </c>
      <c r="J317">
        <f t="shared" si="43"/>
        <v>3</v>
      </c>
      <c r="K317">
        <f t="shared" si="45"/>
        <v>22</v>
      </c>
      <c r="L317" s="80">
        <f t="shared" si="46"/>
        <v>14</v>
      </c>
      <c r="M317" s="80">
        <f t="shared" si="47"/>
        <v>36</v>
      </c>
      <c r="N317">
        <f t="shared" si="48"/>
        <v>11034.209448067864</v>
      </c>
      <c r="O317" s="87">
        <f>(((1-((1+$W$11)/(1+$W$10))^(6*(J317+K317)))/($W$10-$W$11))*(1+$W$10)^(6*(J317+K317)))</f>
        <v>718.04386069822795</v>
      </c>
      <c r="P317" s="69">
        <f>N317*0.065*O317</f>
        <v>514998.01286982832</v>
      </c>
      <c r="Q317" s="69">
        <f t="shared" si="49"/>
        <v>3433.3200857988554</v>
      </c>
      <c r="R317" s="69">
        <f>G317*(1+0.06)^K317</f>
        <v>47357.400445679443</v>
      </c>
      <c r="S317" s="77">
        <f t="shared" si="50"/>
        <v>7.2498069013247277E-2</v>
      </c>
    </row>
    <row r="318" spans="1:19" ht="15.5" x14ac:dyDescent="0.35">
      <c r="A318" s="3" t="s">
        <v>719</v>
      </c>
      <c r="B318" s="16" t="s">
        <v>3267</v>
      </c>
      <c r="C318" s="17" t="s">
        <v>1559</v>
      </c>
      <c r="D318" s="17" t="str">
        <f t="shared" si="44"/>
        <v>25/10/72</v>
      </c>
      <c r="E318" s="3" t="s">
        <v>3910</v>
      </c>
      <c r="F318" s="6">
        <v>5624.6080000000002</v>
      </c>
      <c r="G318" s="6">
        <f>IF(F318=0,$Y$3,F318)</f>
        <v>5624.6080000000002</v>
      </c>
      <c r="H318" s="79">
        <f t="shared" si="41"/>
        <v>99</v>
      </c>
      <c r="I318">
        <f t="shared" si="42"/>
        <v>50</v>
      </c>
      <c r="J318">
        <f t="shared" si="43"/>
        <v>3</v>
      </c>
      <c r="K318">
        <f t="shared" si="45"/>
        <v>15</v>
      </c>
      <c r="L318" s="80">
        <f t="shared" si="46"/>
        <v>23</v>
      </c>
      <c r="M318" s="80">
        <f t="shared" si="47"/>
        <v>38</v>
      </c>
      <c r="N318">
        <f t="shared" si="48"/>
        <v>4722.5293362977482</v>
      </c>
      <c r="O318" s="87">
        <f>(((1-((1+$W$11)/(1+$W$10))^(6*(J318+K318)))/($W$10-$W$11))*(1+$W$10)^(6*(J318+K318)))</f>
        <v>332.34551836663485</v>
      </c>
      <c r="P318" s="69">
        <f>N318*0.065*O318</f>
        <v>102018.24491777849</v>
      </c>
      <c r="Q318" s="69">
        <f t="shared" si="49"/>
        <v>680.12163278518995</v>
      </c>
      <c r="R318" s="69">
        <f>G318*(1+0.06)^K318</f>
        <v>13479.700385374075</v>
      </c>
      <c r="S318" s="77">
        <f t="shared" si="50"/>
        <v>5.0455248510059218E-2</v>
      </c>
    </row>
    <row r="319" spans="1:19" ht="15.5" x14ac:dyDescent="0.35">
      <c r="A319" s="3" t="s">
        <v>3911</v>
      </c>
      <c r="B319" s="16" t="s">
        <v>3912</v>
      </c>
      <c r="C319" s="17" t="s">
        <v>3914</v>
      </c>
      <c r="D319" s="17" t="str">
        <f t="shared" si="44"/>
        <v>26/02/94</v>
      </c>
      <c r="E319" s="3" t="s">
        <v>3585</v>
      </c>
      <c r="F319" s="6">
        <v>16968.976000000002</v>
      </c>
      <c r="G319" s="6">
        <f>IF(F319=0,$Y$3,F319)</f>
        <v>16968.976000000002</v>
      </c>
      <c r="H319" s="79">
        <f t="shared" si="41"/>
        <v>9</v>
      </c>
      <c r="I319">
        <f t="shared" si="42"/>
        <v>28</v>
      </c>
      <c r="J319">
        <f t="shared" si="43"/>
        <v>1</v>
      </c>
      <c r="K319">
        <f t="shared" si="45"/>
        <v>37</v>
      </c>
      <c r="L319" s="80">
        <f t="shared" si="46"/>
        <v>13</v>
      </c>
      <c r="M319" s="80">
        <f t="shared" si="47"/>
        <v>50</v>
      </c>
      <c r="N319">
        <f t="shared" si="48"/>
        <v>16008.467924528302</v>
      </c>
      <c r="O319" s="87">
        <f>(((1-((1+$W$11)/(1+$W$10))^(6*(J319+K319)))/($W$10-$W$11))*(1+$W$10)^(6*(J319+K319)))</f>
        <v>2481.8865373152853</v>
      </c>
      <c r="P319" s="69">
        <f>N319*0.065*O319</f>
        <v>2582528.0666204737</v>
      </c>
      <c r="Q319" s="69">
        <f t="shared" si="49"/>
        <v>17216.853777469823</v>
      </c>
      <c r="R319" s="69">
        <f>G319*(1+0.06)^K319</f>
        <v>146545.55507051072</v>
      </c>
      <c r="S319" s="77">
        <f t="shared" si="50"/>
        <v>0.11748465362314058</v>
      </c>
    </row>
    <row r="320" spans="1:19" ht="15.5" x14ac:dyDescent="0.35">
      <c r="A320" s="3" t="s">
        <v>725</v>
      </c>
      <c r="B320" s="16" t="s">
        <v>3273</v>
      </c>
      <c r="C320" s="17" t="s">
        <v>1486</v>
      </c>
      <c r="D320" s="17" t="str">
        <f t="shared" si="44"/>
        <v>17/06/80</v>
      </c>
      <c r="E320" s="3" t="s">
        <v>3916</v>
      </c>
      <c r="F320" s="6">
        <v>47771.472000000002</v>
      </c>
      <c r="G320" s="6">
        <f>IF(F320=0,$Y$3,F320)</f>
        <v>47771.472000000002</v>
      </c>
      <c r="H320" s="79">
        <f t="shared" si="41"/>
        <v>5</v>
      </c>
      <c r="I320">
        <f t="shared" si="42"/>
        <v>42</v>
      </c>
      <c r="J320">
        <f t="shared" si="43"/>
        <v>3</v>
      </c>
      <c r="K320">
        <f t="shared" si="45"/>
        <v>23</v>
      </c>
      <c r="L320" s="80">
        <f t="shared" si="46"/>
        <v>17</v>
      </c>
      <c r="M320" s="80">
        <f t="shared" si="47"/>
        <v>40</v>
      </c>
      <c r="N320">
        <f t="shared" si="48"/>
        <v>40109.849070037671</v>
      </c>
      <c r="O320" s="87">
        <f>(((1-((1+$W$11)/(1+$W$10))^(6*(J320+K320)))/($W$10-$W$11))*(1+$W$10)^(6*(J320+K320)))</f>
        <v>795.44548998043808</v>
      </c>
      <c r="P320" s="69">
        <f>N320*0.065*O320</f>
        <v>2073837.9055262397</v>
      </c>
      <c r="Q320" s="69">
        <f t="shared" si="49"/>
        <v>13825.586036841598</v>
      </c>
      <c r="R320" s="69">
        <f>G320*(1+0.06)^K320</f>
        <v>182475.06400484685</v>
      </c>
      <c r="S320" s="77">
        <f t="shared" si="50"/>
        <v>7.5766988285447964E-2</v>
      </c>
    </row>
    <row r="321" spans="1:19" ht="15.5" x14ac:dyDescent="0.35">
      <c r="A321" s="3" t="s">
        <v>726</v>
      </c>
      <c r="B321" s="16" t="s">
        <v>3274</v>
      </c>
      <c r="C321" s="17" t="s">
        <v>1013</v>
      </c>
      <c r="D321" s="17" t="str">
        <f t="shared" si="44"/>
        <v>02/06/88</v>
      </c>
      <c r="E321" s="3" t="s">
        <v>3916</v>
      </c>
      <c r="F321" s="6">
        <v>5624.6080000000002</v>
      </c>
      <c r="G321" s="6">
        <f>IF(F321=0,$Y$3,F321)</f>
        <v>5624.6080000000002</v>
      </c>
      <c r="H321" s="79">
        <f t="shared" si="41"/>
        <v>6</v>
      </c>
      <c r="I321">
        <f t="shared" si="42"/>
        <v>34</v>
      </c>
      <c r="J321">
        <f t="shared" si="43"/>
        <v>3</v>
      </c>
      <c r="K321">
        <f t="shared" si="45"/>
        <v>31</v>
      </c>
      <c r="L321" s="80">
        <f t="shared" si="46"/>
        <v>16</v>
      </c>
      <c r="M321" s="80">
        <f t="shared" si="47"/>
        <v>47</v>
      </c>
      <c r="N321">
        <f t="shared" si="48"/>
        <v>4722.5293362977482</v>
      </c>
      <c r="O321" s="87">
        <f>(((1-((1+$W$11)/(1+$W$10))^(6*(J321+K321)))/($W$10-$W$11))*(1+$W$10)^(6*(J321+K321)))</f>
        <v>1724.4052908394829</v>
      </c>
      <c r="P321" s="69">
        <f>N321*0.065*O321</f>
        <v>529331.04728767299</v>
      </c>
      <c r="Q321" s="69">
        <f t="shared" si="49"/>
        <v>3528.8736485844865</v>
      </c>
      <c r="R321" s="69">
        <f>G321*(1+0.06)^K321</f>
        <v>34243.179583043151</v>
      </c>
      <c r="S321" s="77">
        <f t="shared" si="50"/>
        <v>0.10305332891259743</v>
      </c>
    </row>
    <row r="322" spans="1:19" ht="15.5" x14ac:dyDescent="0.35">
      <c r="A322" s="3" t="s">
        <v>727</v>
      </c>
      <c r="B322" s="16" t="s">
        <v>3275</v>
      </c>
      <c r="C322" s="17" t="s">
        <v>1565</v>
      </c>
      <c r="D322" s="17" t="str">
        <f t="shared" si="44"/>
        <v>13/12/73</v>
      </c>
      <c r="E322" s="3" t="s">
        <v>3917</v>
      </c>
      <c r="F322" s="6">
        <v>5624.6080000000002</v>
      </c>
      <c r="G322" s="6">
        <f>IF(F322=0,$Y$3,F322)</f>
        <v>5624.6080000000002</v>
      </c>
      <c r="H322" s="79">
        <f t="shared" ref="H322:H385" si="51">_xlfn.NUMBERVALUE(MID(B322,3,2))</f>
        <v>19</v>
      </c>
      <c r="I322">
        <f t="shared" ref="I322:I385" si="52">2022-YEAR(D322)</f>
        <v>49</v>
      </c>
      <c r="J322">
        <f t="shared" ref="J322:J385" si="53">2022-YEAR(E322)</f>
        <v>3</v>
      </c>
      <c r="K322">
        <f t="shared" si="45"/>
        <v>16</v>
      </c>
      <c r="L322" s="80">
        <f t="shared" si="46"/>
        <v>3</v>
      </c>
      <c r="M322" s="80">
        <f t="shared" si="47"/>
        <v>19</v>
      </c>
      <c r="N322">
        <f t="shared" si="48"/>
        <v>4722.5293362977482</v>
      </c>
      <c r="O322" s="87">
        <f>(((1-((1+$W$11)/(1+$W$10))^(6*(J322+K322)))/($W$10-$W$11))*(1+$W$10)^(6*(J322+K322)))</f>
        <v>373.65839639087795</v>
      </c>
      <c r="P322" s="69">
        <f>N322*0.065*O322</f>
        <v>114699.82801614309</v>
      </c>
      <c r="Q322" s="69">
        <f t="shared" si="49"/>
        <v>764.66552010762064</v>
      </c>
      <c r="R322" s="69">
        <f>G322*(1+0.06)^K322</f>
        <v>14288.482408496517</v>
      </c>
      <c r="S322" s="77">
        <f t="shared" si="50"/>
        <v>5.3516216645437389E-2</v>
      </c>
    </row>
    <row r="323" spans="1:19" ht="15.5" x14ac:dyDescent="0.35">
      <c r="A323" s="3" t="s">
        <v>728</v>
      </c>
      <c r="B323" s="16" t="s">
        <v>3276</v>
      </c>
      <c r="C323" s="17" t="s">
        <v>1566</v>
      </c>
      <c r="D323" s="17" t="str">
        <f t="shared" ref="D323:D386" si="54">_xlfn.CONCAT(MID(C323,5,2),"/",MID(C323,3,2),"/",MID(C323,1,2))</f>
        <v>14/06/82</v>
      </c>
      <c r="E323" s="3" t="s">
        <v>3608</v>
      </c>
      <c r="F323" s="6">
        <v>30923.791999999998</v>
      </c>
      <c r="G323" s="6">
        <f>IF(F323=0,$Y$3,F323)</f>
        <v>30923.791999999998</v>
      </c>
      <c r="H323" s="79">
        <f t="shared" si="51"/>
        <v>5</v>
      </c>
      <c r="I323">
        <f t="shared" si="52"/>
        <v>40</v>
      </c>
      <c r="J323">
        <f t="shared" si="53"/>
        <v>8</v>
      </c>
      <c r="K323">
        <f t="shared" ref="K323:K386" si="55">65-I323</f>
        <v>25</v>
      </c>
      <c r="L323" s="80">
        <f t="shared" ref="L323:L386" si="56">IF(H323&gt;22,122-H323,22-H323)</f>
        <v>17</v>
      </c>
      <c r="M323" s="80">
        <f t="shared" ref="M323:M386" si="57">L323+K323</f>
        <v>42</v>
      </c>
      <c r="N323">
        <f t="shared" ref="N323:N386" si="58">G323*(1+0.06)^-J323</f>
        <v>19401.9696696014</v>
      </c>
      <c r="O323" s="87">
        <f>(((1-((1+$W$11)/(1+$W$10))^(6*(J323+K323)))/($W$10-$W$11))*(1+$W$10)^(6*(J323+K323)))</f>
        <v>1571.1687390454781</v>
      </c>
      <c r="P323" s="69">
        <f>N323*0.065*O323</f>
        <v>1981444.9343511057</v>
      </c>
      <c r="Q323" s="69">
        <f t="shared" ref="Q323:Q386" si="59">P323/150</f>
        <v>13209.632895674038</v>
      </c>
      <c r="R323" s="69">
        <f>G323*(1+0.06)^K323</f>
        <v>132720.91742823791</v>
      </c>
      <c r="S323" s="77">
        <f t="shared" si="50"/>
        <v>9.9529397111171078E-2</v>
      </c>
    </row>
    <row r="324" spans="1:19" ht="15.5" x14ac:dyDescent="0.35">
      <c r="A324" s="3" t="s">
        <v>729</v>
      </c>
      <c r="B324" s="16" t="s">
        <v>3277</v>
      </c>
      <c r="C324" s="17" t="s">
        <v>1567</v>
      </c>
      <c r="D324" s="17" t="str">
        <f t="shared" si="54"/>
        <v>11/04/98</v>
      </c>
      <c r="E324" s="3" t="s">
        <v>3918</v>
      </c>
      <c r="F324" s="6">
        <v>22019.023999999998</v>
      </c>
      <c r="G324" s="6">
        <f>IF(F324=0,$Y$3,F324)</f>
        <v>22019.023999999998</v>
      </c>
      <c r="H324" s="79">
        <f t="shared" si="51"/>
        <v>19</v>
      </c>
      <c r="I324">
        <f t="shared" si="52"/>
        <v>24</v>
      </c>
      <c r="J324">
        <f t="shared" si="53"/>
        <v>3</v>
      </c>
      <c r="K324">
        <f t="shared" si="55"/>
        <v>41</v>
      </c>
      <c r="L324" s="80">
        <f t="shared" si="56"/>
        <v>3</v>
      </c>
      <c r="M324" s="80">
        <f t="shared" si="57"/>
        <v>44</v>
      </c>
      <c r="N324">
        <f t="shared" si="58"/>
        <v>18487.597143951039</v>
      </c>
      <c r="O324" s="87">
        <f>(((1-((1+$W$11)/(1+$W$10))^(6*(J324+K324)))/($W$10-$W$11))*(1+$W$10)^(6*(J324+K324)))</f>
        <v>4200.5189242334509</v>
      </c>
      <c r="P324" s="69">
        <f>N324*0.065*O324</f>
        <v>5047737.608340092</v>
      </c>
      <c r="Q324" s="69">
        <f t="shared" si="59"/>
        <v>33651.584055600615</v>
      </c>
      <c r="R324" s="69">
        <f>G324*(1+0.06)^K324</f>
        <v>240070.35832169466</v>
      </c>
      <c r="S324" s="77">
        <f t="shared" si="50"/>
        <v>0.14017384024773039</v>
      </c>
    </row>
    <row r="325" spans="1:19" ht="15.5" x14ac:dyDescent="0.35">
      <c r="A325" s="3" t="s">
        <v>730</v>
      </c>
      <c r="B325" s="16" t="s">
        <v>3278</v>
      </c>
      <c r="C325" s="17" t="s">
        <v>1568</v>
      </c>
      <c r="D325" s="17" t="str">
        <f t="shared" si="54"/>
        <v>25/07/65</v>
      </c>
      <c r="E325" s="3" t="s">
        <v>3919</v>
      </c>
      <c r="F325" s="6">
        <v>6836.655999999999</v>
      </c>
      <c r="G325" s="6">
        <f>IF(F325=0,$Y$3,F325)</f>
        <v>6836.655999999999</v>
      </c>
      <c r="H325" s="79">
        <f t="shared" si="51"/>
        <v>10</v>
      </c>
      <c r="I325">
        <f t="shared" si="52"/>
        <v>57</v>
      </c>
      <c r="J325">
        <f t="shared" si="53"/>
        <v>3</v>
      </c>
      <c r="K325">
        <f t="shared" si="55"/>
        <v>8</v>
      </c>
      <c r="L325" s="80">
        <f t="shared" si="56"/>
        <v>12</v>
      </c>
      <c r="M325" s="80">
        <f t="shared" si="57"/>
        <v>20</v>
      </c>
      <c r="N325">
        <f t="shared" si="58"/>
        <v>5740.1882090584822</v>
      </c>
      <c r="O325" s="87">
        <f>(((1-((1+$W$11)/(1+$W$10))^(6*(J325+K325)))/($W$10-$W$11))*(1+$W$10)^(6*(J325+K325)))</f>
        <v>130.60881470292074</v>
      </c>
      <c r="P325" s="69">
        <f>N325*0.065*O325</f>
        <v>48731.746580192637</v>
      </c>
      <c r="Q325" s="69">
        <f t="shared" si="59"/>
        <v>324.87831053461758</v>
      </c>
      <c r="R325" s="69">
        <f>G325*(1+0.06)^K325</f>
        <v>10896.591001829729</v>
      </c>
      <c r="S325" s="77">
        <f t="shared" ref="S325:S388" si="60">Q325/R325</f>
        <v>2.9814674193063207E-2</v>
      </c>
    </row>
    <row r="326" spans="1:19" ht="15.5" x14ac:dyDescent="0.35">
      <c r="A326" s="3" t="s">
        <v>731</v>
      </c>
      <c r="B326" s="16" t="s">
        <v>3279</v>
      </c>
      <c r="C326" s="17" t="s">
        <v>1569</v>
      </c>
      <c r="D326" s="17" t="str">
        <f t="shared" si="54"/>
        <v>17/05/01</v>
      </c>
      <c r="E326" s="3" t="s">
        <v>3920</v>
      </c>
      <c r="F326" s="6">
        <v>5617.3119999999999</v>
      </c>
      <c r="G326" s="6">
        <f>IF(F326=0,$Y$3,F326)</f>
        <v>5617.3119999999999</v>
      </c>
      <c r="H326" s="79">
        <f t="shared" si="51"/>
        <v>19</v>
      </c>
      <c r="I326">
        <f t="shared" si="52"/>
        <v>21</v>
      </c>
      <c r="J326">
        <f t="shared" si="53"/>
        <v>3</v>
      </c>
      <c r="K326">
        <f t="shared" si="55"/>
        <v>44</v>
      </c>
      <c r="L326" s="80">
        <f t="shared" si="56"/>
        <v>3</v>
      </c>
      <c r="M326" s="80">
        <f t="shared" si="57"/>
        <v>47</v>
      </c>
      <c r="N326">
        <f t="shared" si="58"/>
        <v>4716.4034740087445</v>
      </c>
      <c r="O326" s="87">
        <f>(((1-((1+$W$11)/(1+$W$10))^(6*(J326+K326)))/($W$10-$W$11))*(1+$W$10)^(6*(J326+K326)))</f>
        <v>5425.213398983954</v>
      </c>
      <c r="P326" s="69">
        <f>N326*0.065*O326</f>
        <v>1663187.1959434364</v>
      </c>
      <c r="Q326" s="69">
        <f t="shared" si="59"/>
        <v>11087.91463962291</v>
      </c>
      <c r="R326" s="69">
        <f>G326*(1+0.06)^K326</f>
        <v>72943.50337388154</v>
      </c>
      <c r="S326" s="77">
        <f t="shared" si="60"/>
        <v>0.15200688377675448</v>
      </c>
    </row>
    <row r="327" spans="1:19" ht="15.5" x14ac:dyDescent="0.35">
      <c r="A327" s="3" t="s">
        <v>733</v>
      </c>
      <c r="B327" s="16" t="s">
        <v>3281</v>
      </c>
      <c r="C327" s="17" t="s">
        <v>1571</v>
      </c>
      <c r="D327" s="17" t="str">
        <f t="shared" si="54"/>
        <v>17/05/96</v>
      </c>
      <c r="E327" s="3" t="s">
        <v>3921</v>
      </c>
      <c r="F327" s="6">
        <v>14107.119999999999</v>
      </c>
      <c r="G327" s="6">
        <f>IF(F327=0,$Y$3,F327)</f>
        <v>14107.119999999999</v>
      </c>
      <c r="H327" s="79">
        <f t="shared" si="51"/>
        <v>15</v>
      </c>
      <c r="I327">
        <f t="shared" si="52"/>
        <v>26</v>
      </c>
      <c r="J327">
        <f t="shared" si="53"/>
        <v>3</v>
      </c>
      <c r="K327">
        <f t="shared" si="55"/>
        <v>39</v>
      </c>
      <c r="L327" s="80">
        <f t="shared" si="56"/>
        <v>7</v>
      </c>
      <c r="M327" s="80">
        <f t="shared" si="57"/>
        <v>46</v>
      </c>
      <c r="N327">
        <f t="shared" si="58"/>
        <v>11844.609980050642</v>
      </c>
      <c r="O327" s="87">
        <f>(((1-((1+$W$11)/(1+$W$10))^(6*(J327+K327)))/($W$10-$W$11))*(1+$W$10)^(6*(J327+K327)))</f>
        <v>3532.9398561414855</v>
      </c>
      <c r="P327" s="69">
        <f>N327*0.065*O327</f>
        <v>2720009.1541331876</v>
      </c>
      <c r="Q327" s="69">
        <f t="shared" si="59"/>
        <v>18133.394360887916</v>
      </c>
      <c r="R327" s="69">
        <f>G327*(1+0.06)^K327</f>
        <v>136888.54455206409</v>
      </c>
      <c r="S327" s="77">
        <f t="shared" si="60"/>
        <v>0.13246831150280128</v>
      </c>
    </row>
    <row r="328" spans="1:19" ht="15.5" x14ac:dyDescent="0.35">
      <c r="A328" s="3" t="s">
        <v>734</v>
      </c>
      <c r="B328" s="16" t="s">
        <v>3282</v>
      </c>
      <c r="C328" s="17" t="s">
        <v>1572</v>
      </c>
      <c r="D328" s="17" t="str">
        <f t="shared" si="54"/>
        <v>10/12/73</v>
      </c>
      <c r="E328" s="3" t="s">
        <v>3922</v>
      </c>
      <c r="F328" s="6">
        <v>46515.039999999994</v>
      </c>
      <c r="G328" s="6">
        <f>IF(F328=0,$Y$3,F328)</f>
        <v>46515.039999999994</v>
      </c>
      <c r="H328" s="79">
        <f t="shared" si="51"/>
        <v>99</v>
      </c>
      <c r="I328">
        <f t="shared" si="52"/>
        <v>49</v>
      </c>
      <c r="J328">
        <f t="shared" si="53"/>
        <v>3</v>
      </c>
      <c r="K328">
        <f t="shared" si="55"/>
        <v>16</v>
      </c>
      <c r="L328" s="80">
        <f t="shared" si="56"/>
        <v>23</v>
      </c>
      <c r="M328" s="80">
        <f t="shared" si="57"/>
        <v>39</v>
      </c>
      <c r="N328">
        <f t="shared" si="58"/>
        <v>39054.924535018828</v>
      </c>
      <c r="O328" s="87">
        <f>(((1-((1+$W$11)/(1+$W$10))^(6*(J328+K328)))/($W$10-$W$11))*(1+$W$10)^(6*(J328+K328)))</f>
        <v>373.65839639087795</v>
      </c>
      <c r="P328" s="69">
        <f>N328*0.065*O328</f>
        <v>948558.03073992289</v>
      </c>
      <c r="Q328" s="69">
        <f t="shared" si="59"/>
        <v>6323.7202049328189</v>
      </c>
      <c r="R328" s="69">
        <f>G328*(1+0.06)^K328</f>
        <v>118164.56022722146</v>
      </c>
      <c r="S328" s="77">
        <f t="shared" si="60"/>
        <v>5.3516216645437396E-2</v>
      </c>
    </row>
    <row r="329" spans="1:19" ht="15.5" x14ac:dyDescent="0.35">
      <c r="A329" s="3" t="s">
        <v>736</v>
      </c>
      <c r="B329" s="16" t="s">
        <v>3284</v>
      </c>
      <c r="C329" s="17" t="s">
        <v>1574</v>
      </c>
      <c r="D329" s="17" t="str">
        <f t="shared" si="54"/>
        <v>05/10/98</v>
      </c>
      <c r="E329" s="3" t="s">
        <v>3923</v>
      </c>
      <c r="F329" s="6">
        <v>15030.975999999999</v>
      </c>
      <c r="G329" s="6">
        <f>IF(F329=0,$Y$3,F329)</f>
        <v>15030.975999999999</v>
      </c>
      <c r="H329" s="79">
        <f t="shared" si="51"/>
        <v>14</v>
      </c>
      <c r="I329">
        <f t="shared" si="52"/>
        <v>24</v>
      </c>
      <c r="J329">
        <f t="shared" si="53"/>
        <v>2</v>
      </c>
      <c r="K329">
        <f t="shared" si="55"/>
        <v>41</v>
      </c>
      <c r="L329" s="80">
        <f t="shared" si="56"/>
        <v>8</v>
      </c>
      <c r="M329" s="80">
        <f t="shared" si="57"/>
        <v>49</v>
      </c>
      <c r="N329">
        <f t="shared" si="58"/>
        <v>13377.515129939478</v>
      </c>
      <c r="O329" s="87">
        <f>(((1-((1+$W$11)/(1+$W$10))^(6*(J329+K329)))/($W$10-$W$11))*(1+$W$10)^(6*(J329+K329)))</f>
        <v>3853.3236192812783</v>
      </c>
      <c r="P329" s="69">
        <f>N329*0.065*O329</f>
        <v>3350613.1761367493</v>
      </c>
      <c r="Q329" s="69">
        <f t="shared" si="59"/>
        <v>22337.421174244995</v>
      </c>
      <c r="R329" s="69">
        <f>G329*(1+0.06)^K329</f>
        <v>163880.64222305187</v>
      </c>
      <c r="S329" s="77">
        <f t="shared" si="60"/>
        <v>0.13630298777962049</v>
      </c>
    </row>
    <row r="330" spans="1:19" ht="15.5" x14ac:dyDescent="0.35">
      <c r="A330" s="3" t="s">
        <v>739</v>
      </c>
      <c r="B330" s="16" t="s">
        <v>3287</v>
      </c>
      <c r="C330" s="17" t="s">
        <v>1577</v>
      </c>
      <c r="D330" s="17" t="str">
        <f t="shared" si="54"/>
        <v>28/09/95</v>
      </c>
      <c r="E330" s="3" t="s">
        <v>3923</v>
      </c>
      <c r="F330" s="6">
        <v>14923.664000000001</v>
      </c>
      <c r="G330" s="6">
        <f>IF(F330=0,$Y$3,F330)</f>
        <v>14923.664000000001</v>
      </c>
      <c r="H330" s="79">
        <f t="shared" si="51"/>
        <v>19</v>
      </c>
      <c r="I330">
        <f t="shared" si="52"/>
        <v>27</v>
      </c>
      <c r="J330">
        <f t="shared" si="53"/>
        <v>2</v>
      </c>
      <c r="K330">
        <f t="shared" si="55"/>
        <v>38</v>
      </c>
      <c r="L330" s="80">
        <f t="shared" si="56"/>
        <v>3</v>
      </c>
      <c r="M330" s="80">
        <f t="shared" si="57"/>
        <v>41</v>
      </c>
      <c r="N330">
        <f t="shared" si="58"/>
        <v>13282.007831968671</v>
      </c>
      <c r="O330" s="87">
        <f>(((1-((1+$W$11)/(1+$W$10))^(6*(J330+K330)))/($W$10-$W$11))*(1+$W$10)^(6*(J330+K330)))</f>
        <v>2964.8060935111685</v>
      </c>
      <c r="P330" s="69">
        <f>N330*0.065*O330</f>
        <v>2559607.5540284454</v>
      </c>
      <c r="Q330" s="69">
        <f t="shared" si="59"/>
        <v>17064.050360189634</v>
      </c>
      <c r="R330" s="69">
        <f>G330*(1+0.06)^K330</f>
        <v>136614.98619832724</v>
      </c>
      <c r="S330" s="77">
        <f t="shared" si="60"/>
        <v>0.12490613830182104</v>
      </c>
    </row>
    <row r="331" spans="1:19" ht="15.5" x14ac:dyDescent="0.35">
      <c r="A331" s="3" t="s">
        <v>3924</v>
      </c>
      <c r="B331" s="16" t="s">
        <v>3925</v>
      </c>
      <c r="C331" s="17" t="s">
        <v>3927</v>
      </c>
      <c r="D331" s="17" t="str">
        <f t="shared" si="54"/>
        <v>24/11/92</v>
      </c>
      <c r="E331" s="3" t="s">
        <v>3928</v>
      </c>
      <c r="F331" s="6">
        <v>17624.095999999998</v>
      </c>
      <c r="G331" s="6">
        <f>IF(F331=0,$Y$3,F331)</f>
        <v>17624.095999999998</v>
      </c>
      <c r="H331" s="79">
        <f t="shared" si="51"/>
        <v>10</v>
      </c>
      <c r="I331">
        <f t="shared" si="52"/>
        <v>30</v>
      </c>
      <c r="J331">
        <f t="shared" si="53"/>
        <v>0</v>
      </c>
      <c r="K331">
        <f t="shared" si="55"/>
        <v>35</v>
      </c>
      <c r="L331" s="80">
        <f t="shared" si="56"/>
        <v>12</v>
      </c>
      <c r="M331" s="80">
        <f t="shared" si="57"/>
        <v>47</v>
      </c>
      <c r="N331">
        <f t="shared" si="58"/>
        <v>17624.095999999998</v>
      </c>
      <c r="O331" s="87">
        <f>(((1-((1+$W$11)/(1+$W$10))^(6*(J331+K331)))/($W$10-$W$11))*(1+$W$10)^(6*(J331+K331)))</f>
        <v>1890.963685662718</v>
      </c>
      <c r="P331" s="69">
        <f>N331*0.065*O331</f>
        <v>2166224.1593611818</v>
      </c>
      <c r="Q331" s="69">
        <f t="shared" si="59"/>
        <v>14441.494395741212</v>
      </c>
      <c r="R331" s="69">
        <f>G331*(1+0.06)^K331</f>
        <v>135460.3314920449</v>
      </c>
      <c r="S331" s="77">
        <f t="shared" si="60"/>
        <v>0.10661050535366001</v>
      </c>
    </row>
    <row r="332" spans="1:19" ht="15.5" x14ac:dyDescent="0.35">
      <c r="A332" s="3" t="s">
        <v>742</v>
      </c>
      <c r="B332" s="16" t="s">
        <v>3290</v>
      </c>
      <c r="C332" s="17" t="s">
        <v>1580</v>
      </c>
      <c r="D332" s="17" t="str">
        <f t="shared" si="54"/>
        <v>22/09/87</v>
      </c>
      <c r="E332" s="3" t="s">
        <v>3929</v>
      </c>
      <c r="F332" s="6">
        <v>5617.3119999999999</v>
      </c>
      <c r="G332" s="6">
        <f>IF(F332=0,$Y$3,F332)</f>
        <v>5617.3119999999999</v>
      </c>
      <c r="H332" s="79">
        <f t="shared" si="51"/>
        <v>10</v>
      </c>
      <c r="I332">
        <f t="shared" si="52"/>
        <v>35</v>
      </c>
      <c r="J332">
        <f t="shared" si="53"/>
        <v>2</v>
      </c>
      <c r="K332">
        <f t="shared" si="55"/>
        <v>30</v>
      </c>
      <c r="L332" s="80">
        <f t="shared" si="56"/>
        <v>12</v>
      </c>
      <c r="M332" s="80">
        <f t="shared" si="57"/>
        <v>42</v>
      </c>
      <c r="N332">
        <f t="shared" si="58"/>
        <v>4999.3876824492691</v>
      </c>
      <c r="O332" s="87">
        <f>(((1-((1+$W$11)/(1+$W$10))^(6*(J332+K332)))/($W$10-$W$11))*(1+$W$10)^(6*(J332+K332)))</f>
        <v>1430.2452154182549</v>
      </c>
      <c r="P332" s="69">
        <f>N332*0.065*O332</f>
        <v>464772.77033486159</v>
      </c>
      <c r="Q332" s="69">
        <f t="shared" si="59"/>
        <v>3098.4851355657438</v>
      </c>
      <c r="R332" s="69">
        <f>G332*(1+0.06)^K332</f>
        <v>32262.981887499725</v>
      </c>
      <c r="S332" s="77">
        <f t="shared" si="60"/>
        <v>9.6038399251814052E-2</v>
      </c>
    </row>
    <row r="333" spans="1:19" ht="15.5" x14ac:dyDescent="0.35">
      <c r="A333" s="3" t="s">
        <v>743</v>
      </c>
      <c r="B333" s="16" t="s">
        <v>3291</v>
      </c>
      <c r="C333" s="17" t="s">
        <v>1581</v>
      </c>
      <c r="D333" s="17" t="str">
        <f t="shared" si="54"/>
        <v>21/06/91</v>
      </c>
      <c r="E333" s="3" t="s">
        <v>3929</v>
      </c>
      <c r="F333" s="6">
        <v>18365.552</v>
      </c>
      <c r="G333" s="6">
        <f>IF(F333=0,$Y$3,F333)</f>
        <v>18365.552</v>
      </c>
      <c r="H333" s="79">
        <f t="shared" si="51"/>
        <v>9</v>
      </c>
      <c r="I333">
        <f t="shared" si="52"/>
        <v>31</v>
      </c>
      <c r="J333">
        <f t="shared" si="53"/>
        <v>2</v>
      </c>
      <c r="K333">
        <f t="shared" si="55"/>
        <v>34</v>
      </c>
      <c r="L333" s="80">
        <f t="shared" si="56"/>
        <v>13</v>
      </c>
      <c r="M333" s="80">
        <f t="shared" si="57"/>
        <v>47</v>
      </c>
      <c r="N333">
        <f t="shared" si="58"/>
        <v>16345.275898896401</v>
      </c>
      <c r="O333" s="87">
        <f>(((1-((1+$W$11)/(1+$W$10))^(6*(J333+K333)))/($W$10-$W$11))*(1+$W$10)^(6*(J333+K333)))</f>
        <v>2071.9321695914473</v>
      </c>
      <c r="P333" s="69">
        <f>N333*0.065*O333</f>
        <v>2201309.692125129</v>
      </c>
      <c r="Q333" s="69">
        <f t="shared" si="59"/>
        <v>14675.39794750086</v>
      </c>
      <c r="R333" s="69">
        <f>G333*(1+0.06)^K333</f>
        <v>133169.08175540157</v>
      </c>
      <c r="S333" s="77">
        <f t="shared" si="60"/>
        <v>0.11020124006303438</v>
      </c>
    </row>
    <row r="334" spans="1:19" ht="15.5" x14ac:dyDescent="0.35">
      <c r="A334" s="3" t="s">
        <v>744</v>
      </c>
      <c r="B334" s="16" t="s">
        <v>3292</v>
      </c>
      <c r="C334" s="17" t="s">
        <v>1582</v>
      </c>
      <c r="D334" s="17" t="str">
        <f t="shared" si="54"/>
        <v>24/08/92</v>
      </c>
      <c r="E334" s="3" t="s">
        <v>3930</v>
      </c>
      <c r="F334" s="6">
        <v>8086.0959999999995</v>
      </c>
      <c r="G334" s="6">
        <f>IF(F334=0,$Y$3,F334)</f>
        <v>8086.0959999999995</v>
      </c>
      <c r="H334" s="79">
        <f t="shared" si="51"/>
        <v>11</v>
      </c>
      <c r="I334">
        <f t="shared" si="52"/>
        <v>30</v>
      </c>
      <c r="J334">
        <f t="shared" si="53"/>
        <v>2</v>
      </c>
      <c r="K334">
        <f t="shared" si="55"/>
        <v>35</v>
      </c>
      <c r="L334" s="80">
        <f t="shared" si="56"/>
        <v>11</v>
      </c>
      <c r="M334" s="80">
        <f t="shared" si="57"/>
        <v>46</v>
      </c>
      <c r="N334">
        <f t="shared" si="58"/>
        <v>7196.5966536133847</v>
      </c>
      <c r="O334" s="87">
        <f>(((1-((1+$W$11)/(1+$W$10))^(6*(J334+K334)))/($W$10-$W$11))*(1+$W$10)^(6*(J334+K334)))</f>
        <v>2268.4845089511282</v>
      </c>
      <c r="P334" s="69">
        <f>N334*0.065*O334</f>
        <v>1061148.9216829471</v>
      </c>
      <c r="Q334" s="69">
        <f t="shared" si="59"/>
        <v>7074.3261445529806</v>
      </c>
      <c r="R334" s="69">
        <f>G334*(1+0.06)^K334</f>
        <v>62150.435666969723</v>
      </c>
      <c r="S334" s="77">
        <f t="shared" si="60"/>
        <v>0.11382584962815763</v>
      </c>
    </row>
    <row r="335" spans="1:19" ht="15.5" x14ac:dyDescent="0.35">
      <c r="A335" s="3" t="s">
        <v>745</v>
      </c>
      <c r="B335" s="16" t="s">
        <v>3293</v>
      </c>
      <c r="C335" s="17" t="s">
        <v>1583</v>
      </c>
      <c r="D335" s="17" t="str">
        <f t="shared" si="54"/>
        <v>14/08/86</v>
      </c>
      <c r="E335" s="3" t="s">
        <v>3931</v>
      </c>
      <c r="F335" s="6">
        <v>50460.047999999995</v>
      </c>
      <c r="G335" s="6">
        <f>IF(F335=0,$Y$3,F335)</f>
        <v>50460.047999999995</v>
      </c>
      <c r="H335" s="79">
        <f t="shared" si="51"/>
        <v>4</v>
      </c>
      <c r="I335">
        <f t="shared" si="52"/>
        <v>36</v>
      </c>
      <c r="J335">
        <f t="shared" si="53"/>
        <v>2</v>
      </c>
      <c r="K335">
        <f t="shared" si="55"/>
        <v>29</v>
      </c>
      <c r="L335" s="80">
        <f t="shared" si="56"/>
        <v>18</v>
      </c>
      <c r="M335" s="80">
        <f t="shared" si="57"/>
        <v>47</v>
      </c>
      <c r="N335">
        <f t="shared" si="58"/>
        <v>44909.263082947655</v>
      </c>
      <c r="O335" s="87">
        <f>(((1-((1+$W$11)/(1+$W$10))^(6*(J335+K335)))/($W$10-$W$11))*(1+$W$10)^(6*(J335+K335)))</f>
        <v>1300.6996735984885</v>
      </c>
      <c r="P335" s="69">
        <f>N335*0.065*O335</f>
        <v>3796875.1491800132</v>
      </c>
      <c r="Q335" s="69">
        <f t="shared" si="59"/>
        <v>25312.50099453342</v>
      </c>
      <c r="R335" s="69">
        <f>G335*(1+0.06)^K335</f>
        <v>273412.11346488615</v>
      </c>
      <c r="S335" s="77">
        <f t="shared" si="60"/>
        <v>9.2580027540675375E-2</v>
      </c>
    </row>
    <row r="336" spans="1:19" ht="15.5" x14ac:dyDescent="0.35">
      <c r="A336" s="3" t="s">
        <v>3932</v>
      </c>
      <c r="B336" s="16" t="s">
        <v>3933</v>
      </c>
      <c r="C336" s="17" t="s">
        <v>3935</v>
      </c>
      <c r="D336" s="17" t="str">
        <f t="shared" si="54"/>
        <v>25/06/87</v>
      </c>
      <c r="E336" s="3" t="s">
        <v>3936</v>
      </c>
      <c r="F336" s="6">
        <v>25827.84</v>
      </c>
      <c r="G336" s="6">
        <f>IF(F336=0,$Y$3,F336)</f>
        <v>25827.84</v>
      </c>
      <c r="H336" s="79">
        <f t="shared" si="51"/>
        <v>6</v>
      </c>
      <c r="I336">
        <f t="shared" si="52"/>
        <v>35</v>
      </c>
      <c r="J336">
        <f t="shared" si="53"/>
        <v>0</v>
      </c>
      <c r="K336">
        <f t="shared" si="55"/>
        <v>30</v>
      </c>
      <c r="L336" s="80">
        <f t="shared" si="56"/>
        <v>16</v>
      </c>
      <c r="M336" s="80">
        <f t="shared" si="57"/>
        <v>46</v>
      </c>
      <c r="N336">
        <f t="shared" si="58"/>
        <v>25827.84</v>
      </c>
      <c r="O336" s="87">
        <f>(((1-((1+$W$11)/(1+$W$10))^(6*(J336+K336)))/($W$10-$W$11))*(1+$W$10)^(6*(J336+K336)))</f>
        <v>1181.6655698699749</v>
      </c>
      <c r="P336" s="69">
        <f>N336*0.065*O336</f>
        <v>1983791.5026871846</v>
      </c>
      <c r="Q336" s="69">
        <f t="shared" si="59"/>
        <v>13225.276684581231</v>
      </c>
      <c r="R336" s="69">
        <f>G336*(1+0.06)^K336</f>
        <v>148341.97105541601</v>
      </c>
      <c r="S336" s="77">
        <f t="shared" si="60"/>
        <v>8.915397706048192E-2</v>
      </c>
    </row>
    <row r="337" spans="1:19" ht="15.5" x14ac:dyDescent="0.35">
      <c r="A337" s="3" t="s">
        <v>750</v>
      </c>
      <c r="B337" s="16" t="s">
        <v>3298</v>
      </c>
      <c r="C337" s="17" t="s">
        <v>1588</v>
      </c>
      <c r="D337" s="17" t="str">
        <f t="shared" si="54"/>
        <v>29/01/96</v>
      </c>
      <c r="E337" s="3" t="s">
        <v>3937</v>
      </c>
      <c r="F337" s="6">
        <v>10618.72</v>
      </c>
      <c r="G337" s="6">
        <f>IF(F337=0,$Y$3,F337)</f>
        <v>10618.72</v>
      </c>
      <c r="H337" s="79">
        <f t="shared" si="51"/>
        <v>11</v>
      </c>
      <c r="I337">
        <f t="shared" si="52"/>
        <v>26</v>
      </c>
      <c r="J337">
        <f t="shared" si="53"/>
        <v>2</v>
      </c>
      <c r="K337">
        <f t="shared" si="55"/>
        <v>39</v>
      </c>
      <c r="L337" s="80">
        <f t="shared" si="56"/>
        <v>11</v>
      </c>
      <c r="M337" s="80">
        <f t="shared" si="57"/>
        <v>50</v>
      </c>
      <c r="N337">
        <f t="shared" si="58"/>
        <v>9450.6229975080078</v>
      </c>
      <c r="O337" s="87">
        <f>(((1-((1+$W$11)/(1+$W$10))^(6*(J337+K337)))/($W$10-$W$11))*(1+$W$10)^(6*(J337+K337)))</f>
        <v>3237.3816560572077</v>
      </c>
      <c r="P337" s="69">
        <f>N337*0.065*O337</f>
        <v>1988692.7794789125</v>
      </c>
      <c r="Q337" s="69">
        <f t="shared" si="59"/>
        <v>13257.951863192749</v>
      </c>
      <c r="R337" s="69">
        <f>G337*(1+0.06)^K337</f>
        <v>103038.82903143193</v>
      </c>
      <c r="S337" s="77">
        <f t="shared" si="60"/>
        <v>0.12866947332202716</v>
      </c>
    </row>
    <row r="338" spans="1:19" ht="15.5" x14ac:dyDescent="0.35">
      <c r="A338" s="3" t="s">
        <v>752</v>
      </c>
      <c r="B338" s="16" t="s">
        <v>3300</v>
      </c>
      <c r="C338" s="17" t="s">
        <v>1590</v>
      </c>
      <c r="D338" s="17" t="str">
        <f t="shared" si="54"/>
        <v>27/06/96</v>
      </c>
      <c r="E338" s="3" t="s">
        <v>3680</v>
      </c>
      <c r="F338" s="6">
        <v>9552.5920000000006</v>
      </c>
      <c r="G338" s="6">
        <f>IF(F338=0,$Y$3,F338)</f>
        <v>9552.5920000000006</v>
      </c>
      <c r="H338" s="79">
        <f t="shared" si="51"/>
        <v>16</v>
      </c>
      <c r="I338">
        <f t="shared" si="52"/>
        <v>26</v>
      </c>
      <c r="J338">
        <f t="shared" si="53"/>
        <v>2</v>
      </c>
      <c r="K338">
        <f t="shared" si="55"/>
        <v>39</v>
      </c>
      <c r="L338" s="80">
        <f t="shared" si="56"/>
        <v>6</v>
      </c>
      <c r="M338" s="80">
        <f t="shared" si="57"/>
        <v>45</v>
      </c>
      <c r="N338">
        <f t="shared" si="58"/>
        <v>8501.7728729085084</v>
      </c>
      <c r="O338" s="87">
        <f>(((1-((1+$W$11)/(1+$W$10))^(6*(J338+K338)))/($W$10-$W$11))*(1+$W$10)^(6*(J338+K338)))</f>
        <v>3237.3816560572077</v>
      </c>
      <c r="P338" s="69">
        <f>N338*0.065*O338</f>
        <v>1789026.4302767217</v>
      </c>
      <c r="Q338" s="69">
        <f t="shared" si="59"/>
        <v>11926.842868511478</v>
      </c>
      <c r="R338" s="69">
        <f>G338*(1+0.06)^K338</f>
        <v>92693.648000420435</v>
      </c>
      <c r="S338" s="77">
        <f t="shared" si="60"/>
        <v>0.12866947332202722</v>
      </c>
    </row>
    <row r="339" spans="1:19" ht="15.5" x14ac:dyDescent="0.35">
      <c r="A339" s="3" t="s">
        <v>753</v>
      </c>
      <c r="B339" s="16" t="s">
        <v>3301</v>
      </c>
      <c r="C339" s="17" t="s">
        <v>1591</v>
      </c>
      <c r="D339" s="17" t="str">
        <f t="shared" si="54"/>
        <v>04/04/92</v>
      </c>
      <c r="E339" s="3" t="s">
        <v>3939</v>
      </c>
      <c r="F339" s="6">
        <v>21611.359999999997</v>
      </c>
      <c r="G339" s="6">
        <f>IF(F339=0,$Y$3,F339)</f>
        <v>21611.359999999997</v>
      </c>
      <c r="H339" s="79">
        <f t="shared" si="51"/>
        <v>10</v>
      </c>
      <c r="I339">
        <f t="shared" si="52"/>
        <v>30</v>
      </c>
      <c r="J339">
        <f t="shared" si="53"/>
        <v>2</v>
      </c>
      <c r="K339">
        <f t="shared" si="55"/>
        <v>35</v>
      </c>
      <c r="L339" s="80">
        <f t="shared" si="56"/>
        <v>12</v>
      </c>
      <c r="M339" s="80">
        <f t="shared" si="57"/>
        <v>47</v>
      </c>
      <c r="N339">
        <f t="shared" si="58"/>
        <v>19234.033463866141</v>
      </c>
      <c r="O339" s="87">
        <f>(((1-((1+$W$11)/(1+$W$10))^(6*(J339+K339)))/($W$10-$W$11))*(1+$W$10)^(6*(J339+K339)))</f>
        <v>2268.4845089511282</v>
      </c>
      <c r="P339" s="69">
        <f>N339*0.065*O339</f>
        <v>2836086.9522328167</v>
      </c>
      <c r="Q339" s="69">
        <f t="shared" si="59"/>
        <v>18907.246348218778</v>
      </c>
      <c r="R339" s="69">
        <f>G339*(1+0.06)^K339</f>
        <v>166106.78865990741</v>
      </c>
      <c r="S339" s="77">
        <f t="shared" si="60"/>
        <v>0.11382584962815762</v>
      </c>
    </row>
    <row r="340" spans="1:19" ht="15.5" x14ac:dyDescent="0.35">
      <c r="A340" s="3" t="s">
        <v>758</v>
      </c>
      <c r="B340" s="16" t="s">
        <v>3306</v>
      </c>
      <c r="C340" s="17" t="s">
        <v>1595</v>
      </c>
      <c r="D340" s="17" t="str">
        <f t="shared" si="54"/>
        <v>26/01/77</v>
      </c>
      <c r="E340" s="3" t="s">
        <v>3938</v>
      </c>
      <c r="F340" s="6">
        <v>18734</v>
      </c>
      <c r="G340" s="6">
        <f>IF(F340=0,$Y$3,F340)</f>
        <v>18734</v>
      </c>
      <c r="H340" s="79">
        <f t="shared" si="51"/>
        <v>7</v>
      </c>
      <c r="I340">
        <f t="shared" si="52"/>
        <v>45</v>
      </c>
      <c r="J340">
        <f t="shared" si="53"/>
        <v>2</v>
      </c>
      <c r="K340">
        <f t="shared" si="55"/>
        <v>20</v>
      </c>
      <c r="L340" s="80">
        <f t="shared" si="56"/>
        <v>15</v>
      </c>
      <c r="M340" s="80">
        <f t="shared" si="57"/>
        <v>35</v>
      </c>
      <c r="N340">
        <f t="shared" si="58"/>
        <v>16673.193307226768</v>
      </c>
      <c r="O340" s="87">
        <f>(((1-((1+$W$11)/(1+$W$10))^(6*(J340+K340)))/($W$10-$W$11))*(1+$W$10)^(6*(J340+K340)))</f>
        <v>522.84674327146399</v>
      </c>
      <c r="P340" s="69">
        <f>N340*0.065*O340</f>
        <v>566639.11334024055</v>
      </c>
      <c r="Q340" s="69">
        <f t="shared" si="59"/>
        <v>3777.5940889349372</v>
      </c>
      <c r="R340" s="69">
        <f>G340*(1+0.06)^K340</f>
        <v>60082.475936435498</v>
      </c>
      <c r="S340" s="77">
        <f t="shared" si="60"/>
        <v>6.2873475669202747E-2</v>
      </c>
    </row>
    <row r="341" spans="1:19" ht="15.5" x14ac:dyDescent="0.35">
      <c r="A341" s="3" t="s">
        <v>763</v>
      </c>
      <c r="B341" s="16" t="s">
        <v>3311</v>
      </c>
      <c r="C341" s="17" t="s">
        <v>1600</v>
      </c>
      <c r="D341" s="17" t="str">
        <f t="shared" si="54"/>
        <v>05/01/00</v>
      </c>
      <c r="E341" s="3" t="s">
        <v>3941</v>
      </c>
      <c r="F341" s="6">
        <v>11165.008</v>
      </c>
      <c r="G341" s="6">
        <f>IF(F341=0,$Y$3,F341)</f>
        <v>11165.008</v>
      </c>
      <c r="H341" s="79">
        <f t="shared" si="51"/>
        <v>19</v>
      </c>
      <c r="I341">
        <f t="shared" si="52"/>
        <v>22</v>
      </c>
      <c r="J341">
        <f t="shared" si="53"/>
        <v>2</v>
      </c>
      <c r="K341">
        <f t="shared" si="55"/>
        <v>43</v>
      </c>
      <c r="L341" s="80">
        <f t="shared" si="56"/>
        <v>3</v>
      </c>
      <c r="M341" s="80">
        <f t="shared" si="57"/>
        <v>46</v>
      </c>
      <c r="N341">
        <f t="shared" si="58"/>
        <v>9936.8173727305075</v>
      </c>
      <c r="O341" s="87">
        <f>(((1-((1+$W$11)/(1+$W$10))^(6*(J341+K341)))/($W$10-$W$11))*(1+$W$10)^(6*(J341+K341)))</f>
        <v>4576.6656596284247</v>
      </c>
      <c r="P341" s="69">
        <f>N341*0.065*O341</f>
        <v>2956036.9043253656</v>
      </c>
      <c r="Q341" s="69">
        <f t="shared" si="59"/>
        <v>19706.912695502437</v>
      </c>
      <c r="R341" s="69">
        <f>G341*(1+0.06)^K341</f>
        <v>136776.42399899047</v>
      </c>
      <c r="S341" s="77">
        <f t="shared" si="60"/>
        <v>0.1440812101919545</v>
      </c>
    </row>
    <row r="342" spans="1:19" ht="15.5" x14ac:dyDescent="0.35">
      <c r="A342" s="3" t="s">
        <v>765</v>
      </c>
      <c r="B342" s="16" t="s">
        <v>3313</v>
      </c>
      <c r="C342" s="17" t="s">
        <v>1602</v>
      </c>
      <c r="D342" s="17" t="str">
        <f t="shared" si="54"/>
        <v>11/05/97</v>
      </c>
      <c r="E342" s="3" t="s">
        <v>3942</v>
      </c>
      <c r="F342" s="6">
        <v>13673.616</v>
      </c>
      <c r="G342" s="6">
        <f>IF(F342=0,$Y$3,F342)</f>
        <v>13673.616</v>
      </c>
      <c r="H342" s="79">
        <f t="shared" si="51"/>
        <v>19</v>
      </c>
      <c r="I342">
        <f t="shared" si="52"/>
        <v>25</v>
      </c>
      <c r="J342">
        <f t="shared" si="53"/>
        <v>2</v>
      </c>
      <c r="K342">
        <f t="shared" si="55"/>
        <v>40</v>
      </c>
      <c r="L342" s="80">
        <f t="shared" si="56"/>
        <v>3</v>
      </c>
      <c r="M342" s="80">
        <f t="shared" si="57"/>
        <v>43</v>
      </c>
      <c r="N342">
        <f t="shared" si="58"/>
        <v>12169.469562121751</v>
      </c>
      <c r="O342" s="87">
        <f>(((1-((1+$W$11)/(1+$W$10))^(6*(J342+K342)))/($W$10-$W$11))*(1+$W$10)^(6*(J342+K342)))</f>
        <v>3532.9398561414855</v>
      </c>
      <c r="P342" s="69">
        <f>N342*0.065*O342</f>
        <v>2794610.2628678395</v>
      </c>
      <c r="Q342" s="69">
        <f t="shared" si="59"/>
        <v>18630.735085785596</v>
      </c>
      <c r="R342" s="69">
        <f>G342*(1+0.06)^K342</f>
        <v>140642.95735657209</v>
      </c>
      <c r="S342" s="77">
        <f t="shared" si="60"/>
        <v>0.13246831150280133</v>
      </c>
    </row>
    <row r="343" spans="1:19" ht="15.5" x14ac:dyDescent="0.35">
      <c r="A343" s="3" t="s">
        <v>767</v>
      </c>
      <c r="B343" s="16" t="s">
        <v>3315</v>
      </c>
      <c r="C343" s="17" t="s">
        <v>1604</v>
      </c>
      <c r="D343" s="17" t="str">
        <f t="shared" si="54"/>
        <v>25/01/82</v>
      </c>
      <c r="E343" s="3" t="s">
        <v>3943</v>
      </c>
      <c r="F343" s="6">
        <v>19878.255999999998</v>
      </c>
      <c r="G343" s="6">
        <f>IF(F343=0,$Y$3,F343)</f>
        <v>19878.255999999998</v>
      </c>
      <c r="H343" s="79">
        <f t="shared" si="51"/>
        <v>5</v>
      </c>
      <c r="I343">
        <f t="shared" si="52"/>
        <v>40</v>
      </c>
      <c r="J343">
        <f t="shared" si="53"/>
        <v>2</v>
      </c>
      <c r="K343">
        <f t="shared" si="55"/>
        <v>25</v>
      </c>
      <c r="L343" s="80">
        <f t="shared" si="56"/>
        <v>17</v>
      </c>
      <c r="M343" s="80">
        <f t="shared" si="57"/>
        <v>42</v>
      </c>
      <c r="N343">
        <f t="shared" si="58"/>
        <v>17691.5770736917</v>
      </c>
      <c r="O343" s="87">
        <f>(((1-((1+$W$11)/(1+$W$10))^(6*(J343+K343)))/($W$10-$W$11))*(1+$W$10)^(6*(J343+K343)))</f>
        <v>879.8935468544031</v>
      </c>
      <c r="P343" s="69">
        <f>N343*0.065*O343</f>
        <v>1011835.792553211</v>
      </c>
      <c r="Q343" s="69">
        <f t="shared" si="59"/>
        <v>6745.5719503547398</v>
      </c>
      <c r="R343" s="69">
        <f>G343*(1+0.06)^K343</f>
        <v>85314.904885965298</v>
      </c>
      <c r="S343" s="77">
        <f t="shared" si="60"/>
        <v>7.9066746418707173E-2</v>
      </c>
    </row>
    <row r="344" spans="1:19" ht="15.5" x14ac:dyDescent="0.35">
      <c r="A344" s="3" t="s">
        <v>770</v>
      </c>
      <c r="B344" s="16" t="s">
        <v>3318</v>
      </c>
      <c r="C344" s="17" t="s">
        <v>1607</v>
      </c>
      <c r="D344" s="17" t="str">
        <f t="shared" si="54"/>
        <v>10/11/99</v>
      </c>
      <c r="E344" s="3" t="s">
        <v>3948</v>
      </c>
      <c r="F344" s="6">
        <v>16071.567999999997</v>
      </c>
      <c r="G344" s="6">
        <f>IF(F344=0,$Y$3,F344)</f>
        <v>16071.567999999997</v>
      </c>
      <c r="H344" s="79">
        <f t="shared" si="51"/>
        <v>15</v>
      </c>
      <c r="I344">
        <f t="shared" si="52"/>
        <v>23</v>
      </c>
      <c r="J344">
        <f t="shared" si="53"/>
        <v>2</v>
      </c>
      <c r="K344">
        <f t="shared" si="55"/>
        <v>42</v>
      </c>
      <c r="L344" s="80">
        <f t="shared" si="56"/>
        <v>7</v>
      </c>
      <c r="M344" s="80">
        <f t="shared" si="57"/>
        <v>49</v>
      </c>
      <c r="N344">
        <f t="shared" si="58"/>
        <v>14303.638305446773</v>
      </c>
      <c r="O344" s="87">
        <f>(((1-((1+$W$11)/(1+$W$10))^(6*(J344+K344)))/($W$10-$W$11))*(1+$W$10)^(6*(J344+K344)))</f>
        <v>4200.5189242334509</v>
      </c>
      <c r="P344" s="69">
        <f>N344*0.065*O344</f>
        <v>3905375.7201822782</v>
      </c>
      <c r="Q344" s="69">
        <f t="shared" si="59"/>
        <v>26035.838134548521</v>
      </c>
      <c r="R344" s="69">
        <f>G344*(1+0.06)^K344</f>
        <v>185739.63650089898</v>
      </c>
      <c r="S344" s="77">
        <f t="shared" si="60"/>
        <v>0.14017384024773036</v>
      </c>
    </row>
    <row r="345" spans="1:19" ht="15.5" x14ac:dyDescent="0.35">
      <c r="A345" s="3" t="s">
        <v>773</v>
      </c>
      <c r="B345" s="16" t="s">
        <v>3321</v>
      </c>
      <c r="C345" s="17" t="s">
        <v>1499</v>
      </c>
      <c r="D345" s="17" t="str">
        <f t="shared" si="54"/>
        <v>17/07/92</v>
      </c>
      <c r="E345" s="3" t="s">
        <v>3949</v>
      </c>
      <c r="F345" s="6">
        <v>9837.44</v>
      </c>
      <c r="G345" s="6">
        <f>IF(F345=0,$Y$3,F345)</f>
        <v>9837.44</v>
      </c>
      <c r="H345" s="79">
        <f t="shared" si="51"/>
        <v>16</v>
      </c>
      <c r="I345">
        <f t="shared" si="52"/>
        <v>30</v>
      </c>
      <c r="J345">
        <f t="shared" si="53"/>
        <v>2</v>
      </c>
      <c r="K345">
        <f t="shared" si="55"/>
        <v>35</v>
      </c>
      <c r="L345" s="80">
        <f t="shared" si="56"/>
        <v>6</v>
      </c>
      <c r="M345" s="80">
        <f t="shared" si="57"/>
        <v>41</v>
      </c>
      <c r="N345">
        <f t="shared" si="58"/>
        <v>8755.2865788536837</v>
      </c>
      <c r="O345" s="87">
        <f>(((1-((1+$W$11)/(1+$W$10))^(6*(J345+K345)))/($W$10-$W$11))*(1+$W$10)^(6*(J345+K345)))</f>
        <v>2268.4845089511282</v>
      </c>
      <c r="P345" s="69">
        <f>N345*0.065*O345</f>
        <v>1290980.0784112248</v>
      </c>
      <c r="Q345" s="69">
        <f t="shared" si="59"/>
        <v>8606.5338560748314</v>
      </c>
      <c r="R345" s="69">
        <f>G345*(1+0.06)^K345</f>
        <v>75611.417654165212</v>
      </c>
      <c r="S345" s="77">
        <f t="shared" si="60"/>
        <v>0.11382584962815762</v>
      </c>
    </row>
    <row r="346" spans="1:19" ht="15.5" x14ac:dyDescent="0.35">
      <c r="A346" s="3" t="s">
        <v>775</v>
      </c>
      <c r="B346" s="16" t="s">
        <v>3323</v>
      </c>
      <c r="C346" s="17" t="s">
        <v>1611</v>
      </c>
      <c r="D346" s="17" t="str">
        <f t="shared" si="54"/>
        <v>09/06/88</v>
      </c>
      <c r="E346" s="3" t="s">
        <v>3950</v>
      </c>
      <c r="F346" s="6">
        <v>76420.804096000007</v>
      </c>
      <c r="G346" s="6">
        <f>IF(F346=0,$Y$3,F346)</f>
        <v>76420.804096000007</v>
      </c>
      <c r="H346" s="79">
        <f t="shared" si="51"/>
        <v>13</v>
      </c>
      <c r="I346">
        <f t="shared" si="52"/>
        <v>34</v>
      </c>
      <c r="J346">
        <f t="shared" si="53"/>
        <v>2</v>
      </c>
      <c r="K346">
        <f t="shared" si="55"/>
        <v>31</v>
      </c>
      <c r="L346" s="80">
        <f t="shared" si="56"/>
        <v>9</v>
      </c>
      <c r="M346" s="80">
        <f t="shared" si="57"/>
        <v>40</v>
      </c>
      <c r="N346">
        <f t="shared" si="58"/>
        <v>68014.243588465644</v>
      </c>
      <c r="O346" s="87">
        <f>(((1-((1+$W$11)/(1+$W$10))^(6*(J346+K346)))/($W$10-$W$11))*(1+$W$10)^(6*(J346+K346)))</f>
        <v>1571.1687390454781</v>
      </c>
      <c r="P346" s="69">
        <f>N346*0.065*O346</f>
        <v>6946020.4668414015</v>
      </c>
      <c r="Q346" s="69">
        <f t="shared" si="59"/>
        <v>46306.803112276008</v>
      </c>
      <c r="R346" s="69">
        <f>G346*(1+0.06)^K346</f>
        <v>465257.5465774482</v>
      </c>
      <c r="S346" s="77">
        <f t="shared" si="60"/>
        <v>9.9529397111171064E-2</v>
      </c>
    </row>
    <row r="347" spans="1:19" ht="15.5" x14ac:dyDescent="0.35">
      <c r="A347" s="3" t="s">
        <v>778</v>
      </c>
      <c r="B347" s="16" t="s">
        <v>3326</v>
      </c>
      <c r="C347" s="17" t="s">
        <v>1614</v>
      </c>
      <c r="D347" s="17" t="str">
        <f t="shared" si="54"/>
        <v>07/11/99</v>
      </c>
      <c r="E347" s="3" t="s">
        <v>3951</v>
      </c>
      <c r="F347" s="6">
        <v>13791.871999999999</v>
      </c>
      <c r="G347" s="6">
        <f>IF(F347=0,$Y$3,F347)</f>
        <v>13791.871999999999</v>
      </c>
      <c r="H347" s="79">
        <f t="shared" si="51"/>
        <v>16</v>
      </c>
      <c r="I347">
        <f t="shared" si="52"/>
        <v>23</v>
      </c>
      <c r="J347">
        <f t="shared" si="53"/>
        <v>2</v>
      </c>
      <c r="K347">
        <f t="shared" si="55"/>
        <v>42</v>
      </c>
      <c r="L347" s="80">
        <f t="shared" si="56"/>
        <v>6</v>
      </c>
      <c r="M347" s="80">
        <f t="shared" si="57"/>
        <v>48</v>
      </c>
      <c r="N347">
        <f t="shared" si="58"/>
        <v>12274.716981132073</v>
      </c>
      <c r="O347" s="87">
        <f>(((1-((1+$W$11)/(1+$W$10))^(6*(J347+K347)))/($W$10-$W$11))*(1+$W$10)^(6*(J347+K347)))</f>
        <v>4200.5189242334509</v>
      </c>
      <c r="P347" s="69">
        <f>N347*0.065*O347</f>
        <v>3351411.7629755731</v>
      </c>
      <c r="Q347" s="69">
        <f t="shared" si="59"/>
        <v>22342.745086503819</v>
      </c>
      <c r="R347" s="69">
        <f>G347*(1+0.06)^K347</f>
        <v>159393.11534175926</v>
      </c>
      <c r="S347" s="77">
        <f t="shared" si="60"/>
        <v>0.14017384024773036</v>
      </c>
    </row>
    <row r="348" spans="1:19" ht="15.5" x14ac:dyDescent="0.35">
      <c r="A348" s="3" t="s">
        <v>779</v>
      </c>
      <c r="B348" s="16" t="s">
        <v>3327</v>
      </c>
      <c r="C348" s="17" t="s">
        <v>1615</v>
      </c>
      <c r="D348" s="17" t="str">
        <f t="shared" si="54"/>
        <v>13/06/00</v>
      </c>
      <c r="E348" s="3" t="s">
        <v>3951</v>
      </c>
      <c r="F348" s="6">
        <v>8066.0319999999992</v>
      </c>
      <c r="G348" s="6">
        <f>IF(F348=0,$Y$3,F348)</f>
        <v>8066.0319999999992</v>
      </c>
      <c r="H348" s="79">
        <f t="shared" si="51"/>
        <v>16</v>
      </c>
      <c r="I348">
        <f t="shared" si="52"/>
        <v>22</v>
      </c>
      <c r="J348">
        <f t="shared" si="53"/>
        <v>2</v>
      </c>
      <c r="K348">
        <f t="shared" si="55"/>
        <v>43</v>
      </c>
      <c r="L348" s="80">
        <f t="shared" si="56"/>
        <v>6</v>
      </c>
      <c r="M348" s="80">
        <f t="shared" si="57"/>
        <v>49</v>
      </c>
      <c r="N348">
        <f t="shared" si="58"/>
        <v>7178.7397650409384</v>
      </c>
      <c r="O348" s="87">
        <f>(((1-((1+$W$11)/(1+$W$10))^(6*(J348+K348)))/($W$10-$W$11))*(1+$W$10)^(6*(J348+K348)))</f>
        <v>4576.6656596284247</v>
      </c>
      <c r="P348" s="69">
        <f>N348*0.065*O348</f>
        <v>2135554.9645346729</v>
      </c>
      <c r="Q348" s="69">
        <f t="shared" si="59"/>
        <v>14237.03309689782</v>
      </c>
      <c r="R348" s="69">
        <f>G348*(1+0.06)^K348</f>
        <v>98812.559097263977</v>
      </c>
      <c r="S348" s="77">
        <f t="shared" si="60"/>
        <v>0.14408121019195452</v>
      </c>
    </row>
    <row r="349" spans="1:19" ht="15.5" x14ac:dyDescent="0.35">
      <c r="A349" s="3" t="s">
        <v>780</v>
      </c>
      <c r="B349" s="16" t="s">
        <v>3328</v>
      </c>
      <c r="C349" s="17" t="s">
        <v>1616</v>
      </c>
      <c r="D349" s="17" t="str">
        <f t="shared" si="54"/>
        <v>23/08/99</v>
      </c>
      <c r="E349" s="3" t="s">
        <v>3951</v>
      </c>
      <c r="F349" s="6">
        <v>12147.535999999998</v>
      </c>
      <c r="G349" s="6">
        <f>IF(F349=0,$Y$3,F349)</f>
        <v>12147.535999999998</v>
      </c>
      <c r="H349" s="79">
        <f t="shared" si="51"/>
        <v>17</v>
      </c>
      <c r="I349">
        <f t="shared" si="52"/>
        <v>23</v>
      </c>
      <c r="J349">
        <f t="shared" si="53"/>
        <v>2</v>
      </c>
      <c r="K349">
        <f t="shared" si="55"/>
        <v>42</v>
      </c>
      <c r="L349" s="80">
        <f t="shared" si="56"/>
        <v>5</v>
      </c>
      <c r="M349" s="80">
        <f t="shared" si="57"/>
        <v>47</v>
      </c>
      <c r="N349">
        <f t="shared" si="58"/>
        <v>10811.263794944818</v>
      </c>
      <c r="O349" s="87">
        <f>(((1-((1+$W$11)/(1+$W$10))^(6*(J349+K349)))/($W$10-$W$11))*(1+$W$10)^(6*(J349+K349)))</f>
        <v>4200.5189242334509</v>
      </c>
      <c r="P349" s="69">
        <f>N349*0.065*O349</f>
        <v>2951839.6807604679</v>
      </c>
      <c r="Q349" s="69">
        <f t="shared" si="59"/>
        <v>19678.931205069784</v>
      </c>
      <c r="R349" s="69">
        <f>G349*(1+0.06)^K349</f>
        <v>140389.4704624704</v>
      </c>
      <c r="S349" s="77">
        <f t="shared" si="60"/>
        <v>0.14017384024773036</v>
      </c>
    </row>
    <row r="350" spans="1:19" ht="15.5" x14ac:dyDescent="0.35">
      <c r="A350" s="3" t="s">
        <v>782</v>
      </c>
      <c r="B350" s="16" t="s">
        <v>3330</v>
      </c>
      <c r="C350" s="17" t="s">
        <v>1618</v>
      </c>
      <c r="D350" s="17" t="str">
        <f t="shared" si="54"/>
        <v>17/06/94</v>
      </c>
      <c r="E350" s="3" t="s">
        <v>3951</v>
      </c>
      <c r="F350" s="6">
        <v>14920.624</v>
      </c>
      <c r="G350" s="6">
        <f>IF(F350=0,$Y$3,F350)</f>
        <v>14920.624</v>
      </c>
      <c r="H350" s="79">
        <f t="shared" si="51"/>
        <v>13</v>
      </c>
      <c r="I350">
        <f t="shared" si="52"/>
        <v>28</v>
      </c>
      <c r="J350">
        <f t="shared" si="53"/>
        <v>2</v>
      </c>
      <c r="K350">
        <f t="shared" si="55"/>
        <v>37</v>
      </c>
      <c r="L350" s="80">
        <f t="shared" si="56"/>
        <v>9</v>
      </c>
      <c r="M350" s="80">
        <f t="shared" si="57"/>
        <v>46</v>
      </c>
      <c r="N350">
        <f t="shared" si="58"/>
        <v>13279.302242791027</v>
      </c>
      <c r="O350" s="87">
        <f>(((1-((1+$W$11)/(1+$W$10))^(6*(J350+K350)))/($W$10-$W$11))*(1+$W$10)^(6*(J350+K350)))</f>
        <v>2713.5031944291845</v>
      </c>
      <c r="P350" s="69">
        <f>N350*0.065*O350</f>
        <v>2342172.8886142657</v>
      </c>
      <c r="Q350" s="69">
        <f t="shared" si="59"/>
        <v>15614.485924095105</v>
      </c>
      <c r="R350" s="69">
        <f>G350*(1+0.06)^K350</f>
        <v>128855.80874640777</v>
      </c>
      <c r="S350" s="77">
        <f t="shared" si="60"/>
        <v>0.12117797463694398</v>
      </c>
    </row>
    <row r="351" spans="1:19" ht="15.5" x14ac:dyDescent="0.35">
      <c r="A351" s="3" t="s">
        <v>784</v>
      </c>
      <c r="B351" s="16" t="s">
        <v>3332</v>
      </c>
      <c r="C351" s="17" t="s">
        <v>1620</v>
      </c>
      <c r="D351" s="17" t="str">
        <f t="shared" si="54"/>
        <v>16/07/92</v>
      </c>
      <c r="E351" s="3" t="s">
        <v>3952</v>
      </c>
      <c r="F351" s="6">
        <v>11321.264000000001</v>
      </c>
      <c r="G351" s="6">
        <f>IF(F351=0,$Y$3,F351)</f>
        <v>11321.264000000001</v>
      </c>
      <c r="H351" s="79">
        <f t="shared" si="51"/>
        <v>12</v>
      </c>
      <c r="I351">
        <f t="shared" si="52"/>
        <v>30</v>
      </c>
      <c r="J351">
        <f t="shared" si="53"/>
        <v>0</v>
      </c>
      <c r="K351">
        <f t="shared" si="55"/>
        <v>35</v>
      </c>
      <c r="L351" s="80">
        <f t="shared" si="56"/>
        <v>10</v>
      </c>
      <c r="M351" s="80">
        <f t="shared" si="57"/>
        <v>45</v>
      </c>
      <c r="N351">
        <f t="shared" si="58"/>
        <v>11321.264000000001</v>
      </c>
      <c r="O351" s="87">
        <f>(((1-((1+$W$11)/(1+$W$10))^(6*(J351+K351)))/($W$10-$W$11))*(1+$W$10)^(6*(J351+K351)))</f>
        <v>1890.963685662718</v>
      </c>
      <c r="P351" s="69">
        <f>N351*0.065*O351</f>
        <v>1391526.4414870422</v>
      </c>
      <c r="Q351" s="69">
        <f t="shared" si="59"/>
        <v>9276.8429432469475</v>
      </c>
      <c r="R351" s="69">
        <f>G351*(1+0.06)^K351</f>
        <v>87016.217702681301</v>
      </c>
      <c r="S351" s="77">
        <f t="shared" si="60"/>
        <v>0.10661050535365998</v>
      </c>
    </row>
    <row r="352" spans="1:19" ht="15.5" x14ac:dyDescent="0.35">
      <c r="A352" s="3" t="s">
        <v>790</v>
      </c>
      <c r="B352" s="16" t="s">
        <v>3338</v>
      </c>
      <c r="C352" s="17" t="s">
        <v>1626</v>
      </c>
      <c r="D352" s="17" t="str">
        <f t="shared" si="54"/>
        <v>21/04/96</v>
      </c>
      <c r="E352" s="3" t="s">
        <v>3953</v>
      </c>
      <c r="F352" s="6">
        <v>8637.2479999999996</v>
      </c>
      <c r="G352" s="6">
        <f>IF(F352=0,$Y$3,F352)</f>
        <v>8637.2479999999996</v>
      </c>
      <c r="H352" s="79">
        <f t="shared" si="51"/>
        <v>11</v>
      </c>
      <c r="I352">
        <f t="shared" si="52"/>
        <v>26</v>
      </c>
      <c r="J352">
        <f t="shared" si="53"/>
        <v>2</v>
      </c>
      <c r="K352">
        <f t="shared" si="55"/>
        <v>39</v>
      </c>
      <c r="L352" s="80">
        <f t="shared" si="56"/>
        <v>11</v>
      </c>
      <c r="M352" s="80">
        <f t="shared" si="57"/>
        <v>50</v>
      </c>
      <c r="N352">
        <f t="shared" si="58"/>
        <v>7687.1199715201128</v>
      </c>
      <c r="O352" s="87">
        <f>(((1-((1+$W$11)/(1+$W$10))^(6*(J352+K352)))/($W$10-$W$11))*(1+$W$10)^(6*(J352+K352)))</f>
        <v>3237.3816560572077</v>
      </c>
      <c r="P352" s="69">
        <f>N352*0.065*O352</f>
        <v>1617599.1769411641</v>
      </c>
      <c r="Q352" s="69">
        <f t="shared" si="59"/>
        <v>10783.994512941093</v>
      </c>
      <c r="R352" s="69">
        <f>G352*(1+0.06)^K352</f>
        <v>83811.600642457604</v>
      </c>
      <c r="S352" s="77">
        <f t="shared" si="60"/>
        <v>0.12866947332202716</v>
      </c>
    </row>
    <row r="353" spans="1:19" ht="15.5" x14ac:dyDescent="0.35">
      <c r="A353" s="3" t="s">
        <v>791</v>
      </c>
      <c r="B353" s="16" t="s">
        <v>3339</v>
      </c>
      <c r="C353" s="17" t="s">
        <v>1627</v>
      </c>
      <c r="D353" s="17" t="str">
        <f t="shared" si="54"/>
        <v>20/10/97</v>
      </c>
      <c r="E353" s="3" t="s">
        <v>3954</v>
      </c>
      <c r="F353" s="6">
        <v>7611.5519999999997</v>
      </c>
      <c r="G353" s="6">
        <f>IF(F353=0,$Y$3,F353)</f>
        <v>7611.5519999999997</v>
      </c>
      <c r="H353" s="79">
        <f t="shared" si="51"/>
        <v>13</v>
      </c>
      <c r="I353">
        <f t="shared" si="52"/>
        <v>25</v>
      </c>
      <c r="J353">
        <f t="shared" si="53"/>
        <v>2</v>
      </c>
      <c r="K353">
        <f t="shared" si="55"/>
        <v>40</v>
      </c>
      <c r="L353" s="80">
        <f t="shared" si="56"/>
        <v>9</v>
      </c>
      <c r="M353" s="80">
        <f t="shared" si="57"/>
        <v>49</v>
      </c>
      <c r="N353">
        <f t="shared" si="58"/>
        <v>6774.2541829832671</v>
      </c>
      <c r="O353" s="87">
        <f>(((1-((1+$W$11)/(1+$W$10))^(6*(J353+K353)))/($W$10-$W$11))*(1+$W$10)^(6*(J353+K353)))</f>
        <v>3532.9398561414855</v>
      </c>
      <c r="P353" s="69">
        <f>N353*0.065*O353</f>
        <v>1555647.1189151595</v>
      </c>
      <c r="Q353" s="69">
        <f t="shared" si="59"/>
        <v>10370.98079276773</v>
      </c>
      <c r="R353" s="69">
        <f>G353*(1+0.06)^K353</f>
        <v>78290.276935766728</v>
      </c>
      <c r="S353" s="77">
        <f t="shared" si="60"/>
        <v>0.13246831150280133</v>
      </c>
    </row>
    <row r="354" spans="1:19" ht="15.5" x14ac:dyDescent="0.35">
      <c r="A354" s="3" t="s">
        <v>793</v>
      </c>
      <c r="B354" s="16" t="s">
        <v>3341</v>
      </c>
      <c r="C354" s="17" t="s">
        <v>1629</v>
      </c>
      <c r="D354" s="17" t="str">
        <f t="shared" si="54"/>
        <v>14/11/96</v>
      </c>
      <c r="E354" s="3" t="s">
        <v>3955</v>
      </c>
      <c r="F354" s="6">
        <v>8292.2079999999987</v>
      </c>
      <c r="G354" s="6">
        <f>IF(F354=0,$Y$3,F354)</f>
        <v>8292.2079999999987</v>
      </c>
      <c r="H354" s="79">
        <f t="shared" si="51"/>
        <v>16</v>
      </c>
      <c r="I354">
        <f t="shared" si="52"/>
        <v>26</v>
      </c>
      <c r="J354">
        <f t="shared" si="53"/>
        <v>2</v>
      </c>
      <c r="K354">
        <f t="shared" si="55"/>
        <v>39</v>
      </c>
      <c r="L354" s="80">
        <f t="shared" si="56"/>
        <v>6</v>
      </c>
      <c r="M354" s="80">
        <f t="shared" si="57"/>
        <v>45</v>
      </c>
      <c r="N354">
        <f t="shared" si="58"/>
        <v>7380.0355998575988</v>
      </c>
      <c r="O354" s="87">
        <f>(((1-((1+$W$11)/(1+$W$10))^(6*(J354+K354)))/($W$10-$W$11))*(1+$W$10)^(6*(J354+K354)))</f>
        <v>3237.3816560572077</v>
      </c>
      <c r="P354" s="69">
        <f>N354*0.065*O354</f>
        <v>1552979.4716818293</v>
      </c>
      <c r="Q354" s="69">
        <f t="shared" si="59"/>
        <v>10353.196477878862</v>
      </c>
      <c r="R354" s="69">
        <f>G354*(1+0.06)^K354</f>
        <v>80463.50241884822</v>
      </c>
      <c r="S354" s="77">
        <f t="shared" si="60"/>
        <v>0.12866947332202722</v>
      </c>
    </row>
    <row r="355" spans="1:19" ht="15.5" x14ac:dyDescent="0.35">
      <c r="A355" s="3" t="s">
        <v>794</v>
      </c>
      <c r="B355" s="16" t="s">
        <v>3342</v>
      </c>
      <c r="C355" s="17" t="s">
        <v>1630</v>
      </c>
      <c r="D355" s="17" t="str">
        <f t="shared" si="54"/>
        <v>30/03/93</v>
      </c>
      <c r="E355" s="3" t="s">
        <v>3955</v>
      </c>
      <c r="F355" s="6">
        <v>13594.271999999999</v>
      </c>
      <c r="G355" s="6">
        <f>IF(F355=0,$Y$3,F355)</f>
        <v>13594.271999999999</v>
      </c>
      <c r="H355" s="79">
        <f t="shared" si="51"/>
        <v>11</v>
      </c>
      <c r="I355">
        <f t="shared" si="52"/>
        <v>29</v>
      </c>
      <c r="J355">
        <f t="shared" si="53"/>
        <v>2</v>
      </c>
      <c r="K355">
        <f t="shared" si="55"/>
        <v>36</v>
      </c>
      <c r="L355" s="80">
        <f t="shared" si="56"/>
        <v>11</v>
      </c>
      <c r="M355" s="80">
        <f t="shared" si="57"/>
        <v>47</v>
      </c>
      <c r="N355">
        <f t="shared" si="58"/>
        <v>12098.85368458526</v>
      </c>
      <c r="O355" s="87">
        <f>(((1-((1+$W$11)/(1+$W$10))^(6*(J355+K355)))/($W$10-$W$11))*(1+$W$10)^(6*(J355+K355)))</f>
        <v>2481.8865373152853</v>
      </c>
      <c r="P355" s="69">
        <f>N355*0.065*O355</f>
        <v>1951818.8349867733</v>
      </c>
      <c r="Q355" s="69">
        <f t="shared" si="59"/>
        <v>13012.125566578488</v>
      </c>
      <c r="R355" s="69">
        <f>G355*(1+0.06)^K355</f>
        <v>110755.95973851968</v>
      </c>
      <c r="S355" s="77">
        <f t="shared" si="60"/>
        <v>0.11748465362314058</v>
      </c>
    </row>
    <row r="356" spans="1:19" ht="15.5" x14ac:dyDescent="0.35">
      <c r="A356" s="3" t="s">
        <v>799</v>
      </c>
      <c r="B356" s="16" t="s">
        <v>3347</v>
      </c>
      <c r="C356" s="17" t="s">
        <v>1635</v>
      </c>
      <c r="D356" s="17" t="str">
        <f t="shared" si="54"/>
        <v>13/10/98</v>
      </c>
      <c r="E356" s="3" t="s">
        <v>3956</v>
      </c>
      <c r="F356" s="6">
        <v>6352.6880000000001</v>
      </c>
      <c r="G356" s="6">
        <f>IF(F356=0,$Y$3,F356)</f>
        <v>6352.6880000000001</v>
      </c>
      <c r="H356" s="79">
        <f t="shared" si="51"/>
        <v>17</v>
      </c>
      <c r="I356">
        <f t="shared" si="52"/>
        <v>24</v>
      </c>
      <c r="J356">
        <f t="shared" si="53"/>
        <v>2</v>
      </c>
      <c r="K356">
        <f t="shared" si="55"/>
        <v>41</v>
      </c>
      <c r="L356" s="80">
        <f t="shared" si="56"/>
        <v>5</v>
      </c>
      <c r="M356" s="80">
        <f t="shared" si="57"/>
        <v>46</v>
      </c>
      <c r="N356">
        <f t="shared" si="58"/>
        <v>5653.8697045211811</v>
      </c>
      <c r="O356" s="87">
        <f>(((1-((1+$W$11)/(1+$W$10))^(6*(J356+K356)))/($W$10-$W$11))*(1+$W$10)^(6*(J356+K356)))</f>
        <v>3853.3236192812783</v>
      </c>
      <c r="P356" s="69">
        <f>N356*0.065*O356</f>
        <v>1416102.3287300714</v>
      </c>
      <c r="Q356" s="69">
        <f t="shared" si="59"/>
        <v>9440.6821915338096</v>
      </c>
      <c r="R356" s="69">
        <f>G356*(1+0.06)^K356</f>
        <v>69262.47432519852</v>
      </c>
      <c r="S356" s="77">
        <f t="shared" si="60"/>
        <v>0.13630298777962047</v>
      </c>
    </row>
    <row r="357" spans="1:19" ht="15.5" x14ac:dyDescent="0.35">
      <c r="A357" s="3" t="s">
        <v>802</v>
      </c>
      <c r="B357" s="16" t="s">
        <v>3350</v>
      </c>
      <c r="C357" s="17" t="s">
        <v>1638</v>
      </c>
      <c r="D357" s="17" t="str">
        <f t="shared" si="54"/>
        <v>08/12/89</v>
      </c>
      <c r="E357" s="3" t="s">
        <v>3957</v>
      </c>
      <c r="F357" s="6">
        <v>12147.84</v>
      </c>
      <c r="G357" s="6">
        <f>IF(F357=0,$Y$3,F357)</f>
        <v>12147.84</v>
      </c>
      <c r="H357" s="79">
        <f t="shared" si="51"/>
        <v>9</v>
      </c>
      <c r="I357">
        <f t="shared" si="52"/>
        <v>33</v>
      </c>
      <c r="J357">
        <f t="shared" si="53"/>
        <v>2</v>
      </c>
      <c r="K357">
        <f t="shared" si="55"/>
        <v>32</v>
      </c>
      <c r="L357" s="80">
        <f t="shared" si="56"/>
        <v>13</v>
      </c>
      <c r="M357" s="80">
        <f t="shared" si="57"/>
        <v>45</v>
      </c>
      <c r="N357">
        <f t="shared" si="58"/>
        <v>10811.534353862584</v>
      </c>
      <c r="O357" s="87">
        <f>(((1-((1+$W$11)/(1+$W$10))^(6*(J357+K357)))/($W$10-$W$11))*(1+$W$10)^(6*(J357+K357)))</f>
        <v>1724.4052908394829</v>
      </c>
      <c r="P357" s="69">
        <f>N357*0.065*O357</f>
        <v>1211825.3577230754</v>
      </c>
      <c r="Q357" s="69">
        <f t="shared" si="59"/>
        <v>8078.8357181538358</v>
      </c>
      <c r="R357" s="69">
        <f>G357*(1+0.06)^K357</f>
        <v>78394.708869673996</v>
      </c>
      <c r="S357" s="77">
        <f t="shared" si="60"/>
        <v>0.10305332891259746</v>
      </c>
    </row>
    <row r="358" spans="1:19" ht="15.5" x14ac:dyDescent="0.35">
      <c r="A358" s="3" t="s">
        <v>805</v>
      </c>
      <c r="B358" s="16" t="s">
        <v>3353</v>
      </c>
      <c r="C358" s="17" t="s">
        <v>1641</v>
      </c>
      <c r="D358" s="17" t="str">
        <f t="shared" si="54"/>
        <v>30/08/83</v>
      </c>
      <c r="E358" s="3" t="s">
        <v>3958</v>
      </c>
      <c r="F358" s="6">
        <v>21237.439999999999</v>
      </c>
      <c r="G358" s="6">
        <f>IF(F358=0,$Y$3,F358)</f>
        <v>21237.439999999999</v>
      </c>
      <c r="H358" s="79">
        <f t="shared" si="51"/>
        <v>6</v>
      </c>
      <c r="I358">
        <f t="shared" si="52"/>
        <v>39</v>
      </c>
      <c r="J358">
        <f t="shared" si="53"/>
        <v>2</v>
      </c>
      <c r="K358">
        <f t="shared" si="55"/>
        <v>26</v>
      </c>
      <c r="L358" s="80">
        <f t="shared" si="56"/>
        <v>16</v>
      </c>
      <c r="M358" s="80">
        <f t="shared" si="57"/>
        <v>42</v>
      </c>
      <c r="N358">
        <f t="shared" si="58"/>
        <v>18901.245995016016</v>
      </c>
      <c r="O358" s="87">
        <f>(((1-((1+$W$11)/(1+$W$10))^(6*(J358+K358)))/($W$10-$W$11))*(1+$W$10)^(6*(J358+K358)))</f>
        <v>971.97898006406626</v>
      </c>
      <c r="P358" s="69">
        <f>N358*0.065*O358</f>
        <v>1194154.8972714196</v>
      </c>
      <c r="Q358" s="69">
        <f t="shared" si="59"/>
        <v>7961.0326484761308</v>
      </c>
      <c r="R358" s="69">
        <f>G358*(1+0.06)^K358</f>
        <v>96617.247712207696</v>
      </c>
      <c r="S358" s="77">
        <f t="shared" si="60"/>
        <v>8.2397634345676415E-2</v>
      </c>
    </row>
    <row r="359" spans="1:19" ht="15.5" x14ac:dyDescent="0.35">
      <c r="A359" s="3" t="s">
        <v>809</v>
      </c>
      <c r="B359" s="16" t="s">
        <v>3357</v>
      </c>
      <c r="C359" s="17" t="s">
        <v>1645</v>
      </c>
      <c r="D359" s="17" t="str">
        <f t="shared" si="54"/>
        <v>06/01/85</v>
      </c>
      <c r="E359" s="3" t="s">
        <v>3959</v>
      </c>
      <c r="F359" s="6">
        <v>10667.664000000001</v>
      </c>
      <c r="G359" s="6">
        <f>IF(F359=0,$Y$3,F359)</f>
        <v>10667.664000000001</v>
      </c>
      <c r="H359" s="79">
        <f t="shared" si="51"/>
        <v>6</v>
      </c>
      <c r="I359">
        <f t="shared" si="52"/>
        <v>37</v>
      </c>
      <c r="J359">
        <f t="shared" si="53"/>
        <v>2</v>
      </c>
      <c r="K359">
        <f t="shared" si="55"/>
        <v>28</v>
      </c>
      <c r="L359" s="80">
        <f t="shared" si="56"/>
        <v>16</v>
      </c>
      <c r="M359" s="80">
        <f t="shared" si="57"/>
        <v>44</v>
      </c>
      <c r="N359">
        <f t="shared" si="58"/>
        <v>9494.1829832680669</v>
      </c>
      <c r="O359" s="87">
        <f>(((1-((1+$W$11)/(1+$W$10))^(6*(J359+K359)))/($W$10-$W$11))*(1+$W$10)^(6*(J359+K359)))</f>
        <v>1181.6655698699749</v>
      </c>
      <c r="P359" s="69">
        <f>N359*0.065*O359</f>
        <v>729231.69444926316</v>
      </c>
      <c r="Q359" s="69">
        <f t="shared" si="59"/>
        <v>4861.5446296617547</v>
      </c>
      <c r="R359" s="69">
        <f>G359*(1+0.06)^K359</f>
        <v>54529.756158423414</v>
      </c>
      <c r="S359" s="77">
        <f t="shared" si="60"/>
        <v>8.9153977060481934E-2</v>
      </c>
    </row>
    <row r="360" spans="1:19" ht="15.5" x14ac:dyDescent="0.35">
      <c r="A360" s="3" t="s">
        <v>810</v>
      </c>
      <c r="B360" s="16" t="s">
        <v>3358</v>
      </c>
      <c r="C360" s="17" t="s">
        <v>1646</v>
      </c>
      <c r="D360" s="17" t="str">
        <f t="shared" si="54"/>
        <v>05/02/93</v>
      </c>
      <c r="E360" s="3" t="s">
        <v>3959</v>
      </c>
      <c r="F360" s="6">
        <v>8460.9279999999999</v>
      </c>
      <c r="G360" s="6">
        <f>IF(F360=0,$Y$3,F360)</f>
        <v>8460.9279999999999</v>
      </c>
      <c r="H360" s="79">
        <f t="shared" si="51"/>
        <v>12</v>
      </c>
      <c r="I360">
        <f t="shared" si="52"/>
        <v>29</v>
      </c>
      <c r="J360">
        <f t="shared" si="53"/>
        <v>2</v>
      </c>
      <c r="K360">
        <f t="shared" si="55"/>
        <v>36</v>
      </c>
      <c r="L360" s="80">
        <f t="shared" si="56"/>
        <v>10</v>
      </c>
      <c r="M360" s="80">
        <f t="shared" si="57"/>
        <v>46</v>
      </c>
      <c r="N360">
        <f t="shared" si="58"/>
        <v>7530.1957992168018</v>
      </c>
      <c r="O360" s="87">
        <f>(((1-((1+$W$11)/(1+$W$10))^(6*(J360+K360)))/($W$10-$W$11))*(1+$W$10)^(6*(J360+K360)))</f>
        <v>2481.8865373152853</v>
      </c>
      <c r="P360" s="69">
        <f>N360*0.065*O360</f>
        <v>1214790.9525325792</v>
      </c>
      <c r="Q360" s="69">
        <f t="shared" si="59"/>
        <v>8098.6063502171946</v>
      </c>
      <c r="R360" s="69">
        <f>G360*(1+0.06)^K360</f>
        <v>68933.312568596099</v>
      </c>
      <c r="S360" s="77">
        <f t="shared" si="60"/>
        <v>0.11748465362314056</v>
      </c>
    </row>
    <row r="361" spans="1:19" ht="15.5" x14ac:dyDescent="0.35">
      <c r="A361" s="3" t="s">
        <v>817</v>
      </c>
      <c r="B361" s="16" t="s">
        <v>3365</v>
      </c>
      <c r="C361" s="17" t="s">
        <v>1652</v>
      </c>
      <c r="D361" s="17" t="str">
        <f t="shared" si="54"/>
        <v>06/08/91</v>
      </c>
      <c r="E361" s="3" t="s">
        <v>3960</v>
      </c>
      <c r="F361" s="6">
        <v>13018.191999999999</v>
      </c>
      <c r="G361" s="6">
        <f>IF(F361=0,$Y$3,F361)</f>
        <v>13018.191999999999</v>
      </c>
      <c r="H361" s="79">
        <f t="shared" si="51"/>
        <v>13</v>
      </c>
      <c r="I361">
        <f t="shared" si="52"/>
        <v>31</v>
      </c>
      <c r="J361">
        <f t="shared" si="53"/>
        <v>2</v>
      </c>
      <c r="K361">
        <f t="shared" si="55"/>
        <v>34</v>
      </c>
      <c r="L361" s="80">
        <f t="shared" si="56"/>
        <v>9</v>
      </c>
      <c r="M361" s="80">
        <f t="shared" si="57"/>
        <v>43</v>
      </c>
      <c r="N361">
        <f t="shared" si="58"/>
        <v>11586.144535421856</v>
      </c>
      <c r="O361" s="87">
        <f>(((1-((1+$W$11)/(1+$W$10))^(6*(J361+K361)))/($W$10-$W$11))*(1+$W$10)^(6*(J361+K361)))</f>
        <v>2071.9321695914473</v>
      </c>
      <c r="P361" s="69">
        <f>N361*0.065*O361</f>
        <v>1560370.8629909854</v>
      </c>
      <c r="Q361" s="69">
        <f t="shared" si="59"/>
        <v>10402.472419939902</v>
      </c>
      <c r="R361" s="69">
        <f>G361*(1+0.06)^K361</f>
        <v>94395.239236779511</v>
      </c>
      <c r="S361" s="77">
        <f t="shared" si="60"/>
        <v>0.11020124006303439</v>
      </c>
    </row>
    <row r="362" spans="1:19" ht="15.5" x14ac:dyDescent="0.35">
      <c r="A362" s="3" t="s">
        <v>818</v>
      </c>
      <c r="B362" s="16" t="s">
        <v>3366</v>
      </c>
      <c r="C362" s="17" t="s">
        <v>1653</v>
      </c>
      <c r="D362" s="17" t="str">
        <f t="shared" si="54"/>
        <v>07/09/98</v>
      </c>
      <c r="E362" s="3" t="s">
        <v>3960</v>
      </c>
      <c r="F362" s="6">
        <v>5617.3119999999999</v>
      </c>
      <c r="G362" s="6">
        <f>IF(F362=0,$Y$3,F362)</f>
        <v>5617.3119999999999</v>
      </c>
      <c r="H362" s="79">
        <f t="shared" si="51"/>
        <v>16</v>
      </c>
      <c r="I362">
        <f t="shared" si="52"/>
        <v>24</v>
      </c>
      <c r="J362">
        <f t="shared" si="53"/>
        <v>2</v>
      </c>
      <c r="K362">
        <f t="shared" si="55"/>
        <v>41</v>
      </c>
      <c r="L362" s="80">
        <f t="shared" si="56"/>
        <v>6</v>
      </c>
      <c r="M362" s="80">
        <f t="shared" si="57"/>
        <v>47</v>
      </c>
      <c r="N362">
        <f t="shared" si="58"/>
        <v>4999.3876824492691</v>
      </c>
      <c r="O362" s="87">
        <f>(((1-((1+$W$11)/(1+$W$10))^(6*(J362+K362)))/($W$10-$W$11))*(1+$W$10)^(6*(J362+K362)))</f>
        <v>3853.3236192812783</v>
      </c>
      <c r="P362" s="69">
        <f>N362*0.065*O362</f>
        <v>1252176.8115171678</v>
      </c>
      <c r="Q362" s="69">
        <f t="shared" si="59"/>
        <v>8347.8454101144525</v>
      </c>
      <c r="R362" s="69">
        <f>G362*(1+0.06)^K362</f>
        <v>61244.772004642684</v>
      </c>
      <c r="S362" s="77">
        <f t="shared" si="60"/>
        <v>0.13630298777962047</v>
      </c>
    </row>
    <row r="363" spans="1:19" ht="15.5" x14ac:dyDescent="0.35">
      <c r="A363" s="3" t="s">
        <v>819</v>
      </c>
      <c r="B363" s="16" t="s">
        <v>3367</v>
      </c>
      <c r="C363" s="17" t="s">
        <v>1654</v>
      </c>
      <c r="D363" s="17" t="str">
        <f t="shared" si="54"/>
        <v>27/12/93</v>
      </c>
      <c r="E363" s="3" t="s">
        <v>3960</v>
      </c>
      <c r="F363" s="6">
        <v>11354.096</v>
      </c>
      <c r="G363" s="6">
        <f>IF(F363=0,$Y$3,F363)</f>
        <v>11354.096</v>
      </c>
      <c r="H363" s="79">
        <f t="shared" si="51"/>
        <v>14</v>
      </c>
      <c r="I363">
        <f t="shared" si="52"/>
        <v>29</v>
      </c>
      <c r="J363">
        <f t="shared" si="53"/>
        <v>2</v>
      </c>
      <c r="K363">
        <f t="shared" si="55"/>
        <v>36</v>
      </c>
      <c r="L363" s="80">
        <f t="shared" si="56"/>
        <v>8</v>
      </c>
      <c r="M363" s="80">
        <f t="shared" si="57"/>
        <v>44</v>
      </c>
      <c r="N363">
        <f t="shared" si="58"/>
        <v>10105.10501957992</v>
      </c>
      <c r="O363" s="87">
        <f>(((1-((1+$W$11)/(1+$W$10))^(6*(J363+K363)))/($W$10-$W$11))*(1+$W$10)^(6*(J363+K363)))</f>
        <v>2481.8865373152853</v>
      </c>
      <c r="P363" s="69">
        <f>N363*0.065*O363</f>
        <v>1630182.0669064135</v>
      </c>
      <c r="Q363" s="69">
        <f t="shared" si="59"/>
        <v>10867.880446042756</v>
      </c>
      <c r="R363" s="69">
        <f>G363*(1+0.06)^K363</f>
        <v>92504.681342501281</v>
      </c>
      <c r="S363" s="77">
        <f t="shared" si="60"/>
        <v>0.11748465362314056</v>
      </c>
    </row>
    <row r="364" spans="1:19" ht="15.5" x14ac:dyDescent="0.35">
      <c r="A364" s="3" t="s">
        <v>820</v>
      </c>
      <c r="B364" s="16" t="s">
        <v>3368</v>
      </c>
      <c r="C364" s="17" t="s">
        <v>1655</v>
      </c>
      <c r="D364" s="17" t="str">
        <f t="shared" si="54"/>
        <v>09/05/96</v>
      </c>
      <c r="E364" s="3" t="s">
        <v>3960</v>
      </c>
      <c r="F364" s="6">
        <v>10890.8</v>
      </c>
      <c r="G364" s="6">
        <f>IF(F364=0,$Y$3,F364)</f>
        <v>10890.8</v>
      </c>
      <c r="H364" s="79">
        <f t="shared" si="51"/>
        <v>17</v>
      </c>
      <c r="I364">
        <f t="shared" si="52"/>
        <v>26</v>
      </c>
      <c r="J364">
        <f t="shared" si="53"/>
        <v>2</v>
      </c>
      <c r="K364">
        <f t="shared" si="55"/>
        <v>39</v>
      </c>
      <c r="L364" s="80">
        <f t="shared" si="56"/>
        <v>5</v>
      </c>
      <c r="M364" s="80">
        <f t="shared" si="57"/>
        <v>44</v>
      </c>
      <c r="N364">
        <f t="shared" si="58"/>
        <v>9692.7732289070827</v>
      </c>
      <c r="O364" s="87">
        <f>(((1-((1+$W$11)/(1+$W$10))^(6*(J364+K364)))/($W$10-$W$11))*(1+$W$10)^(6*(J364+K364)))</f>
        <v>3237.3816560572077</v>
      </c>
      <c r="P364" s="69">
        <f>N364*0.065*O364</f>
        <v>2039648.4060931015</v>
      </c>
      <c r="Q364" s="69">
        <f t="shared" si="59"/>
        <v>13597.656040620677</v>
      </c>
      <c r="R364" s="69">
        <f>G364*(1+0.06)^K364</f>
        <v>105678.95934872743</v>
      </c>
      <c r="S364" s="77">
        <f t="shared" si="60"/>
        <v>0.12866947332202716</v>
      </c>
    </row>
    <row r="365" spans="1:19" ht="15.5" x14ac:dyDescent="0.35">
      <c r="A365" s="3" t="s">
        <v>823</v>
      </c>
      <c r="B365" s="16" t="s">
        <v>3371</v>
      </c>
      <c r="C365" s="17" t="s">
        <v>1657</v>
      </c>
      <c r="D365" s="17" t="str">
        <f t="shared" si="54"/>
        <v>15/10/95</v>
      </c>
      <c r="E365" s="3" t="s">
        <v>3961</v>
      </c>
      <c r="F365" s="6">
        <v>7876.9440000000004</v>
      </c>
      <c r="G365" s="6">
        <f>IF(F365=0,$Y$3,F365)</f>
        <v>7876.9440000000004</v>
      </c>
      <c r="H365" s="79">
        <f t="shared" si="51"/>
        <v>11</v>
      </c>
      <c r="I365">
        <f t="shared" si="52"/>
        <v>27</v>
      </c>
      <c r="J365">
        <f t="shared" si="53"/>
        <v>2</v>
      </c>
      <c r="K365">
        <f t="shared" si="55"/>
        <v>38</v>
      </c>
      <c r="L365" s="80">
        <f t="shared" si="56"/>
        <v>11</v>
      </c>
      <c r="M365" s="80">
        <f t="shared" si="57"/>
        <v>49</v>
      </c>
      <c r="N365">
        <f t="shared" si="58"/>
        <v>7010.452118191527</v>
      </c>
      <c r="O365" s="87">
        <f>(((1-((1+$W$11)/(1+$W$10))^(6*(J365+K365)))/($W$10-$W$11))*(1+$W$10)^(6*(J365+K365)))</f>
        <v>2964.8060935111685</v>
      </c>
      <c r="P365" s="69">
        <f>N365*0.065*O365</f>
        <v>1351001.0252883637</v>
      </c>
      <c r="Q365" s="69">
        <f t="shared" si="59"/>
        <v>9006.6735019224252</v>
      </c>
      <c r="R365" s="69">
        <f>G365*(1+0.06)^K365</f>
        <v>72107.533099445063</v>
      </c>
      <c r="S365" s="77">
        <f t="shared" si="60"/>
        <v>0.12490613830182107</v>
      </c>
    </row>
    <row r="366" spans="1:19" ht="15.5" x14ac:dyDescent="0.35">
      <c r="A366" s="3" t="s">
        <v>826</v>
      </c>
      <c r="B366" s="16" t="s">
        <v>3374</v>
      </c>
      <c r="C366" s="17" t="s">
        <v>1660</v>
      </c>
      <c r="D366" s="17" t="str">
        <f t="shared" si="54"/>
        <v>28/01/88</v>
      </c>
      <c r="E366" s="3" t="s">
        <v>3962</v>
      </c>
      <c r="F366" s="6">
        <v>11003.888000000001</v>
      </c>
      <c r="G366" s="6">
        <f>IF(F366=0,$Y$3,F366)</f>
        <v>11003.888000000001</v>
      </c>
      <c r="H366" s="79">
        <f t="shared" si="51"/>
        <v>18</v>
      </c>
      <c r="I366">
        <f t="shared" si="52"/>
        <v>34</v>
      </c>
      <c r="J366">
        <f t="shared" si="53"/>
        <v>2</v>
      </c>
      <c r="K366">
        <f t="shared" si="55"/>
        <v>31</v>
      </c>
      <c r="L366" s="80">
        <f t="shared" si="56"/>
        <v>4</v>
      </c>
      <c r="M366" s="80">
        <f t="shared" si="57"/>
        <v>35</v>
      </c>
      <c r="N366">
        <f t="shared" si="58"/>
        <v>9793.4211463154134</v>
      </c>
      <c r="O366" s="87">
        <f>(((1-((1+$W$11)/(1+$W$10))^(6*(J366+K366)))/($W$10-$W$11))*(1+$W$10)^(6*(J366+K366)))</f>
        <v>1571.1687390454781</v>
      </c>
      <c r="P366" s="69">
        <f>N366*0.065*O366</f>
        <v>1000162.614970851</v>
      </c>
      <c r="Q366" s="69">
        <f t="shared" si="59"/>
        <v>6667.7507664723398</v>
      </c>
      <c r="R366" s="69">
        <f>G366*(1+0.06)^K366</f>
        <v>66992.777611469734</v>
      </c>
      <c r="S366" s="77">
        <f t="shared" si="60"/>
        <v>9.9529397111171036E-2</v>
      </c>
    </row>
    <row r="367" spans="1:19" ht="15.5" x14ac:dyDescent="0.35">
      <c r="A367" s="3" t="s">
        <v>827</v>
      </c>
      <c r="B367" s="16" t="s">
        <v>3375</v>
      </c>
      <c r="C367" s="17" t="s">
        <v>1661</v>
      </c>
      <c r="D367" s="17" t="str">
        <f t="shared" si="54"/>
        <v>05/12/95</v>
      </c>
      <c r="E367" s="3" t="s">
        <v>3962</v>
      </c>
      <c r="F367" s="6">
        <v>7277.4559999999992</v>
      </c>
      <c r="G367" s="6">
        <f>IF(F367=0,$Y$3,F367)</f>
        <v>7277.4559999999992</v>
      </c>
      <c r="H367" s="79">
        <f t="shared" si="51"/>
        <v>18</v>
      </c>
      <c r="I367">
        <f t="shared" si="52"/>
        <v>27</v>
      </c>
      <c r="J367">
        <f t="shared" si="53"/>
        <v>2</v>
      </c>
      <c r="K367">
        <f t="shared" si="55"/>
        <v>38</v>
      </c>
      <c r="L367" s="80">
        <f t="shared" si="56"/>
        <v>4</v>
      </c>
      <c r="M367" s="80">
        <f t="shared" si="57"/>
        <v>42</v>
      </c>
      <c r="N367">
        <f t="shared" si="58"/>
        <v>6476.9099323602686</v>
      </c>
      <c r="O367" s="87">
        <f>(((1-((1+$W$11)/(1+$W$10))^(6*(J367+K367)))/($W$10-$W$11))*(1+$W$10)^(6*(J367+K367)))</f>
        <v>2964.8060935111685</v>
      </c>
      <c r="P367" s="69">
        <f>N367*0.065*O367</f>
        <v>1248180.8322480076</v>
      </c>
      <c r="Q367" s="69">
        <f t="shared" si="59"/>
        <v>8321.2055483200511</v>
      </c>
      <c r="R367" s="69">
        <f>G367*(1+0.06)^K367</f>
        <v>66619.668668427112</v>
      </c>
      <c r="S367" s="77">
        <f t="shared" si="60"/>
        <v>0.12490613830182104</v>
      </c>
    </row>
    <row r="368" spans="1:19" ht="15.5" x14ac:dyDescent="0.35">
      <c r="A368" s="3" t="s">
        <v>829</v>
      </c>
      <c r="B368" s="16" t="s">
        <v>3377</v>
      </c>
      <c r="C368" s="17" t="s">
        <v>1663</v>
      </c>
      <c r="D368" s="17" t="str">
        <f t="shared" si="54"/>
        <v>25/11/92</v>
      </c>
      <c r="E368" s="3" t="s">
        <v>3963</v>
      </c>
      <c r="F368" s="6">
        <v>10954.64</v>
      </c>
      <c r="G368" s="6">
        <f>IF(F368=0,$Y$3,F368)</f>
        <v>10954.64</v>
      </c>
      <c r="H368" s="79">
        <f t="shared" si="51"/>
        <v>11</v>
      </c>
      <c r="I368">
        <f t="shared" si="52"/>
        <v>30</v>
      </c>
      <c r="J368">
        <f t="shared" si="53"/>
        <v>2</v>
      </c>
      <c r="K368">
        <f t="shared" si="55"/>
        <v>35</v>
      </c>
      <c r="L368" s="80">
        <f t="shared" si="56"/>
        <v>11</v>
      </c>
      <c r="M368" s="80">
        <f t="shared" si="57"/>
        <v>46</v>
      </c>
      <c r="N368">
        <f t="shared" si="58"/>
        <v>9749.590601637592</v>
      </c>
      <c r="O368" s="87">
        <f>(((1-((1+$W$11)/(1+$W$10))^(6*(J368+K368)))/($W$10-$W$11))*(1+$W$10)^(6*(J368+K368)))</f>
        <v>2268.4845089511282</v>
      </c>
      <c r="P368" s="69">
        <f>N368*0.065*O368</f>
        <v>1437591.6911479752</v>
      </c>
      <c r="Q368" s="69">
        <f t="shared" si="59"/>
        <v>9583.9446076531676</v>
      </c>
      <c r="R368" s="69">
        <f>G368*(1+0.06)^K368</f>
        <v>84198.313818536568</v>
      </c>
      <c r="S368" s="77">
        <f t="shared" si="60"/>
        <v>0.1138258496281576</v>
      </c>
    </row>
    <row r="369" spans="1:19" ht="15.5" x14ac:dyDescent="0.35">
      <c r="A369" s="3" t="s">
        <v>3964</v>
      </c>
      <c r="B369" s="16" t="s">
        <v>3965</v>
      </c>
      <c r="C369" s="17" t="s">
        <v>3967</v>
      </c>
      <c r="D369" s="17" t="str">
        <f t="shared" si="54"/>
        <v>25/05/86</v>
      </c>
      <c r="E369" s="3" t="s">
        <v>3968</v>
      </c>
      <c r="F369" s="6">
        <v>10757.951999999999</v>
      </c>
      <c r="G369" s="6">
        <f>IF(F369=0,$Y$3,F369)</f>
        <v>10757.951999999999</v>
      </c>
      <c r="H369" s="79">
        <f t="shared" si="51"/>
        <v>4</v>
      </c>
      <c r="I369">
        <f t="shared" si="52"/>
        <v>36</v>
      </c>
      <c r="J369">
        <f t="shared" si="53"/>
        <v>0</v>
      </c>
      <c r="K369">
        <f t="shared" si="55"/>
        <v>29</v>
      </c>
      <c r="L369" s="80">
        <f t="shared" si="56"/>
        <v>18</v>
      </c>
      <c r="M369" s="80">
        <f t="shared" si="57"/>
        <v>47</v>
      </c>
      <c r="N369">
        <f t="shared" si="58"/>
        <v>10757.951999999999</v>
      </c>
      <c r="O369" s="87">
        <f>(((1-((1+$W$11)/(1+$W$10))^(6*(J369+K369)))/($W$10-$W$11))*(1+$W$10)^(6*(J369+K369)))</f>
        <v>1072.3399666941964</v>
      </c>
      <c r="P369" s="69">
        <f>N369*0.065*O369</f>
        <v>749851.82280955464</v>
      </c>
      <c r="Q369" s="69">
        <f t="shared" si="59"/>
        <v>4999.0121520636976</v>
      </c>
      <c r="R369" s="69">
        <f>G369*(1+0.06)^K369</f>
        <v>58290.756934551449</v>
      </c>
      <c r="S369" s="77">
        <f t="shared" si="60"/>
        <v>8.5759945743654725E-2</v>
      </c>
    </row>
    <row r="370" spans="1:19" ht="15.5" x14ac:dyDescent="0.35">
      <c r="A370" s="3" t="s">
        <v>3969</v>
      </c>
      <c r="B370" s="16" t="s">
        <v>3970</v>
      </c>
      <c r="C370" s="17" t="s">
        <v>3972</v>
      </c>
      <c r="D370" s="17" t="str">
        <f t="shared" si="54"/>
        <v>12/09/90</v>
      </c>
      <c r="E370" s="3" t="s">
        <v>3973</v>
      </c>
      <c r="F370" s="6">
        <v>34362.031999999999</v>
      </c>
      <c r="G370" s="6">
        <f>IF(F370=0,$Y$3,F370)</f>
        <v>34362.031999999999</v>
      </c>
      <c r="H370" s="79">
        <f t="shared" si="51"/>
        <v>10</v>
      </c>
      <c r="I370">
        <f t="shared" si="52"/>
        <v>32</v>
      </c>
      <c r="J370">
        <f t="shared" si="53"/>
        <v>1</v>
      </c>
      <c r="K370">
        <f t="shared" si="55"/>
        <v>33</v>
      </c>
      <c r="L370" s="80">
        <f t="shared" si="56"/>
        <v>12</v>
      </c>
      <c r="M370" s="80">
        <f t="shared" si="57"/>
        <v>45</v>
      </c>
      <c r="N370">
        <f t="shared" si="58"/>
        <v>32417.011320754715</v>
      </c>
      <c r="O370" s="87">
        <f>(((1-((1+$W$11)/(1+$W$10))^(6*(J370+K370)))/($W$10-$W$11))*(1+$W$10)^(6*(J370+K370)))</f>
        <v>1724.4052908394829</v>
      </c>
      <c r="P370" s="69">
        <f>N370*0.065*O370</f>
        <v>3633504.279256335</v>
      </c>
      <c r="Q370" s="69">
        <f t="shared" si="59"/>
        <v>24223.361861708901</v>
      </c>
      <c r="R370" s="69">
        <f>G370*(1+0.06)^K370</f>
        <v>235056.56845159689</v>
      </c>
      <c r="S370" s="77">
        <f t="shared" si="60"/>
        <v>0.1030533289125975</v>
      </c>
    </row>
    <row r="371" spans="1:19" ht="15.5" x14ac:dyDescent="0.35">
      <c r="A371" s="3" t="s">
        <v>3974</v>
      </c>
      <c r="B371" s="16" t="s">
        <v>3975</v>
      </c>
      <c r="C371" s="17" t="s">
        <v>3977</v>
      </c>
      <c r="D371" s="17" t="str">
        <f t="shared" si="54"/>
        <v>16/06/99</v>
      </c>
      <c r="E371" s="3" t="s">
        <v>3978</v>
      </c>
      <c r="F371" s="6">
        <v>13797.647999999999</v>
      </c>
      <c r="G371" s="6">
        <f>IF(F371=0,$Y$3,F371)</f>
        <v>13797.647999999999</v>
      </c>
      <c r="H371" s="79">
        <f t="shared" si="51"/>
        <v>16</v>
      </c>
      <c r="I371">
        <f t="shared" si="52"/>
        <v>23</v>
      </c>
      <c r="J371">
        <f t="shared" si="53"/>
        <v>1</v>
      </c>
      <c r="K371">
        <f t="shared" si="55"/>
        <v>42</v>
      </c>
      <c r="L371" s="80">
        <f t="shared" si="56"/>
        <v>6</v>
      </c>
      <c r="M371" s="80">
        <f t="shared" si="57"/>
        <v>48</v>
      </c>
      <c r="N371">
        <f t="shared" si="58"/>
        <v>13016.649056603772</v>
      </c>
      <c r="O371" s="87">
        <f>(((1-((1+$W$11)/(1+$W$10))^(6*(J371+K371)))/($W$10-$W$11))*(1+$W$10)^(6*(J371+K371)))</f>
        <v>3853.3236192812783</v>
      </c>
      <c r="P371" s="69">
        <f>N371*0.065*O371</f>
        <v>3260228.4814909343</v>
      </c>
      <c r="Q371" s="69">
        <f t="shared" si="59"/>
        <v>21734.856543272894</v>
      </c>
      <c r="R371" s="69">
        <f>G371*(1+0.06)^K371</f>
        <v>159459.86876248516</v>
      </c>
      <c r="S371" s="77">
        <f t="shared" si="60"/>
        <v>0.13630298777962044</v>
      </c>
    </row>
    <row r="372" spans="1:19" ht="15.5" x14ac:dyDescent="0.35">
      <c r="A372" s="3" t="s">
        <v>3979</v>
      </c>
      <c r="B372" s="16" t="s">
        <v>3980</v>
      </c>
      <c r="C372" s="17" t="s">
        <v>3982</v>
      </c>
      <c r="D372" s="17" t="str">
        <f t="shared" si="54"/>
        <v>15/11/94</v>
      </c>
      <c r="E372" s="3" t="s">
        <v>3978</v>
      </c>
      <c r="F372" s="6">
        <v>15327.983999999999</v>
      </c>
      <c r="G372" s="6">
        <f>IF(F372=0,$Y$3,F372)</f>
        <v>15327.983999999999</v>
      </c>
      <c r="H372" s="79">
        <f t="shared" si="51"/>
        <v>13</v>
      </c>
      <c r="I372">
        <f t="shared" si="52"/>
        <v>28</v>
      </c>
      <c r="J372">
        <f t="shared" si="53"/>
        <v>1</v>
      </c>
      <c r="K372">
        <f t="shared" si="55"/>
        <v>37</v>
      </c>
      <c r="L372" s="80">
        <f t="shared" si="56"/>
        <v>9</v>
      </c>
      <c r="M372" s="80">
        <f t="shared" si="57"/>
        <v>46</v>
      </c>
      <c r="N372">
        <f t="shared" si="58"/>
        <v>14460.362264150941</v>
      </c>
      <c r="O372" s="87">
        <f>(((1-((1+$W$11)/(1+$W$10))^(6*(J372+K372)))/($W$10-$W$11))*(1+$W$10)^(6*(J372+K372)))</f>
        <v>2481.8865373152853</v>
      </c>
      <c r="P372" s="69">
        <f>N372*0.065*O372</f>
        <v>2332783.5978263831</v>
      </c>
      <c r="Q372" s="69">
        <f t="shared" si="59"/>
        <v>15551.890652175887</v>
      </c>
      <c r="R372" s="69">
        <f>G372*(1+0.06)^K372</f>
        <v>132373.80519554665</v>
      </c>
      <c r="S372" s="77">
        <f t="shared" si="60"/>
        <v>0.11748465362314059</v>
      </c>
    </row>
    <row r="373" spans="1:19" ht="15.5" x14ac:dyDescent="0.35">
      <c r="A373" s="3" t="s">
        <v>3983</v>
      </c>
      <c r="B373" s="16" t="s">
        <v>3984</v>
      </c>
      <c r="C373" s="17" t="s">
        <v>3986</v>
      </c>
      <c r="D373" s="17" t="str">
        <f t="shared" si="54"/>
        <v>10/04/86</v>
      </c>
      <c r="E373" s="3" t="s">
        <v>3987</v>
      </c>
      <c r="F373" s="6">
        <v>13699.759999999998</v>
      </c>
      <c r="G373" s="6">
        <f>IF(F373=0,$Y$3,F373)</f>
        <v>13699.759999999998</v>
      </c>
      <c r="H373" s="79">
        <f t="shared" si="51"/>
        <v>7</v>
      </c>
      <c r="I373">
        <f t="shared" si="52"/>
        <v>36</v>
      </c>
      <c r="J373">
        <f t="shared" si="53"/>
        <v>1</v>
      </c>
      <c r="K373">
        <f t="shared" si="55"/>
        <v>29</v>
      </c>
      <c r="L373" s="80">
        <f t="shared" si="56"/>
        <v>15</v>
      </c>
      <c r="M373" s="80">
        <f t="shared" si="57"/>
        <v>44</v>
      </c>
      <c r="N373">
        <f t="shared" si="58"/>
        <v>12924.301886792449</v>
      </c>
      <c r="O373" s="87">
        <f>(((1-((1+$W$11)/(1+$W$10))^(6*(J373+K373)))/($W$10-$W$11))*(1+$W$10)^(6*(J373+K373)))</f>
        <v>1181.6655698699749</v>
      </c>
      <c r="P373" s="69">
        <f>N373*0.065*O373</f>
        <v>992693.1660248324</v>
      </c>
      <c r="Q373" s="69">
        <f t="shared" si="59"/>
        <v>6617.9544401655494</v>
      </c>
      <c r="R373" s="69">
        <f>G373*(1+0.06)^K373</f>
        <v>74230.613802858628</v>
      </c>
      <c r="S373" s="77">
        <f t="shared" si="60"/>
        <v>8.9153977060481907E-2</v>
      </c>
    </row>
    <row r="374" spans="1:19" ht="15.5" x14ac:dyDescent="0.35">
      <c r="A374" s="3" t="s">
        <v>3988</v>
      </c>
      <c r="B374" s="16" t="s">
        <v>3989</v>
      </c>
      <c r="C374" s="17" t="s">
        <v>3991</v>
      </c>
      <c r="D374" s="17" t="str">
        <f t="shared" si="54"/>
        <v>07/07/95</v>
      </c>
      <c r="E374" s="3" t="s">
        <v>3992</v>
      </c>
      <c r="F374" s="6">
        <v>11480.864</v>
      </c>
      <c r="G374" s="6">
        <f>IF(F374=0,$Y$3,F374)</f>
        <v>11480.864</v>
      </c>
      <c r="H374" s="79">
        <f t="shared" si="51"/>
        <v>21</v>
      </c>
      <c r="I374">
        <f t="shared" si="52"/>
        <v>27</v>
      </c>
      <c r="J374">
        <f t="shared" si="53"/>
        <v>1</v>
      </c>
      <c r="K374">
        <f t="shared" si="55"/>
        <v>38</v>
      </c>
      <c r="L374" s="80">
        <f t="shared" si="56"/>
        <v>1</v>
      </c>
      <c r="M374" s="80">
        <f t="shared" si="57"/>
        <v>39</v>
      </c>
      <c r="N374">
        <f t="shared" si="58"/>
        <v>10831.003773584904</v>
      </c>
      <c r="O374" s="87">
        <f>(((1-((1+$W$11)/(1+$W$10))^(6*(J374+K374)))/($W$10-$W$11))*(1+$W$10)^(6*(J374+K374)))</f>
        <v>2713.5031944291845</v>
      </c>
      <c r="P374" s="69">
        <f>N374*0.065*O374</f>
        <v>1910347.6170023172</v>
      </c>
      <c r="Q374" s="69">
        <f t="shared" si="59"/>
        <v>12735.650780015449</v>
      </c>
      <c r="R374" s="69">
        <f>G374*(1+0.06)^K374</f>
        <v>105098.72621796309</v>
      </c>
      <c r="S374" s="77">
        <f t="shared" si="60"/>
        <v>0.12117797463694396</v>
      </c>
    </row>
    <row r="375" spans="1:19" ht="15.5" x14ac:dyDescent="0.35">
      <c r="A375" s="3" t="s">
        <v>3993</v>
      </c>
      <c r="B375" s="16" t="s">
        <v>3994</v>
      </c>
      <c r="C375" s="17" t="s">
        <v>3996</v>
      </c>
      <c r="D375" s="17" t="str">
        <f t="shared" si="54"/>
        <v>05/12/93</v>
      </c>
      <c r="E375" s="3" t="s">
        <v>3947</v>
      </c>
      <c r="F375" s="6">
        <v>15892.511999999999</v>
      </c>
      <c r="G375" s="6">
        <f>IF(F375=0,$Y$3,F375)</f>
        <v>15892.511999999999</v>
      </c>
      <c r="H375" s="79">
        <f t="shared" si="51"/>
        <v>14</v>
      </c>
      <c r="I375">
        <f t="shared" si="52"/>
        <v>29</v>
      </c>
      <c r="J375">
        <f t="shared" si="53"/>
        <v>1</v>
      </c>
      <c r="K375">
        <f t="shared" si="55"/>
        <v>36</v>
      </c>
      <c r="L375" s="80">
        <f t="shared" si="56"/>
        <v>8</v>
      </c>
      <c r="M375" s="80">
        <f t="shared" si="57"/>
        <v>44</v>
      </c>
      <c r="N375">
        <f t="shared" si="58"/>
        <v>14992.935849056601</v>
      </c>
      <c r="O375" s="87">
        <f>(((1-((1+$W$11)/(1+$W$10))^(6*(J375+K375)))/($W$10-$W$11))*(1+$W$10)^(6*(J375+K375)))</f>
        <v>2268.4845089511282</v>
      </c>
      <c r="P375" s="69">
        <f>N375*0.065*O375</f>
        <v>2210730.7766233906</v>
      </c>
      <c r="Q375" s="69">
        <f t="shared" si="59"/>
        <v>14738.205177489272</v>
      </c>
      <c r="R375" s="69">
        <f>G375*(1+0.06)^K375</f>
        <v>129480.30017465746</v>
      </c>
      <c r="S375" s="77">
        <f t="shared" si="60"/>
        <v>0.11382584962815763</v>
      </c>
    </row>
    <row r="376" spans="1:19" ht="15.5" x14ac:dyDescent="0.35">
      <c r="A376" s="3" t="s">
        <v>3997</v>
      </c>
      <c r="B376" s="16" t="s">
        <v>3998</v>
      </c>
      <c r="C376" s="17" t="s">
        <v>4000</v>
      </c>
      <c r="D376" s="17" t="str">
        <f t="shared" si="54"/>
        <v>28/09/96</v>
      </c>
      <c r="E376" s="3" t="s">
        <v>4001</v>
      </c>
      <c r="F376" s="6">
        <v>7769.9359999999997</v>
      </c>
      <c r="G376" s="6">
        <f>IF(F376=0,$Y$3,F376)</f>
        <v>7769.9359999999997</v>
      </c>
      <c r="H376" s="79">
        <f t="shared" si="51"/>
        <v>11</v>
      </c>
      <c r="I376">
        <f t="shared" si="52"/>
        <v>26</v>
      </c>
      <c r="J376">
        <f t="shared" si="53"/>
        <v>1</v>
      </c>
      <c r="K376">
        <f t="shared" si="55"/>
        <v>39</v>
      </c>
      <c r="L376" s="80">
        <f t="shared" si="56"/>
        <v>11</v>
      </c>
      <c r="M376" s="80">
        <f t="shared" si="57"/>
        <v>50</v>
      </c>
      <c r="N376">
        <f t="shared" si="58"/>
        <v>7330.1283018867916</v>
      </c>
      <c r="O376" s="87">
        <f>(((1-((1+$W$11)/(1+$W$10))^(6*(J376+K376)))/($W$10-$W$11))*(1+$W$10)^(6*(J376+K376)))</f>
        <v>2964.8060935111685</v>
      </c>
      <c r="P376" s="69">
        <f>N376*0.065*O376</f>
        <v>1412606.5886174212</v>
      </c>
      <c r="Q376" s="69">
        <f t="shared" si="59"/>
        <v>9417.3772574494742</v>
      </c>
      <c r="R376" s="69">
        <f>G376*(1+0.06)^K376</f>
        <v>75395.63215615142</v>
      </c>
      <c r="S376" s="77">
        <f t="shared" si="60"/>
        <v>0.12490613830182103</v>
      </c>
    </row>
    <row r="377" spans="1:19" ht="15.5" x14ac:dyDescent="0.35">
      <c r="A377" s="3" t="s">
        <v>4002</v>
      </c>
      <c r="B377" s="16" t="s">
        <v>4003</v>
      </c>
      <c r="C377" s="17" t="s">
        <v>4005</v>
      </c>
      <c r="D377" s="17" t="str">
        <f t="shared" si="54"/>
        <v>26/03/97</v>
      </c>
      <c r="E377" s="3" t="s">
        <v>4006</v>
      </c>
      <c r="F377" s="6">
        <v>5602.72</v>
      </c>
      <c r="G377" s="6">
        <f>IF(F377=0,$Y$3,F377)</f>
        <v>5602.72</v>
      </c>
      <c r="H377" s="79">
        <f t="shared" si="51"/>
        <v>12</v>
      </c>
      <c r="I377">
        <f t="shared" si="52"/>
        <v>25</v>
      </c>
      <c r="J377">
        <f t="shared" si="53"/>
        <v>0</v>
      </c>
      <c r="K377">
        <f t="shared" si="55"/>
        <v>40</v>
      </c>
      <c r="L377" s="80">
        <f t="shared" si="56"/>
        <v>10</v>
      </c>
      <c r="M377" s="80">
        <f t="shared" si="57"/>
        <v>50</v>
      </c>
      <c r="N377">
        <f t="shared" si="58"/>
        <v>5602.72</v>
      </c>
      <c r="O377" s="87">
        <f>(((1-((1+$W$11)/(1+$W$10))^(6*(J377+K377)))/($W$10-$W$11))*(1+$W$10)^(6*(J377+K377)))</f>
        <v>2964.8060935111685</v>
      </c>
      <c r="P377" s="69">
        <f>N377*0.065*O377</f>
        <v>1079713.595755398</v>
      </c>
      <c r="Q377" s="69">
        <f t="shared" si="59"/>
        <v>7198.09063836932</v>
      </c>
      <c r="R377" s="69">
        <f>G377*(1+0.06)^K377</f>
        <v>57627.997600694187</v>
      </c>
      <c r="S377" s="77">
        <f t="shared" si="60"/>
        <v>0.12490613830182105</v>
      </c>
    </row>
    <row r="378" spans="1:19" ht="15.5" x14ac:dyDescent="0.35">
      <c r="A378" s="3" t="s">
        <v>4007</v>
      </c>
      <c r="B378" s="16" t="s">
        <v>4008</v>
      </c>
      <c r="C378" s="17" t="s">
        <v>4010</v>
      </c>
      <c r="D378" s="17" t="str">
        <f t="shared" si="54"/>
        <v>07/01/01</v>
      </c>
      <c r="E378" s="3" t="s">
        <v>3947</v>
      </c>
      <c r="F378" s="6">
        <v>7914.64</v>
      </c>
      <c r="G378" s="6">
        <f>IF(F378=0,$Y$3,F378)</f>
        <v>7914.64</v>
      </c>
      <c r="H378" s="79">
        <f t="shared" si="51"/>
        <v>16</v>
      </c>
      <c r="I378">
        <f t="shared" si="52"/>
        <v>21</v>
      </c>
      <c r="J378">
        <f t="shared" si="53"/>
        <v>1</v>
      </c>
      <c r="K378">
        <f t="shared" si="55"/>
        <v>44</v>
      </c>
      <c r="L378" s="80">
        <f t="shared" si="56"/>
        <v>6</v>
      </c>
      <c r="M378" s="80">
        <f t="shared" si="57"/>
        <v>50</v>
      </c>
      <c r="N378">
        <f t="shared" si="58"/>
        <v>7466.6415094339618</v>
      </c>
      <c r="O378" s="87">
        <f>(((1-((1+$W$11)/(1+$W$10))^(6*(J378+K378)))/($W$10-$W$11))*(1+$W$10)^(6*(J378+K378)))</f>
        <v>4576.6656596284247</v>
      </c>
      <c r="P378" s="69">
        <f>N378*0.065*O378</f>
        <v>2221200.9162838664</v>
      </c>
      <c r="Q378" s="69">
        <f t="shared" si="59"/>
        <v>14808.00610855911</v>
      </c>
      <c r="R378" s="69">
        <f>G378*(1+0.06)^K378</f>
        <v>102775.41456537537</v>
      </c>
      <c r="S378" s="77">
        <f t="shared" si="60"/>
        <v>0.1440812101919545</v>
      </c>
    </row>
    <row r="379" spans="1:19" ht="15.5" x14ac:dyDescent="0.35">
      <c r="A379" s="3" t="s">
        <v>4011</v>
      </c>
      <c r="B379" s="16" t="s">
        <v>4012</v>
      </c>
      <c r="C379" s="17" t="s">
        <v>4014</v>
      </c>
      <c r="D379" s="17" t="str">
        <f t="shared" si="54"/>
        <v>13/03/97</v>
      </c>
      <c r="E379" s="3" t="s">
        <v>3947</v>
      </c>
      <c r="F379" s="6">
        <v>6223.1840000000002</v>
      </c>
      <c r="G379" s="6">
        <f>IF(F379=0,$Y$3,F379)</f>
        <v>6223.1840000000002</v>
      </c>
      <c r="H379" s="79">
        <f t="shared" si="51"/>
        <v>12</v>
      </c>
      <c r="I379">
        <f t="shared" si="52"/>
        <v>25</v>
      </c>
      <c r="J379">
        <f t="shared" si="53"/>
        <v>1</v>
      </c>
      <c r="K379">
        <f t="shared" si="55"/>
        <v>40</v>
      </c>
      <c r="L379" s="80">
        <f t="shared" si="56"/>
        <v>10</v>
      </c>
      <c r="M379" s="80">
        <f t="shared" si="57"/>
        <v>50</v>
      </c>
      <c r="N379">
        <f t="shared" si="58"/>
        <v>5870.9283018867918</v>
      </c>
      <c r="O379" s="87">
        <f>(((1-((1+$W$11)/(1+$W$10))^(6*(J379+K379)))/($W$10-$W$11))*(1+$W$10)^(6*(J379+K379)))</f>
        <v>3237.3816560572077</v>
      </c>
      <c r="P379" s="69">
        <f>N379*0.065*O379</f>
        <v>1235418.3132561005</v>
      </c>
      <c r="Q379" s="69">
        <f t="shared" si="59"/>
        <v>8236.1220883740043</v>
      </c>
      <c r="R379" s="69">
        <f>G379*(1+0.06)^K379</f>
        <v>64009.915294835089</v>
      </c>
      <c r="S379" s="77">
        <f t="shared" si="60"/>
        <v>0.12866947332202719</v>
      </c>
    </row>
    <row r="380" spans="1:19" ht="15.5" x14ac:dyDescent="0.35">
      <c r="A380" s="3" t="s">
        <v>4015</v>
      </c>
      <c r="B380" s="16" t="s">
        <v>4016</v>
      </c>
      <c r="C380" s="17" t="s">
        <v>4018</v>
      </c>
      <c r="D380" s="17" t="str">
        <f t="shared" si="54"/>
        <v>02/06/92</v>
      </c>
      <c r="E380" s="3" t="s">
        <v>4019</v>
      </c>
      <c r="F380" s="6">
        <v>11325.52</v>
      </c>
      <c r="G380" s="6">
        <f>IF(F380=0,$Y$3,F380)</f>
        <v>11325.52</v>
      </c>
      <c r="H380" s="79">
        <f t="shared" si="51"/>
        <v>17</v>
      </c>
      <c r="I380">
        <f t="shared" si="52"/>
        <v>30</v>
      </c>
      <c r="J380">
        <f t="shared" si="53"/>
        <v>1</v>
      </c>
      <c r="K380">
        <f t="shared" si="55"/>
        <v>35</v>
      </c>
      <c r="L380" s="80">
        <f t="shared" si="56"/>
        <v>5</v>
      </c>
      <c r="M380" s="80">
        <f t="shared" si="57"/>
        <v>40</v>
      </c>
      <c r="N380">
        <f t="shared" si="58"/>
        <v>10684.452830188678</v>
      </c>
      <c r="O380" s="87">
        <f>(((1-((1+$W$11)/(1+$W$10))^(6*(J380+K380)))/($W$10-$W$11))*(1+$W$10)^(6*(J380+K380)))</f>
        <v>2071.9321695914473</v>
      </c>
      <c r="P380" s="69">
        <f>N380*0.065*O380</f>
        <v>1438934.99966777</v>
      </c>
      <c r="Q380" s="69">
        <f t="shared" si="59"/>
        <v>9592.8999977851327</v>
      </c>
      <c r="R380" s="69">
        <f>G380*(1+0.06)^K380</f>
        <v>87048.929688069373</v>
      </c>
      <c r="S380" s="77">
        <f t="shared" si="60"/>
        <v>0.11020124006303438</v>
      </c>
    </row>
    <row r="381" spans="1:19" ht="15.5" x14ac:dyDescent="0.35">
      <c r="A381" s="3" t="s">
        <v>4020</v>
      </c>
      <c r="B381" s="16" t="s">
        <v>4021</v>
      </c>
      <c r="C381" s="17" t="s">
        <v>4023</v>
      </c>
      <c r="D381" s="17" t="str">
        <f t="shared" si="54"/>
        <v>25/07/00</v>
      </c>
      <c r="E381" s="3" t="s">
        <v>4019</v>
      </c>
      <c r="F381" s="6">
        <v>6873.7439999999997</v>
      </c>
      <c r="G381" s="6">
        <f>IF(F381=0,$Y$3,F381)</f>
        <v>6873.7439999999997</v>
      </c>
      <c r="H381" s="79">
        <f t="shared" si="51"/>
        <v>15</v>
      </c>
      <c r="I381">
        <f t="shared" si="52"/>
        <v>22</v>
      </c>
      <c r="J381">
        <f t="shared" si="53"/>
        <v>1</v>
      </c>
      <c r="K381">
        <f t="shared" si="55"/>
        <v>43</v>
      </c>
      <c r="L381" s="80">
        <f t="shared" si="56"/>
        <v>7</v>
      </c>
      <c r="M381" s="80">
        <f t="shared" si="57"/>
        <v>50</v>
      </c>
      <c r="N381">
        <f t="shared" si="58"/>
        <v>6484.6641509433948</v>
      </c>
      <c r="O381" s="87">
        <f>(((1-((1+$W$11)/(1+$W$10))^(6*(J381+K381)))/($W$10-$W$11))*(1+$W$10)^(6*(J381+K381)))</f>
        <v>4200.5189242334509</v>
      </c>
      <c r="P381" s="69">
        <f>N381*0.065*O381</f>
        <v>1770532.0414168383</v>
      </c>
      <c r="Q381" s="69">
        <f t="shared" si="59"/>
        <v>11803.546942778921</v>
      </c>
      <c r="R381" s="69">
        <f>G381*(1+0.06)^K381</f>
        <v>84206.489041881287</v>
      </c>
      <c r="S381" s="77">
        <f t="shared" si="60"/>
        <v>0.14017384024773033</v>
      </c>
    </row>
    <row r="382" spans="1:19" ht="15.5" x14ac:dyDescent="0.35">
      <c r="A382" s="3" t="s">
        <v>4024</v>
      </c>
      <c r="B382" s="16" t="s">
        <v>4025</v>
      </c>
      <c r="C382" s="17" t="s">
        <v>4027</v>
      </c>
      <c r="D382" s="17" t="str">
        <f t="shared" si="54"/>
        <v>29/09/02</v>
      </c>
      <c r="E382" s="3" t="s">
        <v>4019</v>
      </c>
      <c r="F382" s="6">
        <v>6556.6719999999996</v>
      </c>
      <c r="G382" s="6">
        <f>IF(F382=0,$Y$3,F382)</f>
        <v>6556.6719999999996</v>
      </c>
      <c r="H382" s="79">
        <f t="shared" si="51"/>
        <v>17</v>
      </c>
      <c r="I382">
        <f t="shared" si="52"/>
        <v>20</v>
      </c>
      <c r="J382">
        <f t="shared" si="53"/>
        <v>1</v>
      </c>
      <c r="K382">
        <f t="shared" si="55"/>
        <v>45</v>
      </c>
      <c r="L382" s="80">
        <f t="shared" si="56"/>
        <v>5</v>
      </c>
      <c r="M382" s="80">
        <f t="shared" si="57"/>
        <v>50</v>
      </c>
      <c r="N382">
        <f t="shared" si="58"/>
        <v>6185.5396226415087</v>
      </c>
      <c r="O382" s="87">
        <f>(((1-((1+$W$11)/(1+$W$10))^(6*(J382+K382)))/($W$10-$W$11))*(1+$W$10)^(6*(J382+K382)))</f>
        <v>4984.0692911429642</v>
      </c>
      <c r="P382" s="69">
        <f>N382*0.065*O382</f>
        <v>2003895.275353113</v>
      </c>
      <c r="Q382" s="69">
        <f t="shared" si="59"/>
        <v>13359.30183568742</v>
      </c>
      <c r="R382" s="69">
        <f>G382*(1+0.06)^K382</f>
        <v>90250.038403179424</v>
      </c>
      <c r="S382" s="77">
        <f t="shared" si="60"/>
        <v>0.14802544211678456</v>
      </c>
    </row>
    <row r="383" spans="1:19" ht="15.5" x14ac:dyDescent="0.35">
      <c r="A383" s="3" t="s">
        <v>4028</v>
      </c>
      <c r="B383" s="16" t="s">
        <v>4029</v>
      </c>
      <c r="C383" s="17" t="s">
        <v>4031</v>
      </c>
      <c r="D383" s="17" t="str">
        <f t="shared" si="54"/>
        <v>04/10/93</v>
      </c>
      <c r="E383" s="3" t="s">
        <v>4032</v>
      </c>
      <c r="F383" s="6">
        <v>13744.751999999999</v>
      </c>
      <c r="G383" s="6">
        <f>IF(F383=0,$Y$3,F383)</f>
        <v>13744.751999999999</v>
      </c>
      <c r="H383" s="79">
        <f t="shared" si="51"/>
        <v>16</v>
      </c>
      <c r="I383">
        <f t="shared" si="52"/>
        <v>29</v>
      </c>
      <c r="J383">
        <f t="shared" si="53"/>
        <v>1</v>
      </c>
      <c r="K383">
        <f t="shared" si="55"/>
        <v>36</v>
      </c>
      <c r="L383" s="80">
        <f t="shared" si="56"/>
        <v>6</v>
      </c>
      <c r="M383" s="80">
        <f t="shared" si="57"/>
        <v>42</v>
      </c>
      <c r="N383">
        <f t="shared" si="58"/>
        <v>12966.747169811319</v>
      </c>
      <c r="O383" s="87">
        <f>(((1-((1+$W$11)/(1+$W$10))^(6*(J383+K383)))/($W$10-$W$11))*(1+$W$10)^(6*(J383+K383)))</f>
        <v>2268.4845089511282</v>
      </c>
      <c r="P383" s="69">
        <f>N383*0.065*O383</f>
        <v>1911966.2306031859</v>
      </c>
      <c r="Q383" s="69">
        <f t="shared" si="59"/>
        <v>12746.441537354573</v>
      </c>
      <c r="R383" s="69">
        <f>G383*(1+0.06)^K383</f>
        <v>111981.95821945727</v>
      </c>
      <c r="S383" s="77">
        <f t="shared" si="60"/>
        <v>0.11382584962815762</v>
      </c>
    </row>
    <row r="384" spans="1:19" ht="15.5" x14ac:dyDescent="0.35">
      <c r="A384" s="3" t="s">
        <v>4033</v>
      </c>
      <c r="B384" s="16" t="s">
        <v>4034</v>
      </c>
      <c r="C384" s="17" t="s">
        <v>4036</v>
      </c>
      <c r="D384" s="17" t="str">
        <f t="shared" si="54"/>
        <v>17/08/97</v>
      </c>
      <c r="E384" s="3" t="s">
        <v>4037</v>
      </c>
      <c r="F384" s="6">
        <v>23332.304</v>
      </c>
      <c r="G384" s="6">
        <f>IF(F384=0,$Y$3,F384)</f>
        <v>23332.304</v>
      </c>
      <c r="H384" s="79">
        <f t="shared" si="51"/>
        <v>12</v>
      </c>
      <c r="I384">
        <f t="shared" si="52"/>
        <v>25</v>
      </c>
      <c r="J384">
        <f t="shared" si="53"/>
        <v>1</v>
      </c>
      <c r="K384">
        <f t="shared" si="55"/>
        <v>40</v>
      </c>
      <c r="L384" s="80">
        <f t="shared" si="56"/>
        <v>10</v>
      </c>
      <c r="M384" s="80">
        <f t="shared" si="57"/>
        <v>50</v>
      </c>
      <c r="N384">
        <f t="shared" si="58"/>
        <v>22011.60754716981</v>
      </c>
      <c r="O384" s="87">
        <f>(((1-((1+$W$11)/(1+$W$10))^(6*(J384+K384)))/($W$10-$W$11))*(1+$W$10)^(6*(J384+K384)))</f>
        <v>3237.3816560572077</v>
      </c>
      <c r="P384" s="69">
        <f>N384*0.065*O384</f>
        <v>4631898.3420799654</v>
      </c>
      <c r="Q384" s="69">
        <f t="shared" si="59"/>
        <v>30879.322280533102</v>
      </c>
      <c r="R384" s="69">
        <f>G384*(1+0.06)^K384</f>
        <v>239989.49776727505</v>
      </c>
      <c r="S384" s="77">
        <f t="shared" si="60"/>
        <v>0.12866947332202719</v>
      </c>
    </row>
    <row r="385" spans="1:19" ht="15.5" x14ac:dyDescent="0.35">
      <c r="A385" s="3" t="s">
        <v>4038</v>
      </c>
      <c r="B385" s="16" t="s">
        <v>4039</v>
      </c>
      <c r="C385" s="17" t="s">
        <v>4041</v>
      </c>
      <c r="D385" s="17" t="str">
        <f t="shared" si="54"/>
        <v>23/02/89</v>
      </c>
      <c r="E385" s="3" t="s">
        <v>4042</v>
      </c>
      <c r="F385" s="6">
        <v>15072.624</v>
      </c>
      <c r="G385" s="6">
        <f>IF(F385=0,$Y$3,F385)</f>
        <v>15072.624</v>
      </c>
      <c r="H385" s="79">
        <f t="shared" si="51"/>
        <v>18</v>
      </c>
      <c r="I385">
        <f t="shared" si="52"/>
        <v>33</v>
      </c>
      <c r="J385">
        <f t="shared" si="53"/>
        <v>1</v>
      </c>
      <c r="K385">
        <f t="shared" si="55"/>
        <v>32</v>
      </c>
      <c r="L385" s="80">
        <f t="shared" si="56"/>
        <v>4</v>
      </c>
      <c r="M385" s="80">
        <f t="shared" si="57"/>
        <v>36</v>
      </c>
      <c r="N385">
        <f t="shared" si="58"/>
        <v>14219.456603773584</v>
      </c>
      <c r="O385" s="87">
        <f>(((1-((1+$W$11)/(1+$W$10))^(6*(J385+K385)))/($W$10-$W$11))*(1+$W$10)^(6*(J385+K385)))</f>
        <v>1571.1687390454781</v>
      </c>
      <c r="P385" s="69">
        <f>N385*0.065*O385</f>
        <v>1452175.7706340845</v>
      </c>
      <c r="Q385" s="69">
        <f t="shared" si="59"/>
        <v>9681.1718042272296</v>
      </c>
      <c r="R385" s="69">
        <f>G385*(1+0.06)^K385</f>
        <v>97269.470982665312</v>
      </c>
      <c r="S385" s="77">
        <f t="shared" si="60"/>
        <v>9.9529397111171092E-2</v>
      </c>
    </row>
    <row r="386" spans="1:19" ht="15.5" x14ac:dyDescent="0.35">
      <c r="A386" s="3" t="s">
        <v>4043</v>
      </c>
      <c r="B386" s="16" t="s">
        <v>4044</v>
      </c>
      <c r="C386" s="17" t="s">
        <v>4046</v>
      </c>
      <c r="D386" s="17" t="str">
        <f t="shared" si="54"/>
        <v>13/05/96</v>
      </c>
      <c r="E386" s="3" t="s">
        <v>4047</v>
      </c>
      <c r="F386" s="6">
        <v>8326.56</v>
      </c>
      <c r="G386" s="6">
        <f>IF(F386=0,$Y$3,F386)</f>
        <v>8326.56</v>
      </c>
      <c r="H386" s="79">
        <f t="shared" ref="H386:H449" si="61">_xlfn.NUMBERVALUE(MID(B386,3,2))</f>
        <v>13</v>
      </c>
      <c r="I386">
        <f t="shared" ref="I386:I449" si="62">2022-YEAR(D386)</f>
        <v>26</v>
      </c>
      <c r="J386">
        <f t="shared" ref="J386:J449" si="63">2022-YEAR(E386)</f>
        <v>0</v>
      </c>
      <c r="K386">
        <f t="shared" si="55"/>
        <v>39</v>
      </c>
      <c r="L386" s="80">
        <f t="shared" si="56"/>
        <v>9</v>
      </c>
      <c r="M386" s="80">
        <f t="shared" si="57"/>
        <v>48</v>
      </c>
      <c r="N386">
        <f t="shared" si="58"/>
        <v>8326.56</v>
      </c>
      <c r="O386" s="87">
        <f>(((1-((1+$W$11)/(1+$W$10))^(6*(J386+K386)))/($W$10-$W$11))*(1+$W$10)^(6*(J386+K386)))</f>
        <v>2713.5031944291845</v>
      </c>
      <c r="P386" s="69">
        <f>N386*0.065*O386</f>
        <v>1468619.5653094077</v>
      </c>
      <c r="Q386" s="69">
        <f t="shared" si="59"/>
        <v>9790.7971020627174</v>
      </c>
      <c r="R386" s="69">
        <f>G386*(1+0.06)^K386</f>
        <v>80796.837308071015</v>
      </c>
      <c r="S386" s="77">
        <f t="shared" si="60"/>
        <v>0.12117797463694396</v>
      </c>
    </row>
    <row r="387" spans="1:19" ht="15.5" x14ac:dyDescent="0.35">
      <c r="A387" s="3" t="s">
        <v>4048</v>
      </c>
      <c r="B387" s="16" t="s">
        <v>4049</v>
      </c>
      <c r="C387" s="17" t="s">
        <v>4051</v>
      </c>
      <c r="D387" s="17" t="str">
        <f t="shared" ref="D387:D450" si="64">_xlfn.CONCAT(MID(C387,5,2),"/",MID(C387,3,2),"/",MID(C387,1,2))</f>
        <v>10/04/96</v>
      </c>
      <c r="E387" s="3" t="s">
        <v>4052</v>
      </c>
      <c r="F387" s="6">
        <v>13787.311999999998</v>
      </c>
      <c r="G387" s="6">
        <f>IF(F387=0,$Y$3,F387)</f>
        <v>13787.311999999998</v>
      </c>
      <c r="H387" s="79">
        <f t="shared" si="61"/>
        <v>19</v>
      </c>
      <c r="I387">
        <f t="shared" si="62"/>
        <v>26</v>
      </c>
      <c r="J387">
        <f t="shared" si="63"/>
        <v>1</v>
      </c>
      <c r="K387">
        <f t="shared" ref="K387:K450" si="65">65-I387</f>
        <v>39</v>
      </c>
      <c r="L387" s="80">
        <f t="shared" ref="L387:L450" si="66">IF(H387&gt;22,122-H387,22-H387)</f>
        <v>3</v>
      </c>
      <c r="M387" s="80">
        <f t="shared" ref="M387:M450" si="67">L387+K387</f>
        <v>42</v>
      </c>
      <c r="N387">
        <f t="shared" ref="N387:N450" si="68">G387*(1+0.06)^-J387</f>
        <v>13006.898113207544</v>
      </c>
      <c r="O387" s="87">
        <f>(((1-((1+$W$11)/(1+$W$10))^(6*(J387+K387)))/($W$10-$W$11))*(1+$W$10)^(6*(J387+K387)))</f>
        <v>2964.8060935111685</v>
      </c>
      <c r="P387" s="69">
        <f>N387*0.065*O387</f>
        <v>2506590.500941582</v>
      </c>
      <c r="Q387" s="69">
        <f t="shared" ref="Q387:Q450" si="69">P387/150</f>
        <v>16710.603339610549</v>
      </c>
      <c r="R387" s="69">
        <f>G387*(1+0.06)^K387</f>
        <v>133785.28522938828</v>
      </c>
      <c r="S387" s="77">
        <f t="shared" si="60"/>
        <v>0.12490613830182105</v>
      </c>
    </row>
    <row r="388" spans="1:19" ht="15.5" x14ac:dyDescent="0.35">
      <c r="A388" s="3" t="s">
        <v>4053</v>
      </c>
      <c r="B388" s="16" t="s">
        <v>4054</v>
      </c>
      <c r="C388" s="17" t="s">
        <v>4056</v>
      </c>
      <c r="D388" s="17" t="str">
        <f t="shared" si="64"/>
        <v>27/03/91</v>
      </c>
      <c r="E388" s="3" t="s">
        <v>4057</v>
      </c>
      <c r="F388" s="6">
        <v>7872.3839999999991</v>
      </c>
      <c r="G388" s="6">
        <f>IF(F388=0,$Y$3,F388)</f>
        <v>7872.3839999999991</v>
      </c>
      <c r="H388" s="79">
        <f t="shared" si="61"/>
        <v>9</v>
      </c>
      <c r="I388">
        <f t="shared" si="62"/>
        <v>31</v>
      </c>
      <c r="J388">
        <f t="shared" si="63"/>
        <v>1</v>
      </c>
      <c r="K388">
        <f t="shared" si="65"/>
        <v>34</v>
      </c>
      <c r="L388" s="80">
        <f t="shared" si="66"/>
        <v>13</v>
      </c>
      <c r="M388" s="80">
        <f t="shared" si="67"/>
        <v>47</v>
      </c>
      <c r="N388">
        <f t="shared" si="68"/>
        <v>7426.7773584905644</v>
      </c>
      <c r="O388" s="87">
        <f>(((1-((1+$W$11)/(1+$W$10))^(6*(J388+K388)))/($W$10-$W$11))*(1+$W$10)^(6*(J388+K388)))</f>
        <v>1890.963685662718</v>
      </c>
      <c r="P388" s="69">
        <f>N388*0.065*O388</f>
        <v>912844.80861650326</v>
      </c>
      <c r="Q388" s="69">
        <f t="shared" si="69"/>
        <v>6085.6320574433548</v>
      </c>
      <c r="R388" s="69">
        <f>G388*(1+0.06)^K388</f>
        <v>57082.855364538729</v>
      </c>
      <c r="S388" s="77">
        <f t="shared" si="60"/>
        <v>0.10661050535365998</v>
      </c>
    </row>
    <row r="389" spans="1:19" ht="15.5" x14ac:dyDescent="0.35">
      <c r="A389" s="3" t="s">
        <v>4058</v>
      </c>
      <c r="B389" s="16" t="s">
        <v>4059</v>
      </c>
      <c r="C389" s="17" t="s">
        <v>1099</v>
      </c>
      <c r="D389" s="17" t="str">
        <f t="shared" si="64"/>
        <v>28/02/93</v>
      </c>
      <c r="E389" s="3" t="s">
        <v>4061</v>
      </c>
      <c r="F389" s="6">
        <v>9488.7519999999986</v>
      </c>
      <c r="G389" s="6">
        <f>IF(F389=0,$Y$3,F389)</f>
        <v>9488.7519999999986</v>
      </c>
      <c r="H389" s="79">
        <f t="shared" si="61"/>
        <v>19</v>
      </c>
      <c r="I389">
        <f t="shared" si="62"/>
        <v>29</v>
      </c>
      <c r="J389">
        <f t="shared" si="63"/>
        <v>1</v>
      </c>
      <c r="K389">
        <f t="shared" si="65"/>
        <v>36</v>
      </c>
      <c r="L389" s="80">
        <f t="shared" si="66"/>
        <v>3</v>
      </c>
      <c r="M389" s="80">
        <f t="shared" si="67"/>
        <v>39</v>
      </c>
      <c r="N389">
        <f t="shared" si="68"/>
        <v>8951.6528301886774</v>
      </c>
      <c r="O389" s="87">
        <f>(((1-((1+$W$11)/(1+$W$10))^(6*(J389+K389)))/($W$10-$W$11))*(1+$W$10)^(6*(J389+K389)))</f>
        <v>2268.4845089511282</v>
      </c>
      <c r="P389" s="69">
        <f>N389*0.065*O389</f>
        <v>1319934.57536145</v>
      </c>
      <c r="Q389" s="69">
        <f t="shared" si="69"/>
        <v>8799.5638357429998</v>
      </c>
      <c r="R389" s="69">
        <f>G389*(1+0.06)^K389</f>
        <v>77307.253708091026</v>
      </c>
      <c r="S389" s="77">
        <f t="shared" ref="S389:S452" si="70">Q389/R389</f>
        <v>0.11382584962815762</v>
      </c>
    </row>
    <row r="390" spans="1:19" ht="15.5" x14ac:dyDescent="0.35">
      <c r="A390" s="3" t="s">
        <v>4062</v>
      </c>
      <c r="B390" s="16" t="s">
        <v>4063</v>
      </c>
      <c r="C390" s="17" t="s">
        <v>4065</v>
      </c>
      <c r="D390" s="17" t="str">
        <f t="shared" si="64"/>
        <v>18/11/94</v>
      </c>
      <c r="E390" s="3" t="s">
        <v>4066</v>
      </c>
      <c r="F390" s="6">
        <v>22907.919999999998</v>
      </c>
      <c r="G390" s="6">
        <f>IF(F390=0,$Y$3,F390)</f>
        <v>22907.919999999998</v>
      </c>
      <c r="H390" s="79">
        <f t="shared" si="61"/>
        <v>12</v>
      </c>
      <c r="I390">
        <f t="shared" si="62"/>
        <v>28</v>
      </c>
      <c r="J390">
        <f t="shared" si="63"/>
        <v>1</v>
      </c>
      <c r="K390">
        <f t="shared" si="65"/>
        <v>37</v>
      </c>
      <c r="L390" s="80">
        <f t="shared" si="66"/>
        <v>10</v>
      </c>
      <c r="M390" s="80">
        <f t="shared" si="67"/>
        <v>47</v>
      </c>
      <c r="N390">
        <f t="shared" si="68"/>
        <v>21611.245283018863</v>
      </c>
      <c r="O390" s="87">
        <f>(((1-((1+$W$11)/(1+$W$10))^(6*(J390+K390)))/($W$10-$W$11))*(1+$W$10)^(6*(J390+K390)))</f>
        <v>2481.8865373152853</v>
      </c>
      <c r="P390" s="69">
        <f>N390*0.065*O390</f>
        <v>3486382.8169652936</v>
      </c>
      <c r="Q390" s="69">
        <f t="shared" si="69"/>
        <v>23242.552113101956</v>
      </c>
      <c r="R390" s="69">
        <f>G390*(1+0.06)^K390</f>
        <v>197834.79285437454</v>
      </c>
      <c r="S390" s="77">
        <f t="shared" si="70"/>
        <v>0.11748465362314056</v>
      </c>
    </row>
    <row r="391" spans="1:19" ht="15.5" x14ac:dyDescent="0.35">
      <c r="A391" s="3" t="s">
        <v>4067</v>
      </c>
      <c r="B391" s="16" t="s">
        <v>4068</v>
      </c>
      <c r="C391" s="17" t="s">
        <v>4070</v>
      </c>
      <c r="D391" s="17" t="str">
        <f t="shared" si="64"/>
        <v>17/07/91</v>
      </c>
      <c r="E391" s="3" t="s">
        <v>4071</v>
      </c>
      <c r="F391" s="6">
        <v>13277.503999999999</v>
      </c>
      <c r="G391" s="6">
        <f>IF(F391=0,$Y$3,F391)</f>
        <v>13277.503999999999</v>
      </c>
      <c r="H391" s="79">
        <f t="shared" si="61"/>
        <v>9</v>
      </c>
      <c r="I391">
        <f t="shared" si="62"/>
        <v>31</v>
      </c>
      <c r="J391">
        <f t="shared" si="63"/>
        <v>1</v>
      </c>
      <c r="K391">
        <f t="shared" si="65"/>
        <v>34</v>
      </c>
      <c r="L391" s="80">
        <f t="shared" si="66"/>
        <v>13</v>
      </c>
      <c r="M391" s="80">
        <f t="shared" si="67"/>
        <v>47</v>
      </c>
      <c r="N391">
        <f t="shared" si="68"/>
        <v>12525.947169811319</v>
      </c>
      <c r="O391" s="87">
        <f>(((1-((1+$W$11)/(1+$W$10))^(6*(J391+K391)))/($W$10-$W$11))*(1+$W$10)^(6*(J391+K391)))</f>
        <v>1890.963685662718</v>
      </c>
      <c r="P391" s="69">
        <f>N391*0.065*O391</f>
        <v>1539597.2297317889</v>
      </c>
      <c r="Q391" s="69">
        <f t="shared" si="69"/>
        <v>10263.98153154526</v>
      </c>
      <c r="R391" s="69">
        <f>G391*(1+0.06)^K391</f>
        <v>96275.517103089034</v>
      </c>
      <c r="S391" s="77">
        <f t="shared" si="70"/>
        <v>0.10661050535366001</v>
      </c>
    </row>
    <row r="392" spans="1:19" ht="15.5" x14ac:dyDescent="0.35">
      <c r="A392" s="3" t="s">
        <v>4072</v>
      </c>
      <c r="B392" s="16" t="s">
        <v>4073</v>
      </c>
      <c r="C392" s="17" t="s">
        <v>4075</v>
      </c>
      <c r="D392" s="17" t="str">
        <f t="shared" si="64"/>
        <v>29/04/80</v>
      </c>
      <c r="E392" s="3" t="s">
        <v>4076</v>
      </c>
      <c r="F392" s="6">
        <v>27415.328000000001</v>
      </c>
      <c r="G392" s="6">
        <f>IF(F392=0,$Y$3,F392)</f>
        <v>27415.328000000001</v>
      </c>
      <c r="H392" s="79">
        <f t="shared" si="61"/>
        <v>4</v>
      </c>
      <c r="I392">
        <f t="shared" si="62"/>
        <v>42</v>
      </c>
      <c r="J392">
        <f t="shared" si="63"/>
        <v>1</v>
      </c>
      <c r="K392">
        <f t="shared" si="65"/>
        <v>23</v>
      </c>
      <c r="L392" s="80">
        <f t="shared" si="66"/>
        <v>18</v>
      </c>
      <c r="M392" s="80">
        <f t="shared" si="67"/>
        <v>41</v>
      </c>
      <c r="N392">
        <f t="shared" si="68"/>
        <v>25863.516981132074</v>
      </c>
      <c r="O392" s="87">
        <f>(((1-((1+$W$11)/(1+$W$10))^(6*(J392+K392)))/($W$10-$W$11))*(1+$W$10)^(6*(J392+K392)))</f>
        <v>647.14153879984769</v>
      </c>
      <c r="P392" s="69">
        <f>N392*0.065*O392</f>
        <v>1087928.1515664773</v>
      </c>
      <c r="Q392" s="69">
        <f t="shared" si="69"/>
        <v>7252.8543437765147</v>
      </c>
      <c r="R392" s="69">
        <f>G392*(1+0.06)^K392</f>
        <v>104719.68984991442</v>
      </c>
      <c r="S392" s="77">
        <f t="shared" si="70"/>
        <v>6.9259700388450321E-2</v>
      </c>
    </row>
    <row r="393" spans="1:19" ht="15.5" x14ac:dyDescent="0.35">
      <c r="A393" s="3" t="s">
        <v>4077</v>
      </c>
      <c r="B393" s="16" t="s">
        <v>4078</v>
      </c>
      <c r="C393" s="17" t="s">
        <v>4080</v>
      </c>
      <c r="D393" s="17" t="str">
        <f t="shared" si="64"/>
        <v>14/05/91</v>
      </c>
      <c r="E393" s="3" t="s">
        <v>4081</v>
      </c>
      <c r="F393" s="6">
        <v>10347.856</v>
      </c>
      <c r="G393" s="6">
        <f>IF(F393=0,$Y$3,F393)</f>
        <v>10347.856</v>
      </c>
      <c r="H393" s="79">
        <f t="shared" si="61"/>
        <v>11</v>
      </c>
      <c r="I393">
        <f t="shared" si="62"/>
        <v>31</v>
      </c>
      <c r="J393">
        <f t="shared" si="63"/>
        <v>1</v>
      </c>
      <c r="K393">
        <f t="shared" si="65"/>
        <v>34</v>
      </c>
      <c r="L393" s="80">
        <f t="shared" si="66"/>
        <v>11</v>
      </c>
      <c r="M393" s="80">
        <f t="shared" si="67"/>
        <v>45</v>
      </c>
      <c r="N393">
        <f t="shared" si="68"/>
        <v>9762.1283018867907</v>
      </c>
      <c r="O393" s="87">
        <f>(((1-((1+$W$11)/(1+$W$10))^(6*(J393+K393)))/($W$10-$W$11))*(1+$W$10)^(6*(J393+K393)))</f>
        <v>1890.963685662718</v>
      </c>
      <c r="P393" s="69">
        <f>N393*0.065*O393</f>
        <v>1199888.9573871314</v>
      </c>
      <c r="Q393" s="69">
        <f t="shared" si="69"/>
        <v>7999.2597159142097</v>
      </c>
      <c r="R393" s="69">
        <f>G393*(1+0.06)^K393</f>
        <v>75032.565405990652</v>
      </c>
      <c r="S393" s="77">
        <f t="shared" si="70"/>
        <v>0.10661050535365998</v>
      </c>
    </row>
    <row r="394" spans="1:19" ht="15.5" x14ac:dyDescent="0.35">
      <c r="A394" s="3" t="s">
        <v>4082</v>
      </c>
      <c r="B394" s="16" t="s">
        <v>4083</v>
      </c>
      <c r="C394" s="17" t="s">
        <v>4085</v>
      </c>
      <c r="D394" s="17" t="str">
        <f t="shared" si="64"/>
        <v>11/09/79</v>
      </c>
      <c r="E394" s="3" t="s">
        <v>4086</v>
      </c>
      <c r="F394" s="6">
        <v>14614.495999999999</v>
      </c>
      <c r="G394" s="6">
        <f>IF(F394=0,$Y$3,F394)</f>
        <v>14614.495999999999</v>
      </c>
      <c r="H394" s="79">
        <f t="shared" si="61"/>
        <v>21</v>
      </c>
      <c r="I394">
        <f t="shared" si="62"/>
        <v>43</v>
      </c>
      <c r="J394">
        <f t="shared" si="63"/>
        <v>1</v>
      </c>
      <c r="K394">
        <f t="shared" si="65"/>
        <v>22</v>
      </c>
      <c r="L394" s="80">
        <f t="shared" si="66"/>
        <v>1</v>
      </c>
      <c r="M394" s="80">
        <f t="shared" si="67"/>
        <v>23</v>
      </c>
      <c r="N394">
        <f t="shared" si="68"/>
        <v>13787.260377358489</v>
      </c>
      <c r="O394" s="87">
        <f>(((1-((1+$W$11)/(1+$W$10))^(6*(J394+K394)))/($W$10-$W$11))*(1+$W$10)^(6*(J394+K394)))</f>
        <v>582.2320727785642</v>
      </c>
      <c r="P394" s="69">
        <f>N394*0.065*O394</f>
        <v>521780.03718406818</v>
      </c>
      <c r="Q394" s="69">
        <f t="shared" si="69"/>
        <v>3478.533581227121</v>
      </c>
      <c r="R394" s="69">
        <f>G394*(1+0.06)^K394</f>
        <v>52663.883160434729</v>
      </c>
      <c r="S394" s="77">
        <f t="shared" si="70"/>
        <v>6.6051596890987913E-2</v>
      </c>
    </row>
    <row r="395" spans="1:19" ht="15.5" x14ac:dyDescent="0.35">
      <c r="A395" s="3" t="s">
        <v>4087</v>
      </c>
      <c r="B395" s="16" t="s">
        <v>4088</v>
      </c>
      <c r="C395" s="17" t="s">
        <v>4090</v>
      </c>
      <c r="D395" s="17" t="str">
        <f t="shared" si="64"/>
        <v>06/04/83</v>
      </c>
      <c r="E395" s="3" t="s">
        <v>4091</v>
      </c>
      <c r="F395" s="6">
        <v>131090.920128</v>
      </c>
      <c r="G395" s="6">
        <f>IF(F395=0,$Y$3,F395)</f>
        <v>131090.920128</v>
      </c>
      <c r="H395" s="79">
        <f t="shared" si="61"/>
        <v>21</v>
      </c>
      <c r="I395">
        <f t="shared" si="62"/>
        <v>39</v>
      </c>
      <c r="J395">
        <f t="shared" si="63"/>
        <v>1</v>
      </c>
      <c r="K395">
        <f t="shared" si="65"/>
        <v>26</v>
      </c>
      <c r="L395" s="80">
        <f t="shared" si="66"/>
        <v>1</v>
      </c>
      <c r="M395" s="80">
        <f t="shared" si="67"/>
        <v>27</v>
      </c>
      <c r="N395">
        <f t="shared" si="68"/>
        <v>123670.67936603772</v>
      </c>
      <c r="O395" s="87">
        <f>(((1-((1+$W$11)/(1+$W$10))^(6*(J395+K395)))/($W$10-$W$11))*(1+$W$10)^(6*(J395+K395)))</f>
        <v>879.8935468544031</v>
      </c>
      <c r="P395" s="69">
        <f>N395*0.065*O395</f>
        <v>7073107.1261029774</v>
      </c>
      <c r="Q395" s="69">
        <f t="shared" si="69"/>
        <v>47154.047507353185</v>
      </c>
      <c r="R395" s="69">
        <f>G395*(1+0.06)^K395</f>
        <v>596382.79862489121</v>
      </c>
      <c r="S395" s="77">
        <f t="shared" si="70"/>
        <v>7.9066746418707187E-2</v>
      </c>
    </row>
    <row r="396" spans="1:19" ht="15.5" x14ac:dyDescent="0.35">
      <c r="A396" s="3" t="s">
        <v>4092</v>
      </c>
      <c r="B396" s="16" t="s">
        <v>4093</v>
      </c>
      <c r="C396" s="17" t="s">
        <v>4095</v>
      </c>
      <c r="D396" s="17" t="str">
        <f t="shared" si="64"/>
        <v>25/03/83</v>
      </c>
      <c r="E396" s="3" t="s">
        <v>4096</v>
      </c>
      <c r="F396" s="6">
        <v>38498.256000000001</v>
      </c>
      <c r="G396" s="6">
        <f>IF(F396=0,$Y$3,F396)</f>
        <v>38498.256000000001</v>
      </c>
      <c r="H396" s="79">
        <f t="shared" si="61"/>
        <v>7</v>
      </c>
      <c r="I396">
        <f t="shared" si="62"/>
        <v>39</v>
      </c>
      <c r="J396">
        <f t="shared" si="63"/>
        <v>1</v>
      </c>
      <c r="K396">
        <f t="shared" si="65"/>
        <v>26</v>
      </c>
      <c r="L396" s="80">
        <f t="shared" si="66"/>
        <v>15</v>
      </c>
      <c r="M396" s="80">
        <f t="shared" si="67"/>
        <v>41</v>
      </c>
      <c r="N396">
        <f t="shared" si="68"/>
        <v>36319.109433962265</v>
      </c>
      <c r="O396" s="87">
        <f>(((1-((1+$W$11)/(1+$W$10))^(6*(J396+K396)))/($W$10-$W$11))*(1+$W$10)^(6*(J396+K396)))</f>
        <v>879.8935468544031</v>
      </c>
      <c r="P396" s="69">
        <f>N396*0.065*O396</f>
        <v>2077201.7511987477</v>
      </c>
      <c r="Q396" s="69">
        <f t="shared" si="69"/>
        <v>13848.011674658317</v>
      </c>
      <c r="R396" s="69">
        <f>G396*(1+0.06)^K396</f>
        <v>175143.30994884443</v>
      </c>
      <c r="S396" s="77">
        <f t="shared" si="70"/>
        <v>7.9066746418707187E-2</v>
      </c>
    </row>
    <row r="397" spans="1:19" ht="15.5" x14ac:dyDescent="0.35">
      <c r="A397" s="3" t="s">
        <v>4102</v>
      </c>
      <c r="B397" s="16" t="s">
        <v>4103</v>
      </c>
      <c r="C397" s="17" t="s">
        <v>4105</v>
      </c>
      <c r="D397" s="17" t="str">
        <f t="shared" si="64"/>
        <v>31/12/98</v>
      </c>
      <c r="E397" s="3" t="s">
        <v>4106</v>
      </c>
      <c r="F397" s="6">
        <v>6198.5599999999995</v>
      </c>
      <c r="G397" s="6">
        <f>IF(F397=0,$Y$3,F397)</f>
        <v>6198.5599999999995</v>
      </c>
      <c r="H397" s="79">
        <f t="shared" si="61"/>
        <v>14</v>
      </c>
      <c r="I397">
        <f t="shared" si="62"/>
        <v>24</v>
      </c>
      <c r="J397">
        <f t="shared" si="63"/>
        <v>1</v>
      </c>
      <c r="K397">
        <f t="shared" si="65"/>
        <v>41</v>
      </c>
      <c r="L397" s="80">
        <f t="shared" si="66"/>
        <v>8</v>
      </c>
      <c r="M397" s="80">
        <f t="shared" si="67"/>
        <v>49</v>
      </c>
      <c r="N397">
        <f t="shared" si="68"/>
        <v>5847.6981132075462</v>
      </c>
      <c r="O397" s="87">
        <f>(((1-((1+$W$11)/(1+$W$10))^(6*(J397+K397)))/($W$10-$W$11))*(1+$W$10)^(6*(J397+K397)))</f>
        <v>3532.9398561414855</v>
      </c>
      <c r="P397" s="69">
        <f>N397*0.065*O397</f>
        <v>1342871.7725042298</v>
      </c>
      <c r="Q397" s="69">
        <f t="shared" si="69"/>
        <v>8952.4784833615322</v>
      </c>
      <c r="R397" s="69">
        <f>G397*(1+0.06)^K397</f>
        <v>67582.038162932367</v>
      </c>
      <c r="S397" s="77">
        <f t="shared" si="70"/>
        <v>0.13246831150280133</v>
      </c>
    </row>
    <row r="398" spans="1:19" ht="15.5" x14ac:dyDescent="0.35">
      <c r="A398" s="3" t="s">
        <v>4107</v>
      </c>
      <c r="B398" s="16" t="s">
        <v>4108</v>
      </c>
      <c r="C398" s="17" t="s">
        <v>4110</v>
      </c>
      <c r="D398" s="17" t="str">
        <f t="shared" si="64"/>
        <v>04/10/94</v>
      </c>
      <c r="E398" s="3" t="s">
        <v>4111</v>
      </c>
      <c r="F398" s="6">
        <v>11252.864</v>
      </c>
      <c r="G398" s="6">
        <f>IF(F398=0,$Y$3,F398)</f>
        <v>11252.864</v>
      </c>
      <c r="H398" s="79">
        <f t="shared" si="61"/>
        <v>11</v>
      </c>
      <c r="I398">
        <f t="shared" si="62"/>
        <v>28</v>
      </c>
      <c r="J398">
        <f t="shared" si="63"/>
        <v>1</v>
      </c>
      <c r="K398">
        <f t="shared" si="65"/>
        <v>37</v>
      </c>
      <c r="L398" s="80">
        <f t="shared" si="66"/>
        <v>11</v>
      </c>
      <c r="M398" s="80">
        <f t="shared" si="67"/>
        <v>48</v>
      </c>
      <c r="N398">
        <f t="shared" si="68"/>
        <v>10615.909433962262</v>
      </c>
      <c r="O398" s="87">
        <f>(((1-((1+$W$11)/(1+$W$10))^(6*(J398+K398)))/($W$10-$W$11))*(1+$W$10)^(6*(J398+K398)))</f>
        <v>2481.8865373152853</v>
      </c>
      <c r="P398" s="69">
        <f>N398*0.065*O398</f>
        <v>1712586.3758581027</v>
      </c>
      <c r="Q398" s="69">
        <f t="shared" si="69"/>
        <v>11417.242505720684</v>
      </c>
      <c r="R398" s="69">
        <f>G398*(1+0.06)^K398</f>
        <v>97180.713851735491</v>
      </c>
      <c r="S398" s="77">
        <f t="shared" si="70"/>
        <v>0.11748465362314058</v>
      </c>
    </row>
    <row r="399" spans="1:19" ht="15.5" x14ac:dyDescent="0.35">
      <c r="A399" s="3" t="s">
        <v>4112</v>
      </c>
      <c r="B399" s="16" t="s">
        <v>4113</v>
      </c>
      <c r="C399" s="17" t="s">
        <v>4115</v>
      </c>
      <c r="D399" s="17" t="str">
        <f t="shared" si="64"/>
        <v>12/02/80</v>
      </c>
      <c r="E399" s="3" t="s">
        <v>4116</v>
      </c>
      <c r="F399" s="6">
        <v>5610.32</v>
      </c>
      <c r="G399" s="6">
        <f>IF(F399=0,$Y$3,F399)</f>
        <v>5610.32</v>
      </c>
      <c r="H399" s="79">
        <f t="shared" si="61"/>
        <v>20</v>
      </c>
      <c r="I399">
        <f t="shared" si="62"/>
        <v>42</v>
      </c>
      <c r="J399">
        <f t="shared" si="63"/>
        <v>1</v>
      </c>
      <c r="K399">
        <f t="shared" si="65"/>
        <v>23</v>
      </c>
      <c r="L399" s="80">
        <f t="shared" si="66"/>
        <v>2</v>
      </c>
      <c r="M399" s="80">
        <f t="shared" si="67"/>
        <v>25</v>
      </c>
      <c r="N399">
        <f t="shared" si="68"/>
        <v>5292.7547169811314</v>
      </c>
      <c r="O399" s="87">
        <f>(((1-((1+$W$11)/(1+$W$10))^(6*(J399+K399)))/($W$10-$W$11))*(1+$W$10)^(6*(J399+K399)))</f>
        <v>647.14153879984769</v>
      </c>
      <c r="P399" s="69">
        <f>N399*0.065*O399</f>
        <v>222635.49308242591</v>
      </c>
      <c r="Q399" s="69">
        <f t="shared" si="69"/>
        <v>1484.2366205495061</v>
      </c>
      <c r="R399" s="69">
        <f>G399*(1+0.06)^K399</f>
        <v>21430.017921316561</v>
      </c>
      <c r="S399" s="77">
        <f t="shared" si="70"/>
        <v>6.9259700388450335E-2</v>
      </c>
    </row>
    <row r="400" spans="1:19" ht="15.5" x14ac:dyDescent="0.35">
      <c r="A400" s="3" t="s">
        <v>4117</v>
      </c>
      <c r="B400" s="16" t="s">
        <v>4118</v>
      </c>
      <c r="C400" s="17" t="s">
        <v>4120</v>
      </c>
      <c r="D400" s="17" t="str">
        <f t="shared" si="64"/>
        <v>28/01/82</v>
      </c>
      <c r="E400" s="3" t="s">
        <v>4116</v>
      </c>
      <c r="F400" s="6">
        <v>13744.751999999999</v>
      </c>
      <c r="G400" s="6">
        <f>IF(F400=0,$Y$3,F400)</f>
        <v>13744.751999999999</v>
      </c>
      <c r="H400" s="79">
        <f t="shared" si="61"/>
        <v>0</v>
      </c>
      <c r="I400">
        <f t="shared" si="62"/>
        <v>40</v>
      </c>
      <c r="J400">
        <f t="shared" si="63"/>
        <v>1</v>
      </c>
      <c r="K400">
        <f t="shared" si="65"/>
        <v>25</v>
      </c>
      <c r="L400" s="80">
        <f t="shared" si="66"/>
        <v>22</v>
      </c>
      <c r="M400" s="80">
        <f t="shared" si="67"/>
        <v>47</v>
      </c>
      <c r="N400">
        <f t="shared" si="68"/>
        <v>12966.747169811319</v>
      </c>
      <c r="O400" s="87">
        <f>(((1-((1+$W$11)/(1+$W$10))^(6*(J400+K400)))/($W$10-$W$11))*(1+$W$10)^(6*(J400+K400)))</f>
        <v>795.44548998043808</v>
      </c>
      <c r="P400" s="69">
        <f>N400*0.065*O400</f>
        <v>670432.13613629655</v>
      </c>
      <c r="Q400" s="69">
        <f t="shared" si="69"/>
        <v>4469.5475742419767</v>
      </c>
      <c r="R400" s="69">
        <f>G400*(1+0.06)^K400</f>
        <v>58990.69865893574</v>
      </c>
      <c r="S400" s="77">
        <f t="shared" si="70"/>
        <v>7.5766988285447992E-2</v>
      </c>
    </row>
    <row r="401" spans="1:19" ht="15.5" x14ac:dyDescent="0.35">
      <c r="A401" s="3" t="s">
        <v>4121</v>
      </c>
      <c r="B401" s="16" t="s">
        <v>4122</v>
      </c>
      <c r="C401" s="17" t="s">
        <v>4124</v>
      </c>
      <c r="D401" s="17" t="str">
        <f t="shared" si="64"/>
        <v>25/01/94</v>
      </c>
      <c r="E401" s="3" t="s">
        <v>4125</v>
      </c>
      <c r="F401" s="6">
        <v>12582.255999999999</v>
      </c>
      <c r="G401" s="6">
        <f>IF(F401=0,$Y$3,F401)</f>
        <v>12582.255999999999</v>
      </c>
      <c r="H401" s="79">
        <f t="shared" si="61"/>
        <v>12</v>
      </c>
      <c r="I401">
        <f t="shared" si="62"/>
        <v>28</v>
      </c>
      <c r="J401">
        <f t="shared" si="63"/>
        <v>1</v>
      </c>
      <c r="K401">
        <f t="shared" si="65"/>
        <v>37</v>
      </c>
      <c r="L401" s="80">
        <f t="shared" si="66"/>
        <v>10</v>
      </c>
      <c r="M401" s="80">
        <f t="shared" si="67"/>
        <v>47</v>
      </c>
      <c r="N401">
        <f t="shared" si="68"/>
        <v>11870.052830188677</v>
      </c>
      <c r="O401" s="87">
        <f>(((1-((1+$W$11)/(1+$W$10))^(6*(J401+K401)))/($W$10-$W$11))*(1+$W$10)^(6*(J401+K401)))</f>
        <v>2481.8865373152853</v>
      </c>
      <c r="P401" s="69">
        <f>N401*0.065*O401</f>
        <v>1914908.0805703213</v>
      </c>
      <c r="Q401" s="69">
        <f t="shared" si="69"/>
        <v>12766.053870468808</v>
      </c>
      <c r="R401" s="69">
        <f>G401*(1+0.06)^K401</f>
        <v>108661.45898015671</v>
      </c>
      <c r="S401" s="77">
        <f t="shared" si="70"/>
        <v>0.11748465362314058</v>
      </c>
    </row>
    <row r="402" spans="1:19" ht="15.5" x14ac:dyDescent="0.35">
      <c r="A402" s="3" t="s">
        <v>4126</v>
      </c>
      <c r="B402" s="16" t="s">
        <v>4127</v>
      </c>
      <c r="C402" s="17" t="s">
        <v>4129</v>
      </c>
      <c r="D402" s="17" t="str">
        <f t="shared" si="64"/>
        <v>09/10/85</v>
      </c>
      <c r="E402" s="3" t="s">
        <v>4130</v>
      </c>
      <c r="F402" s="6">
        <v>7816.1440000000002</v>
      </c>
      <c r="G402" s="6">
        <f>IF(F402=0,$Y$3,F402)</f>
        <v>7816.1440000000002</v>
      </c>
      <c r="H402" s="79">
        <f t="shared" si="61"/>
        <v>9</v>
      </c>
      <c r="I402">
        <f t="shared" si="62"/>
        <v>37</v>
      </c>
      <c r="J402">
        <f t="shared" si="63"/>
        <v>1</v>
      </c>
      <c r="K402">
        <f t="shared" si="65"/>
        <v>28</v>
      </c>
      <c r="L402" s="80">
        <f t="shared" si="66"/>
        <v>13</v>
      </c>
      <c r="M402" s="80">
        <f t="shared" si="67"/>
        <v>41</v>
      </c>
      <c r="N402">
        <f t="shared" si="68"/>
        <v>7373.720754716981</v>
      </c>
      <c r="O402" s="87">
        <f>(((1-((1+$W$11)/(1+$W$10))^(6*(J402+K402)))/($W$10-$W$11))*(1+$W$10)^(6*(J402+K402)))</f>
        <v>1072.3399666941964</v>
      </c>
      <c r="P402" s="69">
        <f>N402*0.065*O402</f>
        <v>513963.80545415828</v>
      </c>
      <c r="Q402" s="69">
        <f t="shared" si="69"/>
        <v>3426.4253696943883</v>
      </c>
      <c r="R402" s="69">
        <f>G402*(1+0.06)^K402</f>
        <v>39953.679307777616</v>
      </c>
      <c r="S402" s="77">
        <f t="shared" si="70"/>
        <v>8.5759945743654711E-2</v>
      </c>
    </row>
    <row r="403" spans="1:19" ht="15.5" x14ac:dyDescent="0.35">
      <c r="A403" s="3" t="s">
        <v>4131</v>
      </c>
      <c r="B403" s="16" t="s">
        <v>4132</v>
      </c>
      <c r="C403" s="17" t="s">
        <v>4134</v>
      </c>
      <c r="D403" s="17" t="str">
        <f t="shared" si="64"/>
        <v>07/07/93</v>
      </c>
      <c r="E403" s="3" t="s">
        <v>4135</v>
      </c>
      <c r="F403" s="6">
        <v>5757.4559999999992</v>
      </c>
      <c r="G403" s="6">
        <f>IF(F403=0,$Y$3,F403)</f>
        <v>5757.4559999999992</v>
      </c>
      <c r="H403" s="79">
        <f t="shared" si="61"/>
        <v>13</v>
      </c>
      <c r="I403">
        <f t="shared" si="62"/>
        <v>29</v>
      </c>
      <c r="J403">
        <f t="shared" si="63"/>
        <v>1</v>
      </c>
      <c r="K403">
        <f t="shared" si="65"/>
        <v>36</v>
      </c>
      <c r="L403" s="80">
        <f t="shared" si="66"/>
        <v>9</v>
      </c>
      <c r="M403" s="80">
        <f t="shared" si="67"/>
        <v>45</v>
      </c>
      <c r="N403">
        <f t="shared" si="68"/>
        <v>5431.5622641509417</v>
      </c>
      <c r="O403" s="87">
        <f>(((1-((1+$W$11)/(1+$W$10))^(6*(J403+K403)))/($W$10-$W$11))*(1+$W$10)^(6*(J403+K403)))</f>
        <v>2268.4845089511282</v>
      </c>
      <c r="P403" s="69">
        <f>N403*0.065*O403</f>
        <v>800891.96561594529</v>
      </c>
      <c r="Q403" s="69">
        <f t="shared" si="69"/>
        <v>5339.2797707729687</v>
      </c>
      <c r="R403" s="69">
        <f>G403*(1+0.06)^K403</f>
        <v>46907.444910054663</v>
      </c>
      <c r="S403" s="77">
        <f t="shared" si="70"/>
        <v>0.1138258496281576</v>
      </c>
    </row>
    <row r="404" spans="1:19" ht="15.5" x14ac:dyDescent="0.35">
      <c r="A404" s="3" t="s">
        <v>4136</v>
      </c>
      <c r="B404" s="16" t="s">
        <v>4137</v>
      </c>
      <c r="C404" s="17" t="s">
        <v>4139</v>
      </c>
      <c r="D404" s="17" t="str">
        <f t="shared" si="64"/>
        <v>14/08/87</v>
      </c>
      <c r="E404" s="3" t="s">
        <v>4140</v>
      </c>
      <c r="F404" s="6">
        <v>18112.623999999996</v>
      </c>
      <c r="G404" s="6">
        <f>IF(F404=0,$Y$3,F404)</f>
        <v>18112.623999999996</v>
      </c>
      <c r="H404" s="79">
        <f t="shared" si="61"/>
        <v>8</v>
      </c>
      <c r="I404">
        <f t="shared" si="62"/>
        <v>35</v>
      </c>
      <c r="J404">
        <f t="shared" si="63"/>
        <v>1</v>
      </c>
      <c r="K404">
        <f t="shared" si="65"/>
        <v>30</v>
      </c>
      <c r="L404" s="80">
        <f t="shared" si="66"/>
        <v>14</v>
      </c>
      <c r="M404" s="80">
        <f t="shared" si="67"/>
        <v>44</v>
      </c>
      <c r="N404">
        <f t="shared" si="68"/>
        <v>17087.381132075465</v>
      </c>
      <c r="O404" s="87">
        <f>(((1-((1+$W$11)/(1+$W$10))^(6*(J404+K404)))/($W$10-$W$11))*(1+$W$10)^(6*(J404+K404)))</f>
        <v>1300.6996735984885</v>
      </c>
      <c r="P404" s="69">
        <f>N404*0.065*O404</f>
        <v>1444660.8189743294</v>
      </c>
      <c r="Q404" s="69">
        <f t="shared" si="69"/>
        <v>9631.07212649553</v>
      </c>
      <c r="R404" s="69">
        <f>G404*(1+0.06)^K404</f>
        <v>104029.69606229683</v>
      </c>
      <c r="S404" s="77">
        <f t="shared" si="70"/>
        <v>9.2580027540675375E-2</v>
      </c>
    </row>
    <row r="405" spans="1:19" ht="15.5" x14ac:dyDescent="0.35">
      <c r="A405" s="3" t="s">
        <v>4141</v>
      </c>
      <c r="B405" s="16" t="s">
        <v>4142</v>
      </c>
      <c r="C405" s="17" t="s">
        <v>4144</v>
      </c>
      <c r="D405" s="17" t="str">
        <f t="shared" si="64"/>
        <v>24/02/82</v>
      </c>
      <c r="E405" s="3" t="s">
        <v>4145</v>
      </c>
      <c r="F405" s="6">
        <v>21772.175999999999</v>
      </c>
      <c r="G405" s="6">
        <f>IF(F405=0,$Y$3,F405)</f>
        <v>21772.175999999999</v>
      </c>
      <c r="H405" s="79">
        <f t="shared" si="61"/>
        <v>4</v>
      </c>
      <c r="I405">
        <f t="shared" si="62"/>
        <v>40</v>
      </c>
      <c r="J405">
        <f t="shared" si="63"/>
        <v>1</v>
      </c>
      <c r="K405">
        <f t="shared" si="65"/>
        <v>25</v>
      </c>
      <c r="L405" s="80">
        <f t="shared" si="66"/>
        <v>18</v>
      </c>
      <c r="M405" s="80">
        <f t="shared" si="67"/>
        <v>43</v>
      </c>
      <c r="N405">
        <f t="shared" si="68"/>
        <v>20539.788679245281</v>
      </c>
      <c r="O405" s="87">
        <f>(((1-((1+$W$11)/(1+$W$10))^(6*(J405+K405)))/($W$10-$W$11))*(1+$W$10)^(6*(J405+K405)))</f>
        <v>795.44548998043808</v>
      </c>
      <c r="P405" s="69">
        <f>N405*0.065*O405</f>
        <v>1061988.3475536997</v>
      </c>
      <c r="Q405" s="69">
        <f t="shared" si="69"/>
        <v>7079.9223170246651</v>
      </c>
      <c r="R405" s="69">
        <f>G405*(1+0.06)^K405</f>
        <v>93443.364679501901</v>
      </c>
      <c r="S405" s="77">
        <f t="shared" si="70"/>
        <v>7.5766988285447992E-2</v>
      </c>
    </row>
    <row r="406" spans="1:19" ht="15.5" x14ac:dyDescent="0.35">
      <c r="A406" s="3" t="s">
        <v>4146</v>
      </c>
      <c r="B406" s="16" t="s">
        <v>4147</v>
      </c>
      <c r="C406" s="17" t="s">
        <v>4149</v>
      </c>
      <c r="D406" s="17" t="str">
        <f t="shared" si="64"/>
        <v>02/11/88</v>
      </c>
      <c r="E406" s="3" t="s">
        <v>4150</v>
      </c>
      <c r="F406" s="6">
        <v>12726.655999999999</v>
      </c>
      <c r="G406" s="6">
        <f>IF(F406=0,$Y$3,F406)</f>
        <v>12726.655999999999</v>
      </c>
      <c r="H406" s="79">
        <f t="shared" si="61"/>
        <v>7</v>
      </c>
      <c r="I406">
        <f t="shared" si="62"/>
        <v>34</v>
      </c>
      <c r="J406">
        <f t="shared" si="63"/>
        <v>1</v>
      </c>
      <c r="K406">
        <f t="shared" si="65"/>
        <v>31</v>
      </c>
      <c r="L406" s="80">
        <f t="shared" si="66"/>
        <v>15</v>
      </c>
      <c r="M406" s="80">
        <f t="shared" si="67"/>
        <v>46</v>
      </c>
      <c r="N406">
        <f t="shared" si="68"/>
        <v>12006.279245283016</v>
      </c>
      <c r="O406" s="87">
        <f>(((1-((1+$W$11)/(1+$W$10))^(6*(J406+K406)))/($W$10-$W$11))*(1+$W$10)^(6*(J406+K406)))</f>
        <v>1430.2452154182549</v>
      </c>
      <c r="P406" s="69">
        <f>N406*0.065*O406</f>
        <v>1116175.0239601994</v>
      </c>
      <c r="Q406" s="69">
        <f t="shared" si="69"/>
        <v>7441.1668264013297</v>
      </c>
      <c r="R406" s="69">
        <f>G406*(1+0.06)^K406</f>
        <v>77481.162580505799</v>
      </c>
      <c r="S406" s="77">
        <f t="shared" si="70"/>
        <v>9.6038399251814038E-2</v>
      </c>
    </row>
    <row r="407" spans="1:19" ht="15.5" x14ac:dyDescent="0.35">
      <c r="A407" s="3" t="s">
        <v>4155</v>
      </c>
      <c r="B407" s="16" t="s">
        <v>4156</v>
      </c>
      <c r="C407" s="17" t="s">
        <v>4158</v>
      </c>
      <c r="D407" s="17" t="str">
        <f t="shared" si="64"/>
        <v>16/04/96</v>
      </c>
      <c r="E407" s="3" t="s">
        <v>4159</v>
      </c>
      <c r="F407" s="6">
        <v>7872.3839999999991</v>
      </c>
      <c r="G407" s="6">
        <f>IF(F407=0,$Y$3,F407)</f>
        <v>7872.3839999999991</v>
      </c>
      <c r="H407" s="79">
        <f t="shared" si="61"/>
        <v>15</v>
      </c>
      <c r="I407">
        <f t="shared" si="62"/>
        <v>26</v>
      </c>
      <c r="J407">
        <f t="shared" si="63"/>
        <v>1</v>
      </c>
      <c r="K407">
        <f t="shared" si="65"/>
        <v>39</v>
      </c>
      <c r="L407" s="80">
        <f t="shared" si="66"/>
        <v>7</v>
      </c>
      <c r="M407" s="80">
        <f t="shared" si="67"/>
        <v>46</v>
      </c>
      <c r="N407">
        <f t="shared" si="68"/>
        <v>7426.7773584905644</v>
      </c>
      <c r="O407" s="87">
        <f>(((1-((1+$W$11)/(1+$W$10))^(6*(J407+K407)))/($W$10-$W$11))*(1+$W$10)^(6*(J407+K407)))</f>
        <v>2964.8060935111685</v>
      </c>
      <c r="P407" s="69">
        <f>N407*0.065*O407</f>
        <v>1431232.0598942344</v>
      </c>
      <c r="Q407" s="69">
        <f t="shared" si="69"/>
        <v>9541.5470659615621</v>
      </c>
      <c r="R407" s="69">
        <f>G407*(1+0.06)^K407</f>
        <v>76389.737091267147</v>
      </c>
      <c r="S407" s="77">
        <f t="shared" si="70"/>
        <v>0.12490613830182103</v>
      </c>
    </row>
    <row r="408" spans="1:19" ht="15.5" x14ac:dyDescent="0.35">
      <c r="A408" s="3" t="s">
        <v>4160</v>
      </c>
      <c r="B408" s="16" t="s">
        <v>4161</v>
      </c>
      <c r="C408" s="17" t="s">
        <v>4163</v>
      </c>
      <c r="D408" s="17" t="str">
        <f t="shared" si="64"/>
        <v>09/02/87</v>
      </c>
      <c r="E408" s="3" t="s">
        <v>4164</v>
      </c>
      <c r="F408" s="6">
        <v>19305.215999999997</v>
      </c>
      <c r="G408" s="6">
        <f>IF(F408=0,$Y$3,F408)</f>
        <v>19305.215999999997</v>
      </c>
      <c r="H408" s="79">
        <f t="shared" si="61"/>
        <v>7</v>
      </c>
      <c r="I408">
        <f t="shared" si="62"/>
        <v>35</v>
      </c>
      <c r="J408">
        <f t="shared" si="63"/>
        <v>1</v>
      </c>
      <c r="K408">
        <f t="shared" si="65"/>
        <v>30</v>
      </c>
      <c r="L408" s="80">
        <f t="shared" si="66"/>
        <v>15</v>
      </c>
      <c r="M408" s="80">
        <f t="shared" si="67"/>
        <v>45</v>
      </c>
      <c r="N408">
        <f t="shared" si="68"/>
        <v>18212.467924528297</v>
      </c>
      <c r="O408" s="87">
        <f>(((1-((1+$W$11)/(1+$W$10))^(6*(J408+K408)))/($W$10-$W$11))*(1+$W$10)^(6*(J408+K408)))</f>
        <v>1300.6996735984885</v>
      </c>
      <c r="P408" s="69">
        <f>N408*0.065*O408</f>
        <v>1539781.8205156983</v>
      </c>
      <c r="Q408" s="69">
        <f t="shared" si="69"/>
        <v>10265.212136771323</v>
      </c>
      <c r="R408" s="69">
        <f>G408*(1+0.06)^K408</f>
        <v>110879.3376871838</v>
      </c>
      <c r="S408" s="77">
        <f t="shared" si="70"/>
        <v>9.2580027540675389E-2</v>
      </c>
    </row>
    <row r="409" spans="1:19" ht="15.5" x14ac:dyDescent="0.35">
      <c r="A409" s="3" t="s">
        <v>4165</v>
      </c>
      <c r="B409" s="16" t="s">
        <v>4166</v>
      </c>
      <c r="C409" s="17" t="s">
        <v>4168</v>
      </c>
      <c r="D409" s="17" t="str">
        <f t="shared" si="64"/>
        <v>30/01/97</v>
      </c>
      <c r="E409" s="3" t="s">
        <v>4159</v>
      </c>
      <c r="F409" s="6">
        <v>14680.464</v>
      </c>
      <c r="G409" s="6">
        <f>IF(F409=0,$Y$3,F409)</f>
        <v>14680.464</v>
      </c>
      <c r="H409" s="79">
        <f t="shared" si="61"/>
        <v>16</v>
      </c>
      <c r="I409">
        <f t="shared" si="62"/>
        <v>25</v>
      </c>
      <c r="J409">
        <f t="shared" si="63"/>
        <v>1</v>
      </c>
      <c r="K409">
        <f t="shared" si="65"/>
        <v>40</v>
      </c>
      <c r="L409" s="80">
        <f t="shared" si="66"/>
        <v>6</v>
      </c>
      <c r="M409" s="80">
        <f t="shared" si="67"/>
        <v>46</v>
      </c>
      <c r="N409">
        <f t="shared" si="68"/>
        <v>13849.494339622641</v>
      </c>
      <c r="O409" s="87">
        <f>(((1-((1+$W$11)/(1+$W$10))^(6*(J409+K409)))/($W$10-$W$11))*(1+$W$10)^(6*(J409+K409)))</f>
        <v>3237.3816560572077</v>
      </c>
      <c r="P409" s="69">
        <f>N409*0.065*O409</f>
        <v>2914346.4298495604</v>
      </c>
      <c r="Q409" s="69">
        <f t="shared" si="69"/>
        <v>19428.976198997068</v>
      </c>
      <c r="R409" s="69">
        <f>G409*(1+0.06)^K409</f>
        <v>150999.11189013146</v>
      </c>
      <c r="S409" s="77">
        <f t="shared" si="70"/>
        <v>0.12866947332202719</v>
      </c>
    </row>
    <row r="410" spans="1:19" ht="15.5" x14ac:dyDescent="0.35">
      <c r="A410" s="3" t="s">
        <v>4174</v>
      </c>
      <c r="B410" s="16" t="s">
        <v>4175</v>
      </c>
      <c r="C410" s="17" t="s">
        <v>4177</v>
      </c>
      <c r="D410" s="17" t="str">
        <f t="shared" si="64"/>
        <v>04/11/99</v>
      </c>
      <c r="E410" s="3" t="s">
        <v>4178</v>
      </c>
      <c r="F410" s="6">
        <v>7754.1279999999997</v>
      </c>
      <c r="G410" s="6">
        <f>IF(F410=0,$Y$3,F410)</f>
        <v>7754.1279999999997</v>
      </c>
      <c r="H410" s="79">
        <f t="shared" si="61"/>
        <v>15</v>
      </c>
      <c r="I410">
        <f t="shared" si="62"/>
        <v>23</v>
      </c>
      <c r="J410">
        <f t="shared" si="63"/>
        <v>1</v>
      </c>
      <c r="K410">
        <f t="shared" si="65"/>
        <v>42</v>
      </c>
      <c r="L410" s="80">
        <f t="shared" si="66"/>
        <v>7</v>
      </c>
      <c r="M410" s="80">
        <f t="shared" si="67"/>
        <v>49</v>
      </c>
      <c r="N410">
        <f t="shared" si="68"/>
        <v>7315.2150943396218</v>
      </c>
      <c r="O410" s="87">
        <f>(((1-((1+$W$11)/(1+$W$10))^(6*(J410+K410)))/($W$10-$W$11))*(1+$W$10)^(6*(J410+K410)))</f>
        <v>3853.3236192812783</v>
      </c>
      <c r="P410" s="69">
        <f>N410*0.065*O410</f>
        <v>1832212.9217042164</v>
      </c>
      <c r="Q410" s="69">
        <f t="shared" si="69"/>
        <v>12214.752811361443</v>
      </c>
      <c r="R410" s="69">
        <f>G410*(1+0.06)^K410</f>
        <v>89614.710655577786</v>
      </c>
      <c r="S410" s="77">
        <f t="shared" si="70"/>
        <v>0.13630298777962047</v>
      </c>
    </row>
    <row r="411" spans="1:19" ht="15.5" x14ac:dyDescent="0.35">
      <c r="A411" s="3" t="s">
        <v>4179</v>
      </c>
      <c r="B411" s="16" t="s">
        <v>4180</v>
      </c>
      <c r="C411" s="17" t="s">
        <v>4182</v>
      </c>
      <c r="D411" s="17" t="str">
        <f t="shared" si="64"/>
        <v>26/01/97</v>
      </c>
      <c r="E411" s="3" t="s">
        <v>3823</v>
      </c>
      <c r="F411" s="6">
        <v>7004.7679999999991</v>
      </c>
      <c r="G411" s="6">
        <f>IF(F411=0,$Y$3,F411)</f>
        <v>7004.7679999999991</v>
      </c>
      <c r="H411" s="79">
        <f t="shared" si="61"/>
        <v>16</v>
      </c>
      <c r="I411">
        <f t="shared" si="62"/>
        <v>25</v>
      </c>
      <c r="J411">
        <f t="shared" si="63"/>
        <v>1</v>
      </c>
      <c r="K411">
        <f t="shared" si="65"/>
        <v>40</v>
      </c>
      <c r="L411" s="80">
        <f t="shared" si="66"/>
        <v>6</v>
      </c>
      <c r="M411" s="80">
        <f t="shared" si="67"/>
        <v>46</v>
      </c>
      <c r="N411">
        <f t="shared" si="68"/>
        <v>6608.2716981132062</v>
      </c>
      <c r="O411" s="87">
        <f>(((1-((1+$W$11)/(1+$W$10))^(6*(J411+K411)))/($W$10-$W$11))*(1+$W$10)^(6*(J411+K411)))</f>
        <v>3237.3816560572077</v>
      </c>
      <c r="P411" s="69">
        <f>N411*0.065*O411</f>
        <v>1390577.342291391</v>
      </c>
      <c r="Q411" s="69">
        <f t="shared" si="69"/>
        <v>9270.5156152759391</v>
      </c>
      <c r="R411" s="69">
        <f>G411*(1+0.06)^K411</f>
        <v>72049.067863005708</v>
      </c>
      <c r="S411" s="77">
        <f t="shared" si="70"/>
        <v>0.12866947332202719</v>
      </c>
    </row>
    <row r="412" spans="1:19" ht="15.5" x14ac:dyDescent="0.35">
      <c r="A412" s="3" t="s">
        <v>4183</v>
      </c>
      <c r="B412" s="16" t="s">
        <v>4184</v>
      </c>
      <c r="C412" s="17" t="s">
        <v>4186</v>
      </c>
      <c r="D412" s="17" t="str">
        <f t="shared" si="64"/>
        <v>20/08/98</v>
      </c>
      <c r="E412" s="3" t="s">
        <v>3823</v>
      </c>
      <c r="F412" s="6">
        <v>6257.5360000000001</v>
      </c>
      <c r="G412" s="6">
        <f>IF(F412=0,$Y$3,F412)</f>
        <v>6257.5360000000001</v>
      </c>
      <c r="H412" s="79">
        <f t="shared" si="61"/>
        <v>13</v>
      </c>
      <c r="I412">
        <f t="shared" si="62"/>
        <v>24</v>
      </c>
      <c r="J412">
        <f t="shared" si="63"/>
        <v>1</v>
      </c>
      <c r="K412">
        <f t="shared" si="65"/>
        <v>41</v>
      </c>
      <c r="L412" s="80">
        <f t="shared" si="66"/>
        <v>9</v>
      </c>
      <c r="M412" s="80">
        <f t="shared" si="67"/>
        <v>50</v>
      </c>
      <c r="N412">
        <f t="shared" si="68"/>
        <v>5903.3358490566034</v>
      </c>
      <c r="O412" s="87">
        <f>(((1-((1+$W$11)/(1+$W$10))^(6*(J412+K412)))/($W$10-$W$11))*(1+$W$10)^(6*(J412+K412)))</f>
        <v>3532.9398561414855</v>
      </c>
      <c r="P412" s="69">
        <f>N412*0.065*O412</f>
        <v>1355648.4828458594</v>
      </c>
      <c r="Q412" s="69">
        <f t="shared" si="69"/>
        <v>9037.6565523057288</v>
      </c>
      <c r="R412" s="69">
        <f>G412*(1+0.06)^K412</f>
        <v>68225.045294055904</v>
      </c>
      <c r="S412" s="77">
        <f t="shared" si="70"/>
        <v>0.13246831150280136</v>
      </c>
    </row>
    <row r="413" spans="1:19" ht="15.5" x14ac:dyDescent="0.35">
      <c r="A413" s="3" t="s">
        <v>4187</v>
      </c>
      <c r="B413" s="16" t="s">
        <v>4188</v>
      </c>
      <c r="C413" s="17" t="s">
        <v>4190</v>
      </c>
      <c r="D413" s="17" t="str">
        <f t="shared" si="64"/>
        <v>06/11/92</v>
      </c>
      <c r="E413" s="3" t="s">
        <v>4191</v>
      </c>
      <c r="F413" s="6">
        <v>6684.96</v>
      </c>
      <c r="G413" s="6">
        <f>IF(F413=0,$Y$3,F413)</f>
        <v>6684.96</v>
      </c>
      <c r="H413" s="79">
        <f t="shared" si="61"/>
        <v>10</v>
      </c>
      <c r="I413">
        <f t="shared" si="62"/>
        <v>30</v>
      </c>
      <c r="J413">
        <f t="shared" si="63"/>
        <v>0</v>
      </c>
      <c r="K413">
        <f t="shared" si="65"/>
        <v>35</v>
      </c>
      <c r="L413" s="80">
        <f t="shared" si="66"/>
        <v>12</v>
      </c>
      <c r="M413" s="80">
        <f t="shared" si="67"/>
        <v>47</v>
      </c>
      <c r="N413">
        <f t="shared" si="68"/>
        <v>6684.96</v>
      </c>
      <c r="O413" s="87">
        <f>(((1-((1+$W$11)/(1+$W$10))^(6*(J413+K413)))/($W$10-$W$11))*(1+$W$10)^(6*(J413+K413)))</f>
        <v>1890.963685662718</v>
      </c>
      <c r="P413" s="69">
        <f>N413*0.065*O413</f>
        <v>821666.07900700986</v>
      </c>
      <c r="Q413" s="69">
        <f t="shared" si="69"/>
        <v>5477.7738600467328</v>
      </c>
      <c r="R413" s="69">
        <f>G413*(1+0.06)^K413</f>
        <v>51381.18276313637</v>
      </c>
      <c r="S413" s="77">
        <f t="shared" si="70"/>
        <v>0.10661050535366</v>
      </c>
    </row>
    <row r="414" spans="1:19" ht="15.5" x14ac:dyDescent="0.35">
      <c r="A414" s="3" t="s">
        <v>4192</v>
      </c>
      <c r="B414" s="16" t="s">
        <v>4193</v>
      </c>
      <c r="C414" s="17" t="s">
        <v>4195</v>
      </c>
      <c r="D414" s="17" t="str">
        <f t="shared" si="64"/>
        <v>26/03/80</v>
      </c>
      <c r="E414" s="3" t="s">
        <v>4196</v>
      </c>
      <c r="F414" s="6">
        <v>23202.191999999999</v>
      </c>
      <c r="G414" s="6">
        <f>IF(F414=0,$Y$3,F414)</f>
        <v>23202.191999999999</v>
      </c>
      <c r="H414" s="79">
        <f t="shared" si="61"/>
        <v>1</v>
      </c>
      <c r="I414">
        <f t="shared" si="62"/>
        <v>42</v>
      </c>
      <c r="J414">
        <f t="shared" si="63"/>
        <v>1</v>
      </c>
      <c r="K414">
        <f t="shared" si="65"/>
        <v>23</v>
      </c>
      <c r="L414" s="80">
        <f t="shared" si="66"/>
        <v>21</v>
      </c>
      <c r="M414" s="80">
        <f t="shared" si="67"/>
        <v>44</v>
      </c>
      <c r="N414">
        <f t="shared" si="68"/>
        <v>21888.860377358487</v>
      </c>
      <c r="O414" s="87">
        <f>(((1-((1+$W$11)/(1+$W$10))^(6*(J414+K414)))/($W$10-$W$11))*(1+$W$10)^(6*(J414+K414)))</f>
        <v>647.14153879984769</v>
      </c>
      <c r="P414" s="69">
        <f>N414*0.065*O414</f>
        <v>920737.40116662113</v>
      </c>
      <c r="Q414" s="69">
        <f t="shared" si="69"/>
        <v>6138.2493411108071</v>
      </c>
      <c r="R414" s="69">
        <f>G414*(1+0.06)^K414</f>
        <v>88626.565039753128</v>
      </c>
      <c r="S414" s="77">
        <f t="shared" si="70"/>
        <v>6.9259700388450321E-2</v>
      </c>
    </row>
    <row r="415" spans="1:19" ht="15.5" x14ac:dyDescent="0.35">
      <c r="A415" s="3" t="s">
        <v>4197</v>
      </c>
      <c r="B415" s="16" t="s">
        <v>4198</v>
      </c>
      <c r="C415" s="17" t="s">
        <v>4200</v>
      </c>
      <c r="D415" s="17" t="str">
        <f t="shared" si="64"/>
        <v>23/05/97</v>
      </c>
      <c r="E415" s="3" t="s">
        <v>4201</v>
      </c>
      <c r="F415" s="6">
        <v>13526.784</v>
      </c>
      <c r="G415" s="6">
        <f>IF(F415=0,$Y$3,F415)</f>
        <v>13526.784</v>
      </c>
      <c r="H415" s="79">
        <f t="shared" si="61"/>
        <v>15</v>
      </c>
      <c r="I415">
        <f t="shared" si="62"/>
        <v>25</v>
      </c>
      <c r="J415">
        <f t="shared" si="63"/>
        <v>1</v>
      </c>
      <c r="K415">
        <f t="shared" si="65"/>
        <v>40</v>
      </c>
      <c r="L415" s="80">
        <f t="shared" si="66"/>
        <v>7</v>
      </c>
      <c r="M415" s="80">
        <f t="shared" si="67"/>
        <v>47</v>
      </c>
      <c r="N415">
        <f t="shared" si="68"/>
        <v>12761.116981132074</v>
      </c>
      <c r="O415" s="87">
        <f>(((1-((1+$W$11)/(1+$W$10))^(6*(J415+K415)))/($W$10-$W$11))*(1+$W$10)^(6*(J415+K415)))</f>
        <v>3237.3816560572077</v>
      </c>
      <c r="P415" s="69">
        <f>N415*0.065*O415</f>
        <v>2685319.3916586121</v>
      </c>
      <c r="Q415" s="69">
        <f t="shared" si="69"/>
        <v>17902.129277724081</v>
      </c>
      <c r="R415" s="69">
        <f>G415*(1+0.06)^K415</f>
        <v>139132.68482042802</v>
      </c>
      <c r="S415" s="77">
        <f t="shared" si="70"/>
        <v>0.12866947332202719</v>
      </c>
    </row>
    <row r="416" spans="1:19" ht="15.5" x14ac:dyDescent="0.35">
      <c r="A416" s="3" t="s">
        <v>4202</v>
      </c>
      <c r="B416" s="16" t="s">
        <v>4203</v>
      </c>
      <c r="C416" s="17" t="s">
        <v>4205</v>
      </c>
      <c r="D416" s="17" t="str">
        <f t="shared" si="64"/>
        <v>29/06/99</v>
      </c>
      <c r="E416" s="3" t="s">
        <v>4201</v>
      </c>
      <c r="F416" s="6">
        <v>11136.127999999999</v>
      </c>
      <c r="G416" s="6">
        <f>IF(F416=0,$Y$3,F416)</f>
        <v>11136.127999999999</v>
      </c>
      <c r="H416" s="79">
        <f t="shared" si="61"/>
        <v>18</v>
      </c>
      <c r="I416">
        <f t="shared" si="62"/>
        <v>23</v>
      </c>
      <c r="J416">
        <f t="shared" si="63"/>
        <v>1</v>
      </c>
      <c r="K416">
        <f t="shared" si="65"/>
        <v>42</v>
      </c>
      <c r="L416" s="80">
        <f t="shared" si="66"/>
        <v>4</v>
      </c>
      <c r="M416" s="80">
        <f t="shared" si="67"/>
        <v>46</v>
      </c>
      <c r="N416">
        <f t="shared" si="68"/>
        <v>10505.78113207547</v>
      </c>
      <c r="O416" s="87">
        <f>(((1-((1+$W$11)/(1+$W$10))^(6*(J416+K416)))/($W$10-$W$11))*(1+$W$10)^(6*(J416+K416)))</f>
        <v>3853.3236192812783</v>
      </c>
      <c r="P416" s="69">
        <f>N416*0.065*O416</f>
        <v>2631341.347389691</v>
      </c>
      <c r="Q416" s="69">
        <f t="shared" si="69"/>
        <v>17542.275649264608</v>
      </c>
      <c r="R416" s="69">
        <f>G416*(1+0.06)^K416</f>
        <v>128700.59515956895</v>
      </c>
      <c r="S416" s="77">
        <f t="shared" si="70"/>
        <v>0.13630298777962047</v>
      </c>
    </row>
    <row r="417" spans="1:19" ht="15.5" x14ac:dyDescent="0.35">
      <c r="A417" s="3" t="s">
        <v>4206</v>
      </c>
      <c r="B417" s="16" t="s">
        <v>4207</v>
      </c>
      <c r="C417" s="17" t="s">
        <v>4209</v>
      </c>
      <c r="D417" s="17" t="str">
        <f t="shared" si="64"/>
        <v>27/11/96</v>
      </c>
      <c r="E417" s="3" t="s">
        <v>4201</v>
      </c>
      <c r="F417" s="6">
        <v>7963.8880000000008</v>
      </c>
      <c r="G417" s="6">
        <f>IF(F417=0,$Y$3,F417)</f>
        <v>7963.8880000000008</v>
      </c>
      <c r="H417" s="79">
        <f t="shared" si="61"/>
        <v>16</v>
      </c>
      <c r="I417">
        <f t="shared" si="62"/>
        <v>26</v>
      </c>
      <c r="J417">
        <f t="shared" si="63"/>
        <v>1</v>
      </c>
      <c r="K417">
        <f t="shared" si="65"/>
        <v>39</v>
      </c>
      <c r="L417" s="80">
        <f t="shared" si="66"/>
        <v>6</v>
      </c>
      <c r="M417" s="80">
        <f t="shared" si="67"/>
        <v>45</v>
      </c>
      <c r="N417">
        <f t="shared" si="68"/>
        <v>7513.1018867924531</v>
      </c>
      <c r="O417" s="87">
        <f>(((1-((1+$W$11)/(1+$W$10))^(6*(J417+K417)))/($W$10-$W$11))*(1+$W$10)^(6*(J417+K417)))</f>
        <v>2964.8060935111685</v>
      </c>
      <c r="P417" s="69">
        <f>N417*0.065*O417</f>
        <v>1447867.8665836141</v>
      </c>
      <c r="Q417" s="69">
        <f t="shared" si="69"/>
        <v>9652.4524438907611</v>
      </c>
      <c r="R417" s="69">
        <f>G417*(1+0.06)^K417</f>
        <v>77277.646840435802</v>
      </c>
      <c r="S417" s="77">
        <f t="shared" si="70"/>
        <v>0.12490613830182108</v>
      </c>
    </row>
    <row r="418" spans="1:19" ht="15.5" x14ac:dyDescent="0.35">
      <c r="A418" s="3" t="s">
        <v>4210</v>
      </c>
      <c r="B418" s="16" t="s">
        <v>4211</v>
      </c>
      <c r="C418" s="17" t="s">
        <v>4213</v>
      </c>
      <c r="D418" s="17" t="str">
        <f t="shared" si="64"/>
        <v>12/03/96</v>
      </c>
      <c r="E418" s="3" t="s">
        <v>4196</v>
      </c>
      <c r="F418" s="6">
        <v>15716.8</v>
      </c>
      <c r="G418" s="6">
        <f>IF(F418=0,$Y$3,F418)</f>
        <v>15716.8</v>
      </c>
      <c r="H418" s="79">
        <f t="shared" si="61"/>
        <v>13</v>
      </c>
      <c r="I418">
        <f t="shared" si="62"/>
        <v>26</v>
      </c>
      <c r="J418">
        <f t="shared" si="63"/>
        <v>1</v>
      </c>
      <c r="K418">
        <f t="shared" si="65"/>
        <v>39</v>
      </c>
      <c r="L418" s="80">
        <f t="shared" si="66"/>
        <v>9</v>
      </c>
      <c r="M418" s="80">
        <f t="shared" si="67"/>
        <v>48</v>
      </c>
      <c r="N418">
        <f t="shared" si="68"/>
        <v>14827.169811320753</v>
      </c>
      <c r="O418" s="87">
        <f>(((1-((1+$W$11)/(1+$W$10))^(6*(J418+K418)))/($W$10-$W$11))*(1+$W$10)^(6*(J418+K418)))</f>
        <v>2964.8060935111685</v>
      </c>
      <c r="P418" s="69">
        <f>N418*0.065*O418</f>
        <v>2857379.4213983598</v>
      </c>
      <c r="Q418" s="69">
        <f t="shared" si="69"/>
        <v>19049.196142655732</v>
      </c>
      <c r="R418" s="69">
        <f>G418*(1+0.06)^K418</f>
        <v>152508.08648511398</v>
      </c>
      <c r="S418" s="77">
        <f t="shared" si="70"/>
        <v>0.12490613830182105</v>
      </c>
    </row>
    <row r="419" spans="1:19" ht="15.5" x14ac:dyDescent="0.35">
      <c r="A419" s="3" t="s">
        <v>4224</v>
      </c>
      <c r="B419" s="16" t="s">
        <v>4225</v>
      </c>
      <c r="C419" s="17" t="s">
        <v>4227</v>
      </c>
      <c r="D419" s="17" t="str">
        <f t="shared" si="64"/>
        <v>22/08/90</v>
      </c>
      <c r="E419" s="3" t="s">
        <v>4228</v>
      </c>
      <c r="F419" s="6">
        <v>12356.688</v>
      </c>
      <c r="G419" s="6">
        <f>IF(F419=0,$Y$3,F419)</f>
        <v>12356.688</v>
      </c>
      <c r="H419" s="79">
        <f t="shared" si="61"/>
        <v>8</v>
      </c>
      <c r="I419">
        <f t="shared" si="62"/>
        <v>32</v>
      </c>
      <c r="J419">
        <f t="shared" si="63"/>
        <v>1</v>
      </c>
      <c r="K419">
        <f t="shared" si="65"/>
        <v>33</v>
      </c>
      <c r="L419" s="80">
        <f t="shared" si="66"/>
        <v>14</v>
      </c>
      <c r="M419" s="80">
        <f t="shared" si="67"/>
        <v>47</v>
      </c>
      <c r="N419">
        <f t="shared" si="68"/>
        <v>11657.252830188678</v>
      </c>
      <c r="O419" s="87">
        <f>(((1-((1+$W$11)/(1+$W$10))^(6*(J419+K419)))/($W$10-$W$11))*(1+$W$10)^(6*(J419+K419)))</f>
        <v>1724.4052908394829</v>
      </c>
      <c r="P419" s="69">
        <f>N419*0.065*O419</f>
        <v>1306618.8497070081</v>
      </c>
      <c r="Q419" s="69">
        <f t="shared" si="69"/>
        <v>8710.7923313800547</v>
      </c>
      <c r="R419" s="69">
        <f>G419*(1+0.06)^K419</f>
        <v>84527.034917697121</v>
      </c>
      <c r="S419" s="77">
        <f t="shared" si="70"/>
        <v>0.1030533289125975</v>
      </c>
    </row>
    <row r="420" spans="1:19" ht="15.5" x14ac:dyDescent="0.35">
      <c r="A420" s="3" t="s">
        <v>4229</v>
      </c>
      <c r="B420" s="16" t="s">
        <v>4230</v>
      </c>
      <c r="C420" s="17" t="s">
        <v>4232</v>
      </c>
      <c r="D420" s="17" t="str">
        <f t="shared" si="64"/>
        <v>11/05/84</v>
      </c>
      <c r="E420" s="3" t="s">
        <v>3828</v>
      </c>
      <c r="F420" s="6">
        <v>9555.6319999999996</v>
      </c>
      <c r="G420" s="6">
        <f>IF(F420=0,$Y$3,F420)</f>
        <v>9555.6319999999996</v>
      </c>
      <c r="H420" s="79">
        <f t="shared" si="61"/>
        <v>15</v>
      </c>
      <c r="I420">
        <f t="shared" si="62"/>
        <v>38</v>
      </c>
      <c r="J420">
        <f t="shared" si="63"/>
        <v>1</v>
      </c>
      <c r="K420">
        <f t="shared" si="65"/>
        <v>27</v>
      </c>
      <c r="L420" s="80">
        <f t="shared" si="66"/>
        <v>7</v>
      </c>
      <c r="M420" s="80">
        <f t="shared" si="67"/>
        <v>34</v>
      </c>
      <c r="N420">
        <f t="shared" si="68"/>
        <v>9014.7471698113186</v>
      </c>
      <c r="O420" s="87">
        <f>(((1-((1+$W$11)/(1+$W$10))^(6*(J420+K420)))/($W$10-$W$11))*(1+$W$10)^(6*(J420+K420)))</f>
        <v>971.97898006406626</v>
      </c>
      <c r="P420" s="69">
        <f>N420*0.065*O420</f>
        <v>569539.40937716118</v>
      </c>
      <c r="Q420" s="69">
        <f t="shared" si="69"/>
        <v>3796.929395847741</v>
      </c>
      <c r="R420" s="69">
        <f>G420*(1+0.06)^K420</f>
        <v>46080.563186059182</v>
      </c>
      <c r="S420" s="77">
        <f t="shared" si="70"/>
        <v>8.2397634345676388E-2</v>
      </c>
    </row>
    <row r="421" spans="1:19" ht="15.5" x14ac:dyDescent="0.35">
      <c r="A421" s="3" t="s">
        <v>4233</v>
      </c>
      <c r="B421" s="16" t="s">
        <v>4234</v>
      </c>
      <c r="C421" s="17" t="s">
        <v>1463</v>
      </c>
      <c r="D421" s="17" t="str">
        <f t="shared" si="64"/>
        <v>09/10/93</v>
      </c>
      <c r="E421" s="3" t="s">
        <v>3464</v>
      </c>
      <c r="F421" s="6">
        <v>15332.544</v>
      </c>
      <c r="G421" s="6">
        <f>IF(F421=0,$Y$3,F421)</f>
        <v>15332.544</v>
      </c>
      <c r="H421" s="79">
        <f t="shared" si="61"/>
        <v>11</v>
      </c>
      <c r="I421">
        <f t="shared" si="62"/>
        <v>29</v>
      </c>
      <c r="J421">
        <f t="shared" si="63"/>
        <v>1</v>
      </c>
      <c r="K421">
        <f t="shared" si="65"/>
        <v>36</v>
      </c>
      <c r="L421" s="80">
        <f t="shared" si="66"/>
        <v>11</v>
      </c>
      <c r="M421" s="80">
        <f t="shared" si="67"/>
        <v>47</v>
      </c>
      <c r="N421">
        <f t="shared" si="68"/>
        <v>14464.664150943394</v>
      </c>
      <c r="O421" s="87">
        <f>(((1-((1+$W$11)/(1+$W$10))^(6*(J421+K421)))/($W$10-$W$11))*(1+$W$10)^(6*(J421+K421)))</f>
        <v>2268.4845089511282</v>
      </c>
      <c r="P421" s="69">
        <f>N421*0.065*O421</f>
        <v>2132836.3259837278</v>
      </c>
      <c r="Q421" s="69">
        <f t="shared" si="69"/>
        <v>14218.908839891519</v>
      </c>
      <c r="R421" s="69">
        <f>G421*(1+0.06)^K421</f>
        <v>124918.09976680485</v>
      </c>
      <c r="S421" s="77">
        <f t="shared" si="70"/>
        <v>0.11382584962815762</v>
      </c>
    </row>
    <row r="422" spans="1:19" ht="15.5" x14ac:dyDescent="0.35">
      <c r="A422" s="3" t="s">
        <v>4236</v>
      </c>
      <c r="B422" s="16" t="s">
        <v>4237</v>
      </c>
      <c r="C422" s="17" t="s">
        <v>4239</v>
      </c>
      <c r="D422" s="17" t="str">
        <f t="shared" si="64"/>
        <v>27/02/91</v>
      </c>
      <c r="E422" s="3" t="s">
        <v>4240</v>
      </c>
      <c r="F422" s="6">
        <v>14968.655999999999</v>
      </c>
      <c r="G422" s="6">
        <f>IF(F422=0,$Y$3,F422)</f>
        <v>14968.655999999999</v>
      </c>
      <c r="H422" s="79">
        <f t="shared" si="61"/>
        <v>11</v>
      </c>
      <c r="I422">
        <f t="shared" si="62"/>
        <v>31</v>
      </c>
      <c r="J422">
        <f t="shared" si="63"/>
        <v>1</v>
      </c>
      <c r="K422">
        <f t="shared" si="65"/>
        <v>34</v>
      </c>
      <c r="L422" s="80">
        <f t="shared" si="66"/>
        <v>11</v>
      </c>
      <c r="M422" s="80">
        <f t="shared" si="67"/>
        <v>45</v>
      </c>
      <c r="N422">
        <f t="shared" si="68"/>
        <v>14121.373584905657</v>
      </c>
      <c r="O422" s="87">
        <f>(((1-((1+$W$11)/(1+$W$10))^(6*(J422+K422)))/($W$10-$W$11))*(1+$W$10)^(6*(J422+K422)))</f>
        <v>1890.963685662718</v>
      </c>
      <c r="P422" s="69">
        <f>N422*0.065*O422</f>
        <v>1735695.301647668</v>
      </c>
      <c r="Q422" s="69">
        <f t="shared" si="69"/>
        <v>11571.302010984453</v>
      </c>
      <c r="R422" s="69">
        <f>G422*(1+0.06)^K422</f>
        <v>108538.10300025188</v>
      </c>
      <c r="S422" s="77">
        <f t="shared" si="70"/>
        <v>0.10661050535366</v>
      </c>
    </row>
    <row r="423" spans="1:19" ht="15.5" x14ac:dyDescent="0.35">
      <c r="A423" s="3" t="s">
        <v>4241</v>
      </c>
      <c r="B423" s="16" t="s">
        <v>4242</v>
      </c>
      <c r="C423" s="17" t="s">
        <v>4244</v>
      </c>
      <c r="D423" s="17" t="str">
        <f t="shared" si="64"/>
        <v>25/06/97</v>
      </c>
      <c r="E423" s="3" t="s">
        <v>4240</v>
      </c>
      <c r="F423" s="6">
        <v>9001.7440000000006</v>
      </c>
      <c r="G423" s="6">
        <f>IF(F423=0,$Y$3,F423)</f>
        <v>9001.7440000000006</v>
      </c>
      <c r="H423" s="79">
        <f t="shared" si="61"/>
        <v>13</v>
      </c>
      <c r="I423">
        <f t="shared" si="62"/>
        <v>25</v>
      </c>
      <c r="J423">
        <f t="shared" si="63"/>
        <v>1</v>
      </c>
      <c r="K423">
        <f t="shared" si="65"/>
        <v>40</v>
      </c>
      <c r="L423" s="80">
        <f t="shared" si="66"/>
        <v>9</v>
      </c>
      <c r="M423" s="80">
        <f t="shared" si="67"/>
        <v>49</v>
      </c>
      <c r="N423">
        <f t="shared" si="68"/>
        <v>8492.2113207547172</v>
      </c>
      <c r="O423" s="87">
        <f>(((1-((1+$W$11)/(1+$W$10))^(6*(J423+K423)))/($W$10-$W$11))*(1+$W$10)^(6*(J423+K423)))</f>
        <v>3237.3816560572077</v>
      </c>
      <c r="P423" s="69">
        <f>N423*0.065*O423</f>
        <v>1787014.3946962238</v>
      </c>
      <c r="Q423" s="69">
        <f t="shared" si="69"/>
        <v>11913.429297974826</v>
      </c>
      <c r="R423" s="69">
        <f>G423*(1+0.06)^K423</f>
        <v>92589.399726215706</v>
      </c>
      <c r="S423" s="77">
        <f t="shared" si="70"/>
        <v>0.12866947332202722</v>
      </c>
    </row>
    <row r="424" spans="1:19" ht="15.5" x14ac:dyDescent="0.35">
      <c r="A424" s="3" t="s">
        <v>4245</v>
      </c>
      <c r="B424" s="16" t="s">
        <v>4246</v>
      </c>
      <c r="C424" s="17" t="s">
        <v>4248</v>
      </c>
      <c r="D424" s="17" t="str">
        <f t="shared" si="64"/>
        <v>06/01/98</v>
      </c>
      <c r="E424" s="3" t="s">
        <v>4240</v>
      </c>
      <c r="F424" s="6">
        <v>7635.8720000000003</v>
      </c>
      <c r="G424" s="6">
        <f>IF(F424=0,$Y$3,F424)</f>
        <v>7635.8720000000003</v>
      </c>
      <c r="H424" s="79">
        <f t="shared" si="61"/>
        <v>12</v>
      </c>
      <c r="I424">
        <f t="shared" si="62"/>
        <v>24</v>
      </c>
      <c r="J424">
        <f t="shared" si="63"/>
        <v>1</v>
      </c>
      <c r="K424">
        <f t="shared" si="65"/>
        <v>41</v>
      </c>
      <c r="L424" s="80">
        <f t="shared" si="66"/>
        <v>10</v>
      </c>
      <c r="M424" s="80">
        <f t="shared" si="67"/>
        <v>51</v>
      </c>
      <c r="N424">
        <f t="shared" si="68"/>
        <v>7203.6528301886792</v>
      </c>
      <c r="O424" s="87">
        <f>(((1-((1+$W$11)/(1+$W$10))^(6*(J424+K424)))/($W$10-$W$11))*(1+$W$10)^(6*(J424+K424)))</f>
        <v>3532.9398561414855</v>
      </c>
      <c r="P424" s="69">
        <f>N424*0.065*O424</f>
        <v>1654254.6925826999</v>
      </c>
      <c r="Q424" s="69">
        <f t="shared" si="69"/>
        <v>11028.364617218</v>
      </c>
      <c r="R424" s="69">
        <f>G424*(1+0.06)^K424</f>
        <v>83252.851131757488</v>
      </c>
      <c r="S424" s="77">
        <f t="shared" si="70"/>
        <v>0.13246831150280136</v>
      </c>
    </row>
    <row r="425" spans="1:19" ht="15.5" x14ac:dyDescent="0.35">
      <c r="A425" s="3" t="s">
        <v>4249</v>
      </c>
      <c r="B425" s="16" t="s">
        <v>4250</v>
      </c>
      <c r="C425" s="17" t="s">
        <v>4252</v>
      </c>
      <c r="D425" s="17" t="str">
        <f t="shared" si="64"/>
        <v>02/07/99</v>
      </c>
      <c r="E425" s="3" t="s">
        <v>4253</v>
      </c>
      <c r="F425" s="6">
        <v>11898.255999999999</v>
      </c>
      <c r="G425" s="6">
        <f>IF(F425=0,$Y$3,F425)</f>
        <v>11898.255999999999</v>
      </c>
      <c r="H425" s="79">
        <f t="shared" si="61"/>
        <v>14</v>
      </c>
      <c r="I425">
        <f t="shared" si="62"/>
        <v>23</v>
      </c>
      <c r="J425">
        <f t="shared" si="63"/>
        <v>1</v>
      </c>
      <c r="K425">
        <f t="shared" si="65"/>
        <v>42</v>
      </c>
      <c r="L425" s="80">
        <f t="shared" si="66"/>
        <v>8</v>
      </c>
      <c r="M425" s="80">
        <f t="shared" si="67"/>
        <v>50</v>
      </c>
      <c r="N425">
        <f t="shared" si="68"/>
        <v>11224.769811320753</v>
      </c>
      <c r="O425" s="87">
        <f>(((1-((1+$W$11)/(1+$W$10))^(6*(J425+K425)))/($W$10-$W$11))*(1+$W$10)^(6*(J425+K425)))</f>
        <v>3853.3236192812783</v>
      </c>
      <c r="P425" s="69">
        <f>N425*0.065*O425</f>
        <v>2811423.5912722517</v>
      </c>
      <c r="Q425" s="69">
        <f t="shared" si="69"/>
        <v>18742.823941815011</v>
      </c>
      <c r="R425" s="69">
        <f>G425*(1+0.06)^K425</f>
        <v>137508.53335745714</v>
      </c>
      <c r="S425" s="77">
        <f t="shared" si="70"/>
        <v>0.13630298777962044</v>
      </c>
    </row>
    <row r="426" spans="1:19" ht="15.5" x14ac:dyDescent="0.35">
      <c r="A426" s="3" t="s">
        <v>4254</v>
      </c>
      <c r="B426" s="16" t="s">
        <v>4255</v>
      </c>
      <c r="C426" s="17" t="s">
        <v>4257</v>
      </c>
      <c r="D426" s="17" t="str">
        <f t="shared" si="64"/>
        <v>02/10/95</v>
      </c>
      <c r="E426" s="3" t="s">
        <v>4253</v>
      </c>
      <c r="F426" s="6">
        <v>9143.7119999999995</v>
      </c>
      <c r="G426" s="6">
        <f>IF(F426=0,$Y$3,F426)</f>
        <v>9143.7119999999995</v>
      </c>
      <c r="H426" s="79">
        <f t="shared" si="61"/>
        <v>11</v>
      </c>
      <c r="I426">
        <f t="shared" si="62"/>
        <v>27</v>
      </c>
      <c r="J426">
        <f t="shared" si="63"/>
        <v>1</v>
      </c>
      <c r="K426">
        <f t="shared" si="65"/>
        <v>38</v>
      </c>
      <c r="L426" s="80">
        <f t="shared" si="66"/>
        <v>11</v>
      </c>
      <c r="M426" s="80">
        <f t="shared" si="67"/>
        <v>49</v>
      </c>
      <c r="N426">
        <f t="shared" si="68"/>
        <v>8626.1433962264146</v>
      </c>
      <c r="O426" s="87">
        <f>(((1-((1+$W$11)/(1+$W$10))^(6*(J426+K426)))/($W$10-$W$11))*(1+$W$10)^(6*(J426+K426)))</f>
        <v>2713.5031944291845</v>
      </c>
      <c r="P426" s="69">
        <f>N426*0.065*O426</f>
        <v>1521459.3979821985</v>
      </c>
      <c r="Q426" s="69">
        <f t="shared" si="69"/>
        <v>10143.062653214656</v>
      </c>
      <c r="R426" s="69">
        <f>G426*(1+0.06)^K426</f>
        <v>83703.84703659096</v>
      </c>
      <c r="S426" s="77">
        <f t="shared" si="70"/>
        <v>0.12117797463694396</v>
      </c>
    </row>
    <row r="427" spans="1:19" ht="15.5" x14ac:dyDescent="0.35">
      <c r="A427" s="3" t="s">
        <v>4258</v>
      </c>
      <c r="B427" s="16" t="s">
        <v>4259</v>
      </c>
      <c r="C427" s="17" t="s">
        <v>4261</v>
      </c>
      <c r="D427" s="17" t="str">
        <f t="shared" si="64"/>
        <v>20/01/96</v>
      </c>
      <c r="E427" s="3" t="s">
        <v>4262</v>
      </c>
      <c r="F427" s="6">
        <v>11454.111999999999</v>
      </c>
      <c r="G427" s="6">
        <f>IF(F427=0,$Y$3,F427)</f>
        <v>11454.111999999999</v>
      </c>
      <c r="H427" s="79">
        <f t="shared" si="61"/>
        <v>11</v>
      </c>
      <c r="I427">
        <f t="shared" si="62"/>
        <v>26</v>
      </c>
      <c r="J427">
        <f t="shared" si="63"/>
        <v>1</v>
      </c>
      <c r="K427">
        <f t="shared" si="65"/>
        <v>39</v>
      </c>
      <c r="L427" s="80">
        <f t="shared" si="66"/>
        <v>11</v>
      </c>
      <c r="M427" s="80">
        <f t="shared" si="67"/>
        <v>50</v>
      </c>
      <c r="N427">
        <f t="shared" si="68"/>
        <v>10805.766037735848</v>
      </c>
      <c r="O427" s="87">
        <f>(((1-((1+$W$11)/(1+$W$10))^(6*(J427+K427)))/($W$10-$W$11))*(1+$W$10)^(6*(J427+K427)))</f>
        <v>2964.8060935111685</v>
      </c>
      <c r="P427" s="69">
        <f>N427*0.065*O427</f>
        <v>2082405.0645927929</v>
      </c>
      <c r="Q427" s="69">
        <f t="shared" si="69"/>
        <v>13882.700430618619</v>
      </c>
      <c r="R427" s="69">
        <f>G427*(1+0.06)^K427</f>
        <v>111145.06155872581</v>
      </c>
      <c r="S427" s="77">
        <f t="shared" si="70"/>
        <v>0.12490613830182104</v>
      </c>
    </row>
    <row r="428" spans="1:19" ht="15.5" x14ac:dyDescent="0.35">
      <c r="A428" s="3" t="s">
        <v>4263</v>
      </c>
      <c r="B428" s="16" t="s">
        <v>4264</v>
      </c>
      <c r="C428" s="17" t="s">
        <v>4266</v>
      </c>
      <c r="D428" s="17" t="str">
        <f t="shared" si="64"/>
        <v>04/12/88</v>
      </c>
      <c r="E428" s="3" t="s">
        <v>4262</v>
      </c>
      <c r="F428" s="6">
        <v>17818.351999999999</v>
      </c>
      <c r="G428" s="6">
        <f>IF(F428=0,$Y$3,F428)</f>
        <v>17818.351999999999</v>
      </c>
      <c r="H428" s="79">
        <f t="shared" si="61"/>
        <v>7</v>
      </c>
      <c r="I428">
        <f t="shared" si="62"/>
        <v>34</v>
      </c>
      <c r="J428">
        <f t="shared" si="63"/>
        <v>1</v>
      </c>
      <c r="K428">
        <f t="shared" si="65"/>
        <v>31</v>
      </c>
      <c r="L428" s="80">
        <f t="shared" si="66"/>
        <v>15</v>
      </c>
      <c r="M428" s="80">
        <f t="shared" si="67"/>
        <v>46</v>
      </c>
      <c r="N428">
        <f t="shared" si="68"/>
        <v>16809.766037735848</v>
      </c>
      <c r="O428" s="87">
        <f>(((1-((1+$W$11)/(1+$W$10))^(6*(J428+K428)))/($W$10-$W$11))*(1+$W$10)^(6*(J428+K428)))</f>
        <v>1430.2452154182549</v>
      </c>
      <c r="P428" s="69">
        <f>N428*0.065*O428</f>
        <v>1562735.6841051783</v>
      </c>
      <c r="Q428" s="69">
        <f t="shared" si="69"/>
        <v>10418.237894034522</v>
      </c>
      <c r="R428" s="69">
        <f>G428*(1+0.06)^K428</f>
        <v>108479.92027353302</v>
      </c>
      <c r="S428" s="77">
        <f t="shared" si="70"/>
        <v>9.6038399251814066E-2</v>
      </c>
    </row>
    <row r="429" spans="1:19" ht="15.5" x14ac:dyDescent="0.35">
      <c r="A429" s="3" t="s">
        <v>4267</v>
      </c>
      <c r="B429" s="16" t="s">
        <v>4268</v>
      </c>
      <c r="C429" s="17" t="s">
        <v>4270</v>
      </c>
      <c r="D429" s="17" t="str">
        <f t="shared" si="64"/>
        <v>22/04/93</v>
      </c>
      <c r="E429" s="3" t="s">
        <v>4271</v>
      </c>
      <c r="F429" s="6">
        <v>10181.567999999999</v>
      </c>
      <c r="G429" s="6">
        <f>IF(F429=0,$Y$3,F429)</f>
        <v>10181.567999999999</v>
      </c>
      <c r="H429" s="79">
        <f t="shared" si="61"/>
        <v>11</v>
      </c>
      <c r="I429">
        <f t="shared" si="62"/>
        <v>29</v>
      </c>
      <c r="J429">
        <f t="shared" si="63"/>
        <v>1</v>
      </c>
      <c r="K429">
        <f t="shared" si="65"/>
        <v>36</v>
      </c>
      <c r="L429" s="80">
        <f t="shared" si="66"/>
        <v>11</v>
      </c>
      <c r="M429" s="80">
        <f t="shared" si="67"/>
        <v>47</v>
      </c>
      <c r="N429">
        <f t="shared" si="68"/>
        <v>9605.2528301886778</v>
      </c>
      <c r="O429" s="87">
        <f>(((1-((1+$W$11)/(1+$W$10))^(6*(J429+K429)))/($W$10-$W$11))*(1+$W$10)^(6*(J429+K429)))</f>
        <v>2268.4845089511282</v>
      </c>
      <c r="P429" s="69">
        <f>N429*0.065*O429</f>
        <v>1416308.8712397299</v>
      </c>
      <c r="Q429" s="69">
        <f t="shared" si="69"/>
        <v>9442.0591415981999</v>
      </c>
      <c r="R429" s="69">
        <f>G429*(1+0.06)^K429</f>
        <v>82951.800249619875</v>
      </c>
      <c r="S429" s="77">
        <f t="shared" si="70"/>
        <v>0.11382584962815762</v>
      </c>
    </row>
    <row r="430" spans="1:19" ht="15.5" x14ac:dyDescent="0.35">
      <c r="A430" s="3" t="s">
        <v>4272</v>
      </c>
      <c r="B430" s="16" t="s">
        <v>4273</v>
      </c>
      <c r="C430" s="17" t="s">
        <v>4275</v>
      </c>
      <c r="D430" s="17" t="str">
        <f t="shared" si="64"/>
        <v>12/08/84</v>
      </c>
      <c r="E430" s="3" t="s">
        <v>4271</v>
      </c>
      <c r="F430" s="6">
        <v>8848.2240000000002</v>
      </c>
      <c r="G430" s="6">
        <f>IF(F430=0,$Y$3,F430)</f>
        <v>8848.2240000000002</v>
      </c>
      <c r="H430" s="79">
        <f t="shared" si="61"/>
        <v>17</v>
      </c>
      <c r="I430">
        <f t="shared" si="62"/>
        <v>38</v>
      </c>
      <c r="J430">
        <f t="shared" si="63"/>
        <v>1</v>
      </c>
      <c r="K430">
        <f t="shared" si="65"/>
        <v>27</v>
      </c>
      <c r="L430" s="80">
        <f t="shared" si="66"/>
        <v>5</v>
      </c>
      <c r="M430" s="80">
        <f t="shared" si="67"/>
        <v>32</v>
      </c>
      <c r="N430">
        <f t="shared" si="68"/>
        <v>8347.3811320754703</v>
      </c>
      <c r="O430" s="87">
        <f>(((1-((1+$W$11)/(1+$W$10))^(6*(J430+K430)))/($W$10-$W$11))*(1+$W$10)^(6*(J430+K430)))</f>
        <v>971.97898006406626</v>
      </c>
      <c r="P430" s="69">
        <f>N430*0.065*O430</f>
        <v>527376.13493244862</v>
      </c>
      <c r="Q430" s="69">
        <f t="shared" si="69"/>
        <v>3515.8408995496575</v>
      </c>
      <c r="R430" s="69">
        <f>G430*(1+0.06)^K430</f>
        <v>42669.197088837805</v>
      </c>
      <c r="S430" s="77">
        <f t="shared" si="70"/>
        <v>8.2397634345676402E-2</v>
      </c>
    </row>
    <row r="431" spans="1:19" ht="15.5" x14ac:dyDescent="0.35">
      <c r="A431" s="3" t="s">
        <v>4276</v>
      </c>
      <c r="B431" s="16" t="s">
        <v>4277</v>
      </c>
      <c r="C431" s="17" t="s">
        <v>4279</v>
      </c>
      <c r="D431" s="17" t="str">
        <f t="shared" si="64"/>
        <v>10/07/90</v>
      </c>
      <c r="E431" s="3" t="s">
        <v>4280</v>
      </c>
      <c r="F431" s="6">
        <v>8365.4719999999998</v>
      </c>
      <c r="G431" s="6">
        <f>IF(F431=0,$Y$3,F431)</f>
        <v>8365.4719999999998</v>
      </c>
      <c r="H431" s="79">
        <f t="shared" si="61"/>
        <v>8</v>
      </c>
      <c r="I431">
        <f t="shared" si="62"/>
        <v>32</v>
      </c>
      <c r="J431">
        <f t="shared" si="63"/>
        <v>1</v>
      </c>
      <c r="K431">
        <f t="shared" si="65"/>
        <v>33</v>
      </c>
      <c r="L431" s="80">
        <f t="shared" si="66"/>
        <v>14</v>
      </c>
      <c r="M431" s="80">
        <f t="shared" si="67"/>
        <v>47</v>
      </c>
      <c r="N431">
        <f t="shared" si="68"/>
        <v>7891.9547169811312</v>
      </c>
      <c r="O431" s="87">
        <f>(((1-((1+$W$11)/(1+$W$10))^(6*(J431+K431)))/($W$10-$W$11))*(1+$W$10)^(6*(J431+K431)))</f>
        <v>1724.4052908394829</v>
      </c>
      <c r="P431" s="69">
        <f>N431*0.065*O431</f>
        <v>884580.35048681207</v>
      </c>
      <c r="Q431" s="69">
        <f t="shared" si="69"/>
        <v>5897.2023365787472</v>
      </c>
      <c r="R431" s="69">
        <f>G431*(1+0.06)^K431</f>
        <v>57224.763128033788</v>
      </c>
      <c r="S431" s="77">
        <f t="shared" si="70"/>
        <v>0.1030533289125975</v>
      </c>
    </row>
    <row r="432" spans="1:19" ht="15.5" x14ac:dyDescent="0.35">
      <c r="A432" s="3" t="s">
        <v>4281</v>
      </c>
      <c r="B432" s="16" t="s">
        <v>4282</v>
      </c>
      <c r="C432" s="17" t="s">
        <v>1626</v>
      </c>
      <c r="D432" s="17" t="str">
        <f t="shared" si="64"/>
        <v>21/04/96</v>
      </c>
      <c r="E432" s="3" t="s">
        <v>4280</v>
      </c>
      <c r="F432" s="6">
        <v>9816.4639999999999</v>
      </c>
      <c r="G432" s="6">
        <f>IF(F432=0,$Y$3,F432)</f>
        <v>9816.4639999999999</v>
      </c>
      <c r="H432" s="79">
        <f t="shared" si="61"/>
        <v>16</v>
      </c>
      <c r="I432">
        <f t="shared" si="62"/>
        <v>26</v>
      </c>
      <c r="J432">
        <f t="shared" si="63"/>
        <v>1</v>
      </c>
      <c r="K432">
        <f t="shared" si="65"/>
        <v>39</v>
      </c>
      <c r="L432" s="80">
        <f t="shared" si="66"/>
        <v>6</v>
      </c>
      <c r="M432" s="80">
        <f t="shared" si="67"/>
        <v>45</v>
      </c>
      <c r="N432">
        <f t="shared" si="68"/>
        <v>9260.8150943396213</v>
      </c>
      <c r="O432" s="87">
        <f>(((1-((1+$W$11)/(1+$W$10))^(6*(J432+K432)))/($W$10-$W$11))*(1+$W$10)^(6*(J432+K432)))</f>
        <v>2964.8060935111685</v>
      </c>
      <c r="P432" s="69">
        <f>N432*0.065*O432</f>
        <v>1784673.8664675904</v>
      </c>
      <c r="Q432" s="69">
        <f t="shared" si="69"/>
        <v>11897.825776450603</v>
      </c>
      <c r="R432" s="69">
        <f>G432*(1+0.06)^K432</f>
        <v>95254.131928255621</v>
      </c>
      <c r="S432" s="77">
        <f t="shared" si="70"/>
        <v>0.12490613830182104</v>
      </c>
    </row>
    <row r="433" spans="1:19" ht="15.5" x14ac:dyDescent="0.35">
      <c r="A433" s="3" t="s">
        <v>4284</v>
      </c>
      <c r="B433" s="16" t="s">
        <v>4285</v>
      </c>
      <c r="C433" s="17" t="s">
        <v>4287</v>
      </c>
      <c r="D433" s="17" t="str">
        <f t="shared" si="64"/>
        <v>19/01/85</v>
      </c>
      <c r="E433" s="3" t="s">
        <v>4288</v>
      </c>
      <c r="F433" s="6">
        <v>15887.039999999999</v>
      </c>
      <c r="G433" s="6">
        <f>IF(F433=0,$Y$3,F433)</f>
        <v>15887.039999999999</v>
      </c>
      <c r="H433" s="79">
        <f t="shared" si="61"/>
        <v>8</v>
      </c>
      <c r="I433">
        <f t="shared" si="62"/>
        <v>37</v>
      </c>
      <c r="J433">
        <f t="shared" si="63"/>
        <v>0</v>
      </c>
      <c r="K433">
        <f t="shared" si="65"/>
        <v>28</v>
      </c>
      <c r="L433" s="80">
        <f t="shared" si="66"/>
        <v>14</v>
      </c>
      <c r="M433" s="80">
        <f t="shared" si="67"/>
        <v>42</v>
      </c>
      <c r="N433">
        <f t="shared" si="68"/>
        <v>15887.039999999999</v>
      </c>
      <c r="O433" s="87">
        <f>(((1-((1+$W$11)/(1+$W$10))^(6*(J433+K433)))/($W$10-$W$11))*(1+$W$10)^(6*(J433+K433)))</f>
        <v>971.97898006406626</v>
      </c>
      <c r="P433" s="69">
        <f>N433*0.065*O433</f>
        <v>1003721.4808034066</v>
      </c>
      <c r="Q433" s="69">
        <f t="shared" si="69"/>
        <v>6691.4765386893769</v>
      </c>
      <c r="R433" s="69">
        <f>G433*(1+0.06)^K433</f>
        <v>81209.571025026569</v>
      </c>
      <c r="S433" s="77">
        <f t="shared" si="70"/>
        <v>8.2397634345676402E-2</v>
      </c>
    </row>
    <row r="434" spans="1:19" ht="15.5" x14ac:dyDescent="0.35">
      <c r="A434" s="3" t="s">
        <v>4289</v>
      </c>
      <c r="B434" s="16" t="s">
        <v>4290</v>
      </c>
      <c r="C434" s="17" t="s">
        <v>4292</v>
      </c>
      <c r="D434" s="17" t="str">
        <f t="shared" si="64"/>
        <v>05/07/95</v>
      </c>
      <c r="E434" s="3" t="s">
        <v>4280</v>
      </c>
      <c r="F434" s="6">
        <v>19980.399999999998</v>
      </c>
      <c r="G434" s="6">
        <f>IF(F434=0,$Y$3,F434)</f>
        <v>19980.399999999998</v>
      </c>
      <c r="H434" s="79">
        <f t="shared" si="61"/>
        <v>18</v>
      </c>
      <c r="I434">
        <f t="shared" si="62"/>
        <v>27</v>
      </c>
      <c r="J434">
        <f t="shared" si="63"/>
        <v>1</v>
      </c>
      <c r="K434">
        <f t="shared" si="65"/>
        <v>38</v>
      </c>
      <c r="L434" s="80">
        <f t="shared" si="66"/>
        <v>4</v>
      </c>
      <c r="M434" s="80">
        <f t="shared" si="67"/>
        <v>42</v>
      </c>
      <c r="N434">
        <f t="shared" si="68"/>
        <v>18849.433962264146</v>
      </c>
      <c r="O434" s="87">
        <f>(((1-((1+$W$11)/(1+$W$10))^(6*(J434+K434)))/($W$10-$W$11))*(1+$W$10)^(6*(J434+K434)))</f>
        <v>2713.5031944291845</v>
      </c>
      <c r="P434" s="69">
        <f>N434*0.065*O434</f>
        <v>3324619.9525360721</v>
      </c>
      <c r="Q434" s="69">
        <f t="shared" si="69"/>
        <v>22164.133016907148</v>
      </c>
      <c r="R434" s="69">
        <f>G434*(1+0.06)^K434</f>
        <v>182905.6235946519</v>
      </c>
      <c r="S434" s="77">
        <f t="shared" si="70"/>
        <v>0.12117797463694396</v>
      </c>
    </row>
    <row r="435" spans="1:19" ht="15.5" x14ac:dyDescent="0.35">
      <c r="A435" s="3" t="s">
        <v>4293</v>
      </c>
      <c r="B435" s="16" t="s">
        <v>4294</v>
      </c>
      <c r="C435" s="17" t="s">
        <v>4296</v>
      </c>
      <c r="D435" s="17" t="str">
        <f t="shared" si="64"/>
        <v>11/06/84</v>
      </c>
      <c r="E435" s="3" t="s">
        <v>4280</v>
      </c>
      <c r="F435" s="6">
        <v>13072.607999999998</v>
      </c>
      <c r="G435" s="6">
        <f>IF(F435=0,$Y$3,F435)</f>
        <v>13072.607999999998</v>
      </c>
      <c r="H435" s="79">
        <f t="shared" si="61"/>
        <v>10</v>
      </c>
      <c r="I435">
        <f t="shared" si="62"/>
        <v>38</v>
      </c>
      <c r="J435">
        <f t="shared" si="63"/>
        <v>1</v>
      </c>
      <c r="K435">
        <f t="shared" si="65"/>
        <v>27</v>
      </c>
      <c r="L435" s="80">
        <f t="shared" si="66"/>
        <v>12</v>
      </c>
      <c r="M435" s="80">
        <f t="shared" si="67"/>
        <v>39</v>
      </c>
      <c r="N435">
        <f t="shared" si="68"/>
        <v>12332.64905660377</v>
      </c>
      <c r="O435" s="87">
        <f>(((1-((1+$W$11)/(1+$W$10))^(6*(J435+K435)))/($W$10-$W$11))*(1+$W$10)^(6*(J435+K435)))</f>
        <v>971.97898006406626</v>
      </c>
      <c r="P435" s="69">
        <f>N435*0.065*O435</f>
        <v>779159.91734917706</v>
      </c>
      <c r="Q435" s="69">
        <f t="shared" si="69"/>
        <v>5194.3994489945135</v>
      </c>
      <c r="R435" s="69">
        <f>G435*(1+0.06)^K435</f>
        <v>63040.638123211815</v>
      </c>
      <c r="S435" s="77">
        <f t="shared" si="70"/>
        <v>8.2397634345676374E-2</v>
      </c>
    </row>
    <row r="436" spans="1:19" ht="15.5" x14ac:dyDescent="0.35">
      <c r="A436" s="3" t="s">
        <v>4297</v>
      </c>
      <c r="B436" s="16" t="s">
        <v>4298</v>
      </c>
      <c r="C436" s="17" t="s">
        <v>1423</v>
      </c>
      <c r="D436" s="17" t="str">
        <f t="shared" si="64"/>
        <v>22/05/89</v>
      </c>
      <c r="E436" s="3" t="s">
        <v>3832</v>
      </c>
      <c r="F436" s="6">
        <v>5610.32</v>
      </c>
      <c r="G436" s="6">
        <f>IF(F436=0,$Y$3,F436)</f>
        <v>5610.32</v>
      </c>
      <c r="H436" s="79">
        <f t="shared" si="61"/>
        <v>18</v>
      </c>
      <c r="I436">
        <f t="shared" si="62"/>
        <v>33</v>
      </c>
      <c r="J436">
        <f t="shared" si="63"/>
        <v>1</v>
      </c>
      <c r="K436">
        <f t="shared" si="65"/>
        <v>32</v>
      </c>
      <c r="L436" s="80">
        <f t="shared" si="66"/>
        <v>4</v>
      </c>
      <c r="M436" s="80">
        <f t="shared" si="67"/>
        <v>36</v>
      </c>
      <c r="N436">
        <f t="shared" si="68"/>
        <v>5292.7547169811314</v>
      </c>
      <c r="O436" s="87">
        <f>(((1-((1+$W$11)/(1+$W$10))^(6*(J436+K436)))/($W$10-$W$11))*(1+$W$10)^(6*(J436+K436)))</f>
        <v>1571.1687390454781</v>
      </c>
      <c r="P436" s="69">
        <f>N436*0.065*O436</f>
        <v>540527.69905915624</v>
      </c>
      <c r="Q436" s="69">
        <f t="shared" si="69"/>
        <v>3603.517993727708</v>
      </c>
      <c r="R436" s="69">
        <f>G436*(1+0.06)^K436</f>
        <v>36205.564369114953</v>
      </c>
      <c r="S436" s="77">
        <f t="shared" si="70"/>
        <v>9.9529397111171064E-2</v>
      </c>
    </row>
    <row r="437" spans="1:19" ht="15.5" x14ac:dyDescent="0.35">
      <c r="A437" s="3" t="s">
        <v>4304</v>
      </c>
      <c r="B437" s="16" t="s">
        <v>4305</v>
      </c>
      <c r="C437" s="17" t="s">
        <v>4307</v>
      </c>
      <c r="D437" s="17" t="str">
        <f t="shared" si="64"/>
        <v>28/12/93</v>
      </c>
      <c r="E437" s="3" t="s">
        <v>3832</v>
      </c>
      <c r="F437" s="6">
        <v>7872.3839999999991</v>
      </c>
      <c r="G437" s="6">
        <f>IF(F437=0,$Y$3,F437)</f>
        <v>7872.3839999999991</v>
      </c>
      <c r="H437" s="79">
        <f t="shared" si="61"/>
        <v>12</v>
      </c>
      <c r="I437">
        <f t="shared" si="62"/>
        <v>29</v>
      </c>
      <c r="J437">
        <f t="shared" si="63"/>
        <v>1</v>
      </c>
      <c r="K437">
        <f t="shared" si="65"/>
        <v>36</v>
      </c>
      <c r="L437" s="80">
        <f t="shared" si="66"/>
        <v>10</v>
      </c>
      <c r="M437" s="80">
        <f t="shared" si="67"/>
        <v>46</v>
      </c>
      <c r="N437">
        <f t="shared" si="68"/>
        <v>7426.7773584905644</v>
      </c>
      <c r="O437" s="87">
        <f>(((1-((1+$W$11)/(1+$W$10))^(6*(J437+K437)))/($W$10-$W$11))*(1+$W$10)^(6*(J437+K437)))</f>
        <v>2268.4845089511282</v>
      </c>
      <c r="P437" s="69">
        <f>N437*0.065*O437</f>
        <v>1095089.4102957137</v>
      </c>
      <c r="Q437" s="69">
        <f t="shared" si="69"/>
        <v>7300.5960686380913</v>
      </c>
      <c r="R437" s="69">
        <f>G437*(1+0.06)^K437</f>
        <v>64138.296287595731</v>
      </c>
      <c r="S437" s="77">
        <f t="shared" si="70"/>
        <v>0.11382584962815762</v>
      </c>
    </row>
    <row r="438" spans="1:19" ht="15.5" x14ac:dyDescent="0.35">
      <c r="A438" s="3" t="s">
        <v>4308</v>
      </c>
      <c r="B438" s="16" t="s">
        <v>4309</v>
      </c>
      <c r="C438" s="17" t="s">
        <v>4311</v>
      </c>
      <c r="D438" s="17" t="str">
        <f t="shared" si="64"/>
        <v>25/10/81</v>
      </c>
      <c r="E438" s="3" t="s">
        <v>4312</v>
      </c>
      <c r="F438" s="6">
        <v>7254.96</v>
      </c>
      <c r="G438" s="6">
        <f>IF(F438=0,$Y$3,F438)</f>
        <v>7254.96</v>
      </c>
      <c r="H438" s="79">
        <f t="shared" si="61"/>
        <v>7</v>
      </c>
      <c r="I438">
        <f t="shared" si="62"/>
        <v>41</v>
      </c>
      <c r="J438">
        <f t="shared" si="63"/>
        <v>0</v>
      </c>
      <c r="K438">
        <f t="shared" si="65"/>
        <v>24</v>
      </c>
      <c r="L438" s="80">
        <f t="shared" si="66"/>
        <v>15</v>
      </c>
      <c r="M438" s="80">
        <f t="shared" si="67"/>
        <v>39</v>
      </c>
      <c r="N438">
        <f t="shared" si="68"/>
        <v>7254.96</v>
      </c>
      <c r="O438" s="87">
        <f>(((1-((1+$W$11)/(1+$W$10))^(6*(J438+K438)))/($W$10-$W$11))*(1+$W$10)^(6*(J438+K438)))</f>
        <v>647.14153879984769</v>
      </c>
      <c r="P438" s="69">
        <f>N438*0.065*O438</f>
        <v>305174.08859153732</v>
      </c>
      <c r="Q438" s="69">
        <f t="shared" si="69"/>
        <v>2034.4939239435821</v>
      </c>
      <c r="R438" s="69">
        <f>G438*(1+0.06)^K438</f>
        <v>29374.858865009639</v>
      </c>
      <c r="S438" s="77">
        <f t="shared" si="70"/>
        <v>6.9259700388450349E-2</v>
      </c>
    </row>
    <row r="439" spans="1:19" ht="15.5" x14ac:dyDescent="0.35">
      <c r="A439" s="3" t="s">
        <v>4313</v>
      </c>
      <c r="B439" s="16" t="s">
        <v>4314</v>
      </c>
      <c r="C439" s="17" t="s">
        <v>1586</v>
      </c>
      <c r="D439" s="17" t="str">
        <f t="shared" si="64"/>
        <v>13/06/97</v>
      </c>
      <c r="E439" s="3" t="s">
        <v>4316</v>
      </c>
      <c r="F439" s="6">
        <v>7862.0479999999998</v>
      </c>
      <c r="G439" s="6">
        <f>IF(F439=0,$Y$3,F439)</f>
        <v>7862.0479999999998</v>
      </c>
      <c r="H439" s="79">
        <f t="shared" si="61"/>
        <v>19</v>
      </c>
      <c r="I439">
        <f t="shared" si="62"/>
        <v>25</v>
      </c>
      <c r="J439">
        <f t="shared" si="63"/>
        <v>0</v>
      </c>
      <c r="K439">
        <f t="shared" si="65"/>
        <v>40</v>
      </c>
      <c r="L439" s="80">
        <f t="shared" si="66"/>
        <v>3</v>
      </c>
      <c r="M439" s="80">
        <f t="shared" si="67"/>
        <v>43</v>
      </c>
      <c r="N439">
        <f t="shared" si="68"/>
        <v>7862.0479999999998</v>
      </c>
      <c r="O439" s="87">
        <f>(((1-((1+$W$11)/(1+$W$10))^(6*(J439+K439)))/($W$10-$W$11))*(1+$W$10)^(6*(J439+K439)))</f>
        <v>2964.8060935111685</v>
      </c>
      <c r="P439" s="69">
        <f>N439*0.065*O439</f>
        <v>1515114.1081620241</v>
      </c>
      <c r="Q439" s="69">
        <f t="shared" si="69"/>
        <v>10100.76072108016</v>
      </c>
      <c r="R439" s="69">
        <f>G439*(1+0.06)^K439</f>
        <v>80866.808136145031</v>
      </c>
      <c r="S439" s="77">
        <f t="shared" si="70"/>
        <v>0.12490613830182105</v>
      </c>
    </row>
    <row r="440" spans="1:19" ht="15.5" x14ac:dyDescent="0.35">
      <c r="A440" s="3" t="s">
        <v>4322</v>
      </c>
      <c r="B440" s="16" t="s">
        <v>4323</v>
      </c>
      <c r="C440" s="17" t="s">
        <v>4325</v>
      </c>
      <c r="D440" s="17" t="str">
        <f t="shared" si="64"/>
        <v>02/05/82</v>
      </c>
      <c r="E440" s="3" t="s">
        <v>4326</v>
      </c>
      <c r="F440" s="6">
        <v>39599.952000000005</v>
      </c>
      <c r="G440" s="6">
        <f>IF(F440=0,$Y$3,F440)</f>
        <v>39599.952000000005</v>
      </c>
      <c r="H440" s="79">
        <f t="shared" si="61"/>
        <v>6</v>
      </c>
      <c r="I440">
        <f t="shared" si="62"/>
        <v>40</v>
      </c>
      <c r="J440">
        <f t="shared" si="63"/>
        <v>1</v>
      </c>
      <c r="K440">
        <f t="shared" si="65"/>
        <v>25</v>
      </c>
      <c r="L440" s="80">
        <f t="shared" si="66"/>
        <v>16</v>
      </c>
      <c r="M440" s="80">
        <f t="shared" si="67"/>
        <v>41</v>
      </c>
      <c r="N440">
        <f t="shared" si="68"/>
        <v>37358.445283018867</v>
      </c>
      <c r="O440" s="87">
        <f>(((1-((1+$W$11)/(1+$W$10))^(6*(J440+K440)))/($W$10-$W$11))*(1+$W$10)^(6*(J440+K440)))</f>
        <v>795.44548998043808</v>
      </c>
      <c r="P440" s="69">
        <f>N440*0.065*O440</f>
        <v>1931579.4428487916</v>
      </c>
      <c r="Q440" s="69">
        <f t="shared" si="69"/>
        <v>12877.196285658611</v>
      </c>
      <c r="R440" s="69">
        <f>G440*(1+0.06)^K440</f>
        <v>169957.87449204762</v>
      </c>
      <c r="S440" s="77">
        <f t="shared" si="70"/>
        <v>7.5766988285447978E-2</v>
      </c>
    </row>
    <row r="441" spans="1:19" ht="15.5" x14ac:dyDescent="0.35">
      <c r="A441" s="3" t="s">
        <v>4327</v>
      </c>
      <c r="B441" s="16" t="s">
        <v>4328</v>
      </c>
      <c r="C441" s="17" t="s">
        <v>4330</v>
      </c>
      <c r="D441" s="17" t="str">
        <f t="shared" si="64"/>
        <v>21/11/97</v>
      </c>
      <c r="E441" s="3" t="s">
        <v>4331</v>
      </c>
      <c r="F441" s="6">
        <v>19477.28</v>
      </c>
      <c r="G441" s="6">
        <f>IF(F441=0,$Y$3,F441)</f>
        <v>19477.28</v>
      </c>
      <c r="H441" s="79">
        <f t="shared" si="61"/>
        <v>14</v>
      </c>
      <c r="I441">
        <f t="shared" si="62"/>
        <v>25</v>
      </c>
      <c r="J441">
        <f t="shared" si="63"/>
        <v>1</v>
      </c>
      <c r="K441">
        <f t="shared" si="65"/>
        <v>40</v>
      </c>
      <c r="L441" s="80">
        <f t="shared" si="66"/>
        <v>8</v>
      </c>
      <c r="M441" s="80">
        <f t="shared" si="67"/>
        <v>48</v>
      </c>
      <c r="N441">
        <f t="shared" si="68"/>
        <v>18374.792452830185</v>
      </c>
      <c r="O441" s="87">
        <f>(((1-((1+$W$11)/(1+$W$10))^(6*(J441+K441)))/($W$10-$W$11))*(1+$W$10)^(6*(J441+K441)))</f>
        <v>3237.3816560572077</v>
      </c>
      <c r="P441" s="69">
        <f>N441*0.065*O441</f>
        <v>3866604.0413423064</v>
      </c>
      <c r="Q441" s="69">
        <f t="shared" si="69"/>
        <v>25777.360275615378</v>
      </c>
      <c r="R441" s="69">
        <f>G441*(1+0.06)^K441</f>
        <v>200337.80826242411</v>
      </c>
      <c r="S441" s="77">
        <f t="shared" si="70"/>
        <v>0.12866947332202719</v>
      </c>
    </row>
    <row r="442" spans="1:19" ht="15.5" x14ac:dyDescent="0.35">
      <c r="A442" s="3" t="s">
        <v>4332</v>
      </c>
      <c r="B442" s="16" t="s">
        <v>4333</v>
      </c>
      <c r="C442" s="17" t="s">
        <v>4335</v>
      </c>
      <c r="D442" s="17" t="str">
        <f t="shared" si="64"/>
        <v>16/03/86</v>
      </c>
      <c r="E442" s="3" t="s">
        <v>4336</v>
      </c>
      <c r="F442" s="6">
        <v>5610.32</v>
      </c>
      <c r="G442" s="6">
        <f>IF(F442=0,$Y$3,F442)</f>
        <v>5610.32</v>
      </c>
      <c r="H442" s="79">
        <f t="shared" si="61"/>
        <v>3</v>
      </c>
      <c r="I442">
        <f t="shared" si="62"/>
        <v>36</v>
      </c>
      <c r="J442">
        <f t="shared" si="63"/>
        <v>1</v>
      </c>
      <c r="K442">
        <f t="shared" si="65"/>
        <v>29</v>
      </c>
      <c r="L442" s="80">
        <f t="shared" si="66"/>
        <v>19</v>
      </c>
      <c r="M442" s="80">
        <f t="shared" si="67"/>
        <v>48</v>
      </c>
      <c r="N442">
        <f t="shared" si="68"/>
        <v>5292.7547169811314</v>
      </c>
      <c r="O442" s="87">
        <f>(((1-((1+$W$11)/(1+$W$10))^(6*(J442+K442)))/($W$10-$W$11))*(1+$W$10)^(6*(J442+K442)))</f>
        <v>1181.6655698699749</v>
      </c>
      <c r="P442" s="69">
        <f>N442*0.065*O442</f>
        <v>406527.29122352792</v>
      </c>
      <c r="Q442" s="69">
        <f t="shared" si="69"/>
        <v>2710.1819414901861</v>
      </c>
      <c r="R442" s="69">
        <f>G442*(1+0.06)^K442</f>
        <v>30398.889997376147</v>
      </c>
      <c r="S442" s="77">
        <f t="shared" si="70"/>
        <v>8.9153977060481907E-2</v>
      </c>
    </row>
    <row r="443" spans="1:19" ht="15.5" x14ac:dyDescent="0.35">
      <c r="A443" s="3" t="s">
        <v>4341</v>
      </c>
      <c r="B443" s="16" t="s">
        <v>4342</v>
      </c>
      <c r="C443" s="17" t="s">
        <v>1653</v>
      </c>
      <c r="D443" s="17" t="str">
        <f t="shared" si="64"/>
        <v>07/09/98</v>
      </c>
      <c r="E443" s="3" t="s">
        <v>4344</v>
      </c>
      <c r="F443" s="6">
        <v>7869.3440000000001</v>
      </c>
      <c r="G443" s="6">
        <f>IF(F443=0,$Y$3,F443)</f>
        <v>7869.3440000000001</v>
      </c>
      <c r="H443" s="79">
        <f t="shared" si="61"/>
        <v>13</v>
      </c>
      <c r="I443">
        <f t="shared" si="62"/>
        <v>24</v>
      </c>
      <c r="J443">
        <f t="shared" si="63"/>
        <v>1</v>
      </c>
      <c r="K443">
        <f t="shared" si="65"/>
        <v>41</v>
      </c>
      <c r="L443" s="80">
        <f t="shared" si="66"/>
        <v>9</v>
      </c>
      <c r="M443" s="80">
        <f t="shared" si="67"/>
        <v>50</v>
      </c>
      <c r="N443">
        <f t="shared" si="68"/>
        <v>7423.9094339622634</v>
      </c>
      <c r="O443" s="87">
        <f>(((1-((1+$W$11)/(1+$W$10))^(6*(J443+K443)))/($W$10-$W$11))*(1+$W$10)^(6*(J443+K443)))</f>
        <v>3532.9398561414855</v>
      </c>
      <c r="P443" s="69">
        <f>N443*0.065*O443</f>
        <v>1704834.6592959536</v>
      </c>
      <c r="Q443" s="69">
        <f t="shared" si="69"/>
        <v>11365.564395306357</v>
      </c>
      <c r="R443" s="69">
        <f>G443*(1+0.06)^K443</f>
        <v>85798.363898267155</v>
      </c>
      <c r="S443" s="77">
        <f t="shared" si="70"/>
        <v>0.13246831150280133</v>
      </c>
    </row>
    <row r="444" spans="1:19" ht="15.5" x14ac:dyDescent="0.35">
      <c r="A444" s="3" t="s">
        <v>4345</v>
      </c>
      <c r="B444" s="16" t="s">
        <v>4346</v>
      </c>
      <c r="C444" s="17" t="s">
        <v>4348</v>
      </c>
      <c r="D444" s="17" t="str">
        <f t="shared" si="64"/>
        <v>29/11/96</v>
      </c>
      <c r="E444" s="3" t="s">
        <v>4349</v>
      </c>
      <c r="F444" s="6">
        <v>5977.8559999999989</v>
      </c>
      <c r="G444" s="6">
        <f>IF(F444=0,$Y$3,F444)</f>
        <v>5977.8559999999989</v>
      </c>
      <c r="H444" s="79">
        <f t="shared" si="61"/>
        <v>15</v>
      </c>
      <c r="I444">
        <f t="shared" si="62"/>
        <v>26</v>
      </c>
      <c r="J444">
        <f t="shared" si="63"/>
        <v>1</v>
      </c>
      <c r="K444">
        <f t="shared" si="65"/>
        <v>39</v>
      </c>
      <c r="L444" s="80">
        <f t="shared" si="66"/>
        <v>7</v>
      </c>
      <c r="M444" s="80">
        <f t="shared" si="67"/>
        <v>46</v>
      </c>
      <c r="N444">
        <f t="shared" si="68"/>
        <v>5639.4867924528289</v>
      </c>
      <c r="O444" s="87">
        <f>(((1-((1+$W$11)/(1+$W$10))^(6*(J444+K444)))/($W$10-$W$11))*(1+$W$10)^(6*(J444+K444)))</f>
        <v>2964.8060935111685</v>
      </c>
      <c r="P444" s="69">
        <f>N444*0.065*O444</f>
        <v>1086799.0124250937</v>
      </c>
      <c r="Q444" s="69">
        <f t="shared" si="69"/>
        <v>7245.3267495006248</v>
      </c>
      <c r="R444" s="69">
        <f>G444*(1+0.06)^K444</f>
        <v>58006.170457316839</v>
      </c>
      <c r="S444" s="77">
        <f t="shared" si="70"/>
        <v>0.12490613830182107</v>
      </c>
    </row>
    <row r="445" spans="1:19" ht="15.5" x14ac:dyDescent="0.35">
      <c r="A445" s="3" t="s">
        <v>4350</v>
      </c>
      <c r="B445" s="16" t="s">
        <v>4351</v>
      </c>
      <c r="C445" s="17" t="s">
        <v>4292</v>
      </c>
      <c r="D445" s="17" t="str">
        <f t="shared" si="64"/>
        <v>05/07/95</v>
      </c>
      <c r="E445" s="3" t="s">
        <v>4353</v>
      </c>
      <c r="F445" s="6">
        <v>11454.111999999999</v>
      </c>
      <c r="G445" s="6">
        <f>IF(F445=0,$Y$3,F445)</f>
        <v>11454.111999999999</v>
      </c>
      <c r="H445" s="79">
        <f t="shared" si="61"/>
        <v>10</v>
      </c>
      <c r="I445">
        <f t="shared" si="62"/>
        <v>27</v>
      </c>
      <c r="J445">
        <f t="shared" si="63"/>
        <v>1</v>
      </c>
      <c r="K445">
        <f t="shared" si="65"/>
        <v>38</v>
      </c>
      <c r="L445" s="80">
        <f t="shared" si="66"/>
        <v>12</v>
      </c>
      <c r="M445" s="80">
        <f t="shared" si="67"/>
        <v>50</v>
      </c>
      <c r="N445">
        <f t="shared" si="68"/>
        <v>10805.766037735848</v>
      </c>
      <c r="O445" s="87">
        <f>(((1-((1+$W$11)/(1+$W$10))^(6*(J445+K445)))/($W$10-$W$11))*(1+$W$10)^(6*(J445+K445)))</f>
        <v>2713.5031944291845</v>
      </c>
      <c r="P445" s="69">
        <f>N445*0.065*O445</f>
        <v>1905896.2430072899</v>
      </c>
      <c r="Q445" s="69">
        <f t="shared" si="69"/>
        <v>12705.974953381932</v>
      </c>
      <c r="R445" s="69">
        <f>G445*(1+0.06)^K445</f>
        <v>104853.83165917527</v>
      </c>
      <c r="S445" s="77">
        <f t="shared" si="70"/>
        <v>0.12117797463694396</v>
      </c>
    </row>
    <row r="446" spans="1:19" ht="15.5" x14ac:dyDescent="0.35">
      <c r="A446" s="3" t="s">
        <v>4354</v>
      </c>
      <c r="B446" s="16" t="s">
        <v>4355</v>
      </c>
      <c r="C446" s="17" t="s">
        <v>1280</v>
      </c>
      <c r="D446" s="17" t="str">
        <f t="shared" si="64"/>
        <v>15/05/92</v>
      </c>
      <c r="E446" s="3" t="s">
        <v>4353</v>
      </c>
      <c r="F446" s="6">
        <v>38187.872000000003</v>
      </c>
      <c r="G446" s="6">
        <f>IF(F446=0,$Y$3,F446)</f>
        <v>38187.872000000003</v>
      </c>
      <c r="H446" s="79">
        <f t="shared" si="61"/>
        <v>11</v>
      </c>
      <c r="I446">
        <f t="shared" si="62"/>
        <v>30</v>
      </c>
      <c r="J446">
        <f t="shared" si="63"/>
        <v>1</v>
      </c>
      <c r="K446">
        <f t="shared" si="65"/>
        <v>35</v>
      </c>
      <c r="L446" s="80">
        <f t="shared" si="66"/>
        <v>11</v>
      </c>
      <c r="M446" s="80">
        <f t="shared" si="67"/>
        <v>46</v>
      </c>
      <c r="N446">
        <f t="shared" si="68"/>
        <v>36026.29433962264</v>
      </c>
      <c r="O446" s="87">
        <f>(((1-((1+$W$11)/(1+$W$10))^(6*(J446+K446)))/($W$10-$W$11))*(1+$W$10)^(6*(J446+K446)))</f>
        <v>2071.9321695914473</v>
      </c>
      <c r="P446" s="69">
        <f>N446*0.065*O446</f>
        <v>4851862.4825732373</v>
      </c>
      <c r="Q446" s="69">
        <f t="shared" si="69"/>
        <v>32345.749883821583</v>
      </c>
      <c r="R446" s="69">
        <f>G446*(1+0.06)^K446</f>
        <v>293515.29860571463</v>
      </c>
      <c r="S446" s="77">
        <f t="shared" si="70"/>
        <v>0.1102012400630344</v>
      </c>
    </row>
    <row r="447" spans="1:19" ht="15.5" x14ac:dyDescent="0.35">
      <c r="A447" s="3" t="s">
        <v>4362</v>
      </c>
      <c r="B447" s="16" t="s">
        <v>4363</v>
      </c>
      <c r="C447" s="17" t="s">
        <v>4365</v>
      </c>
      <c r="D447" s="17" t="str">
        <f t="shared" si="64"/>
        <v>01/07/03</v>
      </c>
      <c r="E447" s="3" t="s">
        <v>4366</v>
      </c>
      <c r="F447" s="6">
        <v>7886.3680000000004</v>
      </c>
      <c r="G447" s="6">
        <f>IF(F447=0,$Y$3,F447)</f>
        <v>7886.3680000000004</v>
      </c>
      <c r="H447" s="79">
        <f t="shared" si="61"/>
        <v>18</v>
      </c>
      <c r="I447">
        <f t="shared" si="62"/>
        <v>19</v>
      </c>
      <c r="J447">
        <f t="shared" si="63"/>
        <v>1</v>
      </c>
      <c r="K447">
        <f t="shared" si="65"/>
        <v>46</v>
      </c>
      <c r="L447" s="80">
        <f t="shared" si="66"/>
        <v>4</v>
      </c>
      <c r="M447" s="80">
        <f t="shared" si="67"/>
        <v>50</v>
      </c>
      <c r="N447">
        <f t="shared" si="68"/>
        <v>7439.9698113207542</v>
      </c>
      <c r="O447" s="87">
        <f>(((1-((1+$W$11)/(1+$W$10))^(6*(J447+K447)))/($W$10-$W$11))*(1+$W$10)^(6*(J447+K447)))</f>
        <v>5425.213398983954</v>
      </c>
      <c r="P447" s="69">
        <f>N447*0.065*O447</f>
        <v>2623622.5540468763</v>
      </c>
      <c r="Q447" s="69">
        <f t="shared" si="69"/>
        <v>17490.817026979174</v>
      </c>
      <c r="R447" s="69">
        <f>G447*(1+0.06)^K447</f>
        <v>115065.95354370354</v>
      </c>
      <c r="S447" s="77">
        <f t="shared" si="70"/>
        <v>0.15200688377675448</v>
      </c>
    </row>
    <row r="448" spans="1:19" ht="15.5" x14ac:dyDescent="0.35">
      <c r="A448" s="3" t="s">
        <v>4367</v>
      </c>
      <c r="B448" s="16" t="s">
        <v>4368</v>
      </c>
      <c r="C448" s="17" t="s">
        <v>4370</v>
      </c>
      <c r="D448" s="17" t="str">
        <f t="shared" si="64"/>
        <v>04/11/96</v>
      </c>
      <c r="E448" s="3" t="s">
        <v>4371</v>
      </c>
      <c r="F448" s="6">
        <v>11454.111999999999</v>
      </c>
      <c r="G448" s="6">
        <f>IF(F448=0,$Y$3,F448)</f>
        <v>11454.111999999999</v>
      </c>
      <c r="H448" s="79">
        <f t="shared" si="61"/>
        <v>15</v>
      </c>
      <c r="I448">
        <f t="shared" si="62"/>
        <v>26</v>
      </c>
      <c r="J448">
        <f t="shared" si="63"/>
        <v>1</v>
      </c>
      <c r="K448">
        <f t="shared" si="65"/>
        <v>39</v>
      </c>
      <c r="L448" s="80">
        <f t="shared" si="66"/>
        <v>7</v>
      </c>
      <c r="M448" s="80">
        <f t="shared" si="67"/>
        <v>46</v>
      </c>
      <c r="N448">
        <f t="shared" si="68"/>
        <v>10805.766037735848</v>
      </c>
      <c r="O448" s="87">
        <f>(((1-((1+$W$11)/(1+$W$10))^(6*(J448+K448)))/($W$10-$W$11))*(1+$W$10)^(6*(J448+K448)))</f>
        <v>2964.8060935111685</v>
      </c>
      <c r="P448" s="69">
        <f>N448*0.065*O448</f>
        <v>2082405.0645927929</v>
      </c>
      <c r="Q448" s="69">
        <f t="shared" si="69"/>
        <v>13882.700430618619</v>
      </c>
      <c r="R448" s="69">
        <f>G448*(1+0.06)^K448</f>
        <v>111145.06155872581</v>
      </c>
      <c r="S448" s="77">
        <f t="shared" si="70"/>
        <v>0.12490613830182104</v>
      </c>
    </row>
    <row r="449" spans="1:19" ht="15.5" x14ac:dyDescent="0.35">
      <c r="A449" s="3" t="s">
        <v>4372</v>
      </c>
      <c r="B449" s="16" t="s">
        <v>4373</v>
      </c>
      <c r="C449" s="17" t="s">
        <v>4375</v>
      </c>
      <c r="D449" s="17" t="str">
        <f t="shared" si="64"/>
        <v>25/01/91</v>
      </c>
      <c r="E449" s="3" t="s">
        <v>4376</v>
      </c>
      <c r="F449" s="6">
        <v>5930.4319999999998</v>
      </c>
      <c r="G449" s="6">
        <f>IF(F449=0,$Y$3,F449)</f>
        <v>5930.4319999999998</v>
      </c>
      <c r="H449" s="79">
        <f t="shared" si="61"/>
        <v>9</v>
      </c>
      <c r="I449">
        <f t="shared" si="62"/>
        <v>31</v>
      </c>
      <c r="J449">
        <f t="shared" si="63"/>
        <v>1</v>
      </c>
      <c r="K449">
        <f t="shared" si="65"/>
        <v>34</v>
      </c>
      <c r="L449" s="80">
        <f t="shared" si="66"/>
        <v>13</v>
      </c>
      <c r="M449" s="80">
        <f t="shared" si="67"/>
        <v>47</v>
      </c>
      <c r="N449">
        <f t="shared" si="68"/>
        <v>5594.7471698113204</v>
      </c>
      <c r="O449" s="87">
        <f>(((1-((1+$W$11)/(1+$W$10))^(6*(J449+K449)))/($W$10-$W$11))*(1+$W$10)^(6*(J449+K449)))</f>
        <v>1890.963685662718</v>
      </c>
      <c r="P449" s="69">
        <f>N449*0.065*O449</f>
        <v>687665.14235753589</v>
      </c>
      <c r="Q449" s="69">
        <f t="shared" si="69"/>
        <v>4584.4342823835723</v>
      </c>
      <c r="R449" s="69">
        <f>G449*(1+0.06)^K449</f>
        <v>43001.712328213689</v>
      </c>
      <c r="S449" s="77">
        <f t="shared" si="70"/>
        <v>0.10661050535365998</v>
      </c>
    </row>
    <row r="450" spans="1:19" ht="15.5" x14ac:dyDescent="0.35">
      <c r="A450" s="3" t="s">
        <v>4377</v>
      </c>
      <c r="B450" s="16" t="s">
        <v>4378</v>
      </c>
      <c r="C450" s="17" t="s">
        <v>4380</v>
      </c>
      <c r="D450" s="17" t="str">
        <f t="shared" si="64"/>
        <v>23/10/79</v>
      </c>
      <c r="E450" s="3" t="s">
        <v>4376</v>
      </c>
      <c r="F450" s="6">
        <v>8590.4319999999989</v>
      </c>
      <c r="G450" s="6">
        <f>IF(F450=0,$Y$3,F450)</f>
        <v>8590.4319999999989</v>
      </c>
      <c r="H450" s="79">
        <f t="shared" ref="H450:H513" si="71">_xlfn.NUMBERVALUE(MID(B450,3,2))</f>
        <v>2</v>
      </c>
      <c r="I450">
        <f t="shared" ref="I450:I513" si="72">2022-YEAR(D450)</f>
        <v>43</v>
      </c>
      <c r="J450">
        <f t="shared" ref="J450:J513" si="73">2022-YEAR(E450)</f>
        <v>1</v>
      </c>
      <c r="K450">
        <f t="shared" si="65"/>
        <v>22</v>
      </c>
      <c r="L450" s="80">
        <f t="shared" si="66"/>
        <v>20</v>
      </c>
      <c r="M450" s="80">
        <f t="shared" si="67"/>
        <v>42</v>
      </c>
      <c r="N450">
        <f t="shared" si="68"/>
        <v>8104.1811320754696</v>
      </c>
      <c r="O450" s="87">
        <f>(((1-((1+$W$11)/(1+$W$10))^(6*(J450+K450)))/($W$10-$W$11))*(1+$W$10)^(6*(J450+K450)))</f>
        <v>582.2320727785642</v>
      </c>
      <c r="P450" s="69">
        <f>N450*0.065*O450</f>
        <v>306703.42161558004</v>
      </c>
      <c r="Q450" s="69">
        <f t="shared" si="69"/>
        <v>2044.6894774372004</v>
      </c>
      <c r="R450" s="69">
        <f>G450*(1+0.06)^K450</f>
        <v>30955.943136572045</v>
      </c>
      <c r="S450" s="77">
        <f t="shared" si="70"/>
        <v>6.6051596890987899E-2</v>
      </c>
    </row>
    <row r="451" spans="1:19" ht="15.5" x14ac:dyDescent="0.35">
      <c r="A451" s="3" t="s">
        <v>4381</v>
      </c>
      <c r="B451" s="16" t="s">
        <v>4382</v>
      </c>
      <c r="C451" s="17" t="s">
        <v>4384</v>
      </c>
      <c r="D451" s="17" t="str">
        <f t="shared" ref="D451:D514" si="74">_xlfn.CONCAT(MID(C451,5,2),"/",MID(C451,3,2),"/",MID(C451,1,2))</f>
        <v>11/02/98</v>
      </c>
      <c r="E451" s="3" t="s">
        <v>4385</v>
      </c>
      <c r="F451" s="6">
        <v>7446.1759999999995</v>
      </c>
      <c r="G451" s="6">
        <f>IF(F451=0,$Y$3,F451)</f>
        <v>7446.1759999999995</v>
      </c>
      <c r="H451" s="79">
        <f t="shared" si="71"/>
        <v>16</v>
      </c>
      <c r="I451">
        <f t="shared" si="72"/>
        <v>24</v>
      </c>
      <c r="J451">
        <f t="shared" si="73"/>
        <v>0</v>
      </c>
      <c r="K451">
        <f t="shared" ref="K451:K514" si="75">65-I451</f>
        <v>41</v>
      </c>
      <c r="L451" s="80">
        <f t="shared" ref="L451:L514" si="76">IF(H451&gt;22,122-H451,22-H451)</f>
        <v>6</v>
      </c>
      <c r="M451" s="80">
        <f t="shared" ref="M451:M514" si="77">L451+K451</f>
        <v>47</v>
      </c>
      <c r="N451">
        <f t="shared" ref="N451:N514" si="78">G451*(1+0.06)^-J451</f>
        <v>7446.1759999999995</v>
      </c>
      <c r="O451" s="87">
        <f>(((1-((1+$W$11)/(1+$W$10))^(6*(J451+K451)))/($W$10-$W$11))*(1+$W$10)^(6*(J451+K451)))</f>
        <v>3237.3816560572077</v>
      </c>
      <c r="P451" s="69">
        <f>N451*0.065*O451</f>
        <v>1566897.3833612732</v>
      </c>
      <c r="Q451" s="69">
        <f t="shared" ref="Q451:Q514" si="79">P451/150</f>
        <v>10445.982555741821</v>
      </c>
      <c r="R451" s="69">
        <f>G451*(1+0.06)^K451</f>
        <v>81184.622008968377</v>
      </c>
      <c r="S451" s="77">
        <f t="shared" si="70"/>
        <v>0.12866947332202722</v>
      </c>
    </row>
    <row r="452" spans="1:19" ht="15.5" x14ac:dyDescent="0.35">
      <c r="A452" s="3" t="s">
        <v>4386</v>
      </c>
      <c r="B452" s="16" t="s">
        <v>4387</v>
      </c>
      <c r="C452" s="17" t="s">
        <v>4389</v>
      </c>
      <c r="D452" s="17" t="str">
        <f t="shared" si="74"/>
        <v>08/11/86</v>
      </c>
      <c r="E452" s="3" t="s">
        <v>4390</v>
      </c>
      <c r="F452" s="6">
        <v>13656.592000000001</v>
      </c>
      <c r="G452" s="6">
        <f>IF(F452=0,$Y$3,F452)</f>
        <v>13656.592000000001</v>
      </c>
      <c r="H452" s="79">
        <f t="shared" si="71"/>
        <v>5</v>
      </c>
      <c r="I452">
        <f t="shared" si="72"/>
        <v>36</v>
      </c>
      <c r="J452">
        <f t="shared" si="73"/>
        <v>1</v>
      </c>
      <c r="K452">
        <f t="shared" si="75"/>
        <v>29</v>
      </c>
      <c r="L452" s="80">
        <f t="shared" si="76"/>
        <v>17</v>
      </c>
      <c r="M452" s="80">
        <f t="shared" si="77"/>
        <v>46</v>
      </c>
      <c r="N452">
        <f t="shared" si="78"/>
        <v>12883.577358490566</v>
      </c>
      <c r="O452" s="87">
        <f>(((1-((1+$W$11)/(1+$W$10))^(6*(J452+K452)))/($W$10-$W$11))*(1+$W$10)^(6*(J452+K452)))</f>
        <v>1181.6655698699749</v>
      </c>
      <c r="P452" s="69">
        <f>N452*0.065*O452</f>
        <v>989565.185783503</v>
      </c>
      <c r="Q452" s="69">
        <f t="shared" si="79"/>
        <v>6597.1012385566864</v>
      </c>
      <c r="R452" s="69">
        <f>G452*(1+0.06)^K452</f>
        <v>73996.712834035701</v>
      </c>
      <c r="S452" s="77">
        <f t="shared" si="70"/>
        <v>8.9153977060481907E-2</v>
      </c>
    </row>
    <row r="453" spans="1:19" ht="15.5" x14ac:dyDescent="0.35">
      <c r="A453" s="3" t="s">
        <v>4391</v>
      </c>
      <c r="B453" s="16" t="s">
        <v>4392</v>
      </c>
      <c r="C453" s="17" t="s">
        <v>4394</v>
      </c>
      <c r="D453" s="17" t="str">
        <f t="shared" si="74"/>
        <v>30/06/82</v>
      </c>
      <c r="E453" s="3" t="s">
        <v>4395</v>
      </c>
      <c r="F453" s="6">
        <v>13768.768</v>
      </c>
      <c r="G453" s="6">
        <f>IF(F453=0,$Y$3,F453)</f>
        <v>13768.768</v>
      </c>
      <c r="H453" s="79">
        <f t="shared" si="71"/>
        <v>4</v>
      </c>
      <c r="I453">
        <f t="shared" si="72"/>
        <v>40</v>
      </c>
      <c r="J453">
        <f t="shared" si="73"/>
        <v>1</v>
      </c>
      <c r="K453">
        <f t="shared" si="75"/>
        <v>25</v>
      </c>
      <c r="L453" s="80">
        <f t="shared" si="76"/>
        <v>18</v>
      </c>
      <c r="M453" s="80">
        <f t="shared" si="77"/>
        <v>43</v>
      </c>
      <c r="N453">
        <f t="shared" si="78"/>
        <v>12989.403773584905</v>
      </c>
      <c r="O453" s="87">
        <f>(((1-((1+$W$11)/(1+$W$10))^(6*(J453+K453)))/($W$10-$W$11))*(1+$W$10)^(6*(J453+K453)))</f>
        <v>795.44548998043808</v>
      </c>
      <c r="P453" s="69">
        <f>N453*0.065*O453</f>
        <v>671603.57220014476</v>
      </c>
      <c r="Q453" s="69">
        <f t="shared" si="79"/>
        <v>4477.357148000965</v>
      </c>
      <c r="R453" s="69">
        <f>G453*(1+0.06)^K453</f>
        <v>59093.772226141111</v>
      </c>
      <c r="S453" s="77">
        <f t="shared" ref="S453:S516" si="80">Q453/R453</f>
        <v>7.5766988285447978E-2</v>
      </c>
    </row>
    <row r="454" spans="1:19" ht="15.5" x14ac:dyDescent="0.35">
      <c r="A454" s="3" t="s">
        <v>4396</v>
      </c>
      <c r="B454" s="16" t="s">
        <v>4397</v>
      </c>
      <c r="C454" s="17" t="s">
        <v>4399</v>
      </c>
      <c r="D454" s="17" t="str">
        <f t="shared" si="74"/>
        <v>28/10/97</v>
      </c>
      <c r="E454" s="3" t="s">
        <v>4395</v>
      </c>
      <c r="F454" s="6">
        <v>6583.424</v>
      </c>
      <c r="G454" s="6">
        <f>IF(F454=0,$Y$3,F454)</f>
        <v>6583.424</v>
      </c>
      <c r="H454" s="79">
        <f t="shared" si="71"/>
        <v>13</v>
      </c>
      <c r="I454">
        <f t="shared" si="72"/>
        <v>25</v>
      </c>
      <c r="J454">
        <f t="shared" si="73"/>
        <v>1</v>
      </c>
      <c r="K454">
        <f t="shared" si="75"/>
        <v>40</v>
      </c>
      <c r="L454" s="80">
        <f t="shared" si="76"/>
        <v>9</v>
      </c>
      <c r="M454" s="80">
        <f t="shared" si="77"/>
        <v>49</v>
      </c>
      <c r="N454">
        <f t="shared" si="78"/>
        <v>6210.7773584905653</v>
      </c>
      <c r="O454" s="87">
        <f>(((1-((1+$W$11)/(1+$W$10))^(6*(J454+K454)))/($W$10-$W$11))*(1+$W$10)^(6*(J454+K454)))</f>
        <v>3237.3816560572077</v>
      </c>
      <c r="P454" s="69">
        <f>N454*0.065*O454</f>
        <v>1306932.684865132</v>
      </c>
      <c r="Q454" s="69">
        <f t="shared" si="79"/>
        <v>8712.8845657675465</v>
      </c>
      <c r="R454" s="69">
        <f>G454*(1+0.06)^K454</f>
        <v>67715.242324505336</v>
      </c>
      <c r="S454" s="77">
        <f t="shared" si="80"/>
        <v>0.12866947332202719</v>
      </c>
    </row>
    <row r="455" spans="1:19" ht="15.5" x14ac:dyDescent="0.35">
      <c r="A455" s="3" t="s">
        <v>4400</v>
      </c>
      <c r="B455" s="16" t="s">
        <v>4401</v>
      </c>
      <c r="C455" s="17" t="s">
        <v>4403</v>
      </c>
      <c r="D455" s="17" t="str">
        <f t="shared" si="74"/>
        <v>03/06/91</v>
      </c>
      <c r="E455" s="3" t="s">
        <v>4395</v>
      </c>
      <c r="F455" s="6">
        <v>10757.951999999999</v>
      </c>
      <c r="G455" s="6">
        <f>IF(F455=0,$Y$3,F455)</f>
        <v>10757.951999999999</v>
      </c>
      <c r="H455" s="79">
        <f t="shared" si="71"/>
        <v>9</v>
      </c>
      <c r="I455">
        <f t="shared" si="72"/>
        <v>31</v>
      </c>
      <c r="J455">
        <f t="shared" si="73"/>
        <v>1</v>
      </c>
      <c r="K455">
        <f t="shared" si="75"/>
        <v>34</v>
      </c>
      <c r="L455" s="80">
        <f t="shared" si="76"/>
        <v>13</v>
      </c>
      <c r="M455" s="80">
        <f t="shared" si="77"/>
        <v>47</v>
      </c>
      <c r="N455">
        <f t="shared" si="78"/>
        <v>10149.011320754715</v>
      </c>
      <c r="O455" s="87">
        <f>(((1-((1+$W$11)/(1+$W$10))^(6*(J455+K455)))/($W$10-$W$11))*(1+$W$10)^(6*(J455+K455)))</f>
        <v>1890.963685662718</v>
      </c>
      <c r="P455" s="69">
        <f>N455*0.065*O455</f>
        <v>1247441.7704402541</v>
      </c>
      <c r="Q455" s="69">
        <f t="shared" si="79"/>
        <v>8316.2784696016934</v>
      </c>
      <c r="R455" s="69">
        <f>G455*(1+0.06)^K455</f>
        <v>78006.18186748134</v>
      </c>
      <c r="S455" s="77">
        <f t="shared" si="80"/>
        <v>0.10661050535365998</v>
      </c>
    </row>
    <row r="456" spans="1:19" ht="15.5" x14ac:dyDescent="0.35">
      <c r="A456" s="3" t="s">
        <v>4404</v>
      </c>
      <c r="B456" s="16" t="s">
        <v>4405</v>
      </c>
      <c r="C456" s="17" t="s">
        <v>4407</v>
      </c>
      <c r="D456" s="17" t="str">
        <f t="shared" si="74"/>
        <v>26/05/01</v>
      </c>
      <c r="E456" s="3" t="s">
        <v>3796</v>
      </c>
      <c r="F456" s="6">
        <v>9574.48</v>
      </c>
      <c r="G456" s="6">
        <f>IF(F456=0,$Y$3,F456)</f>
        <v>9574.48</v>
      </c>
      <c r="H456" s="79">
        <f t="shared" si="71"/>
        <v>21</v>
      </c>
      <c r="I456">
        <f t="shared" si="72"/>
        <v>21</v>
      </c>
      <c r="J456">
        <f t="shared" si="73"/>
        <v>1</v>
      </c>
      <c r="K456">
        <f t="shared" si="75"/>
        <v>44</v>
      </c>
      <c r="L456" s="80">
        <f t="shared" si="76"/>
        <v>1</v>
      </c>
      <c r="M456" s="80">
        <f t="shared" si="77"/>
        <v>45</v>
      </c>
      <c r="N456">
        <f t="shared" si="78"/>
        <v>9032.5283018867904</v>
      </c>
      <c r="O456" s="87">
        <f>(((1-((1+$W$11)/(1+$W$10))^(6*(J456+K456)))/($W$10-$W$11))*(1+$W$10)^(6*(J456+K456)))</f>
        <v>4576.6656596284247</v>
      </c>
      <c r="P456" s="69">
        <f>N456*0.065*O456</f>
        <v>2687026.036426363</v>
      </c>
      <c r="Q456" s="69">
        <f t="shared" si="79"/>
        <v>17913.506909509088</v>
      </c>
      <c r="R456" s="69">
        <f>G456*(1+0.06)^K456</f>
        <v>124329.23686331848</v>
      </c>
      <c r="S456" s="77">
        <f t="shared" si="80"/>
        <v>0.1440812101919545</v>
      </c>
    </row>
    <row r="457" spans="1:19" ht="15.5" x14ac:dyDescent="0.35">
      <c r="A457" s="3" t="s">
        <v>4408</v>
      </c>
      <c r="B457" s="16" t="s">
        <v>4409</v>
      </c>
      <c r="C457" s="17" t="s">
        <v>4411</v>
      </c>
      <c r="D457" s="17" t="str">
        <f t="shared" si="74"/>
        <v>19/06/92</v>
      </c>
      <c r="E457" s="3" t="s">
        <v>3796</v>
      </c>
      <c r="F457" s="6">
        <v>8007.0559999999996</v>
      </c>
      <c r="G457" s="6">
        <f>IF(F457=0,$Y$3,F457)</f>
        <v>8007.0559999999996</v>
      </c>
      <c r="H457" s="79">
        <f t="shared" si="71"/>
        <v>10</v>
      </c>
      <c r="I457">
        <f t="shared" si="72"/>
        <v>30</v>
      </c>
      <c r="J457">
        <f t="shared" si="73"/>
        <v>1</v>
      </c>
      <c r="K457">
        <f t="shared" si="75"/>
        <v>35</v>
      </c>
      <c r="L457" s="80">
        <f t="shared" si="76"/>
        <v>12</v>
      </c>
      <c r="M457" s="80">
        <f t="shared" si="77"/>
        <v>47</v>
      </c>
      <c r="N457">
        <f t="shared" si="78"/>
        <v>7553.8264150943387</v>
      </c>
      <c r="O457" s="87">
        <f>(((1-((1+$W$11)/(1+$W$10))^(6*(J457+K457)))/($W$10-$W$11))*(1+$W$10)^(6*(J457+K457)))</f>
        <v>2071.9321695914473</v>
      </c>
      <c r="P457" s="69">
        <f>N457*0.065*O457</f>
        <v>1017316.0369413339</v>
      </c>
      <c r="Q457" s="69">
        <f t="shared" si="79"/>
        <v>6782.1069129422258</v>
      </c>
      <c r="R457" s="69">
        <f>G457*(1+0.06)^K457</f>
        <v>61542.927366905358</v>
      </c>
      <c r="S457" s="77">
        <f t="shared" si="80"/>
        <v>0.11020124006303438</v>
      </c>
    </row>
    <row r="458" spans="1:19" ht="15.5" x14ac:dyDescent="0.35">
      <c r="A458" s="3" t="s">
        <v>4412</v>
      </c>
      <c r="B458" s="16" t="s">
        <v>4413</v>
      </c>
      <c r="C458" s="17" t="s">
        <v>4415</v>
      </c>
      <c r="D458" s="17" t="str">
        <f t="shared" si="74"/>
        <v>22/12/89</v>
      </c>
      <c r="E458" s="3" t="s">
        <v>4416</v>
      </c>
      <c r="F458" s="6">
        <v>7437.6639999999998</v>
      </c>
      <c r="G458" s="6">
        <f>IF(F458=0,$Y$3,F458)</f>
        <v>7437.6639999999998</v>
      </c>
      <c r="H458" s="79">
        <f t="shared" si="71"/>
        <v>11</v>
      </c>
      <c r="I458">
        <f t="shared" si="72"/>
        <v>33</v>
      </c>
      <c r="J458">
        <f t="shared" si="73"/>
        <v>1</v>
      </c>
      <c r="K458">
        <f t="shared" si="75"/>
        <v>32</v>
      </c>
      <c r="L458" s="80">
        <f t="shared" si="76"/>
        <v>11</v>
      </c>
      <c r="M458" s="80">
        <f t="shared" si="77"/>
        <v>43</v>
      </c>
      <c r="N458">
        <f t="shared" si="78"/>
        <v>7016.6641509433948</v>
      </c>
      <c r="O458" s="87">
        <f>(((1-((1+$W$11)/(1+$W$10))^(6*(J458+K458)))/($W$10-$W$11))*(1+$W$10)^(6*(J458+K458)))</f>
        <v>1571.1687390454781</v>
      </c>
      <c r="P458" s="69">
        <f>N458*0.065*O458</f>
        <v>716583.61881231738</v>
      </c>
      <c r="Q458" s="69">
        <f t="shared" si="79"/>
        <v>4777.2241254154496</v>
      </c>
      <c r="R458" s="69">
        <f>G458*(1+0.06)^K458</f>
        <v>47998.121801938032</v>
      </c>
      <c r="S458" s="77">
        <f t="shared" si="80"/>
        <v>9.9529397111171092E-2</v>
      </c>
    </row>
    <row r="459" spans="1:19" ht="15.5" x14ac:dyDescent="0.35">
      <c r="A459" s="3" t="s">
        <v>4417</v>
      </c>
      <c r="B459" s="16" t="s">
        <v>4418</v>
      </c>
      <c r="C459" s="17" t="s">
        <v>4420</v>
      </c>
      <c r="D459" s="17" t="str">
        <f t="shared" si="74"/>
        <v>14/03/91</v>
      </c>
      <c r="E459" s="3" t="s">
        <v>3880</v>
      </c>
      <c r="F459" s="6">
        <v>11139.168</v>
      </c>
      <c r="G459" s="6">
        <f>IF(F459=0,$Y$3,F459)</f>
        <v>11139.168</v>
      </c>
      <c r="H459" s="79">
        <f t="shared" si="71"/>
        <v>10</v>
      </c>
      <c r="I459">
        <f t="shared" si="72"/>
        <v>31</v>
      </c>
      <c r="J459">
        <f t="shared" si="73"/>
        <v>1</v>
      </c>
      <c r="K459">
        <f t="shared" si="75"/>
        <v>34</v>
      </c>
      <c r="L459" s="80">
        <f t="shared" si="76"/>
        <v>12</v>
      </c>
      <c r="M459" s="80">
        <f t="shared" si="77"/>
        <v>46</v>
      </c>
      <c r="N459">
        <f t="shared" si="78"/>
        <v>10508.649056603772</v>
      </c>
      <c r="O459" s="87">
        <f>(((1-((1+$W$11)/(1+$W$10))^(6*(J459+K459)))/($W$10-$W$11))*(1+$W$10)^(6*(J459+K459)))</f>
        <v>1890.963685662718</v>
      </c>
      <c r="P459" s="69">
        <f>N459*0.065*O459</f>
        <v>1291645.7938417485</v>
      </c>
      <c r="Q459" s="69">
        <f t="shared" si="79"/>
        <v>8610.9719589449905</v>
      </c>
      <c r="R459" s="69">
        <f>G459*(1+0.06)^K459</f>
        <v>80770.388719007897</v>
      </c>
      <c r="S459" s="77">
        <f t="shared" si="80"/>
        <v>0.10661050535366</v>
      </c>
    </row>
    <row r="460" spans="1:19" ht="15.5" x14ac:dyDescent="0.35">
      <c r="A460" s="3" t="s">
        <v>4421</v>
      </c>
      <c r="B460" s="16" t="s">
        <v>4422</v>
      </c>
      <c r="C460" s="17" t="s">
        <v>4424</v>
      </c>
      <c r="D460" s="17" t="str">
        <f t="shared" si="74"/>
        <v>23/02/84</v>
      </c>
      <c r="E460" s="3" t="s">
        <v>3880</v>
      </c>
      <c r="F460" s="6">
        <v>5602.72</v>
      </c>
      <c r="G460" s="6">
        <f>IF(F460=0,$Y$3,F460)</f>
        <v>5602.72</v>
      </c>
      <c r="H460" s="79">
        <f t="shared" si="71"/>
        <v>10</v>
      </c>
      <c r="I460">
        <f t="shared" si="72"/>
        <v>38</v>
      </c>
      <c r="J460">
        <f t="shared" si="73"/>
        <v>1</v>
      </c>
      <c r="K460">
        <f t="shared" si="75"/>
        <v>27</v>
      </c>
      <c r="L460" s="80">
        <f t="shared" si="76"/>
        <v>12</v>
      </c>
      <c r="M460" s="80">
        <f t="shared" si="77"/>
        <v>39</v>
      </c>
      <c r="N460">
        <f t="shared" si="78"/>
        <v>5285.5849056603774</v>
      </c>
      <c r="O460" s="87">
        <f>(((1-((1+$W$11)/(1+$W$10))^(6*(J460+K460)))/($W$10-$W$11))*(1+$W$10)^(6*(J460+K460)))</f>
        <v>971.97898006406626</v>
      </c>
      <c r="P460" s="69">
        <f>N460*0.065*O460</f>
        <v>333936.03266697685</v>
      </c>
      <c r="Q460" s="69">
        <f t="shared" si="79"/>
        <v>2226.2402177798458</v>
      </c>
      <c r="R460" s="69">
        <f>G460*(1+0.06)^K460</f>
        <v>27018.254048899908</v>
      </c>
      <c r="S460" s="77">
        <f t="shared" si="80"/>
        <v>8.2397634345676415E-2</v>
      </c>
    </row>
    <row r="461" spans="1:19" ht="15.5" x14ac:dyDescent="0.35">
      <c r="A461" s="3" t="s">
        <v>4425</v>
      </c>
      <c r="B461" s="16" t="s">
        <v>4426</v>
      </c>
      <c r="C461" s="17" t="s">
        <v>4428</v>
      </c>
      <c r="D461" s="17" t="str">
        <f t="shared" si="74"/>
        <v>05/09/97</v>
      </c>
      <c r="E461" s="3" t="s">
        <v>3880</v>
      </c>
      <c r="F461" s="6">
        <v>10101.92</v>
      </c>
      <c r="G461" s="6">
        <f>IF(F461=0,$Y$3,F461)</f>
        <v>10101.92</v>
      </c>
      <c r="H461" s="79">
        <f t="shared" si="71"/>
        <v>17</v>
      </c>
      <c r="I461">
        <f t="shared" si="72"/>
        <v>25</v>
      </c>
      <c r="J461">
        <f t="shared" si="73"/>
        <v>1</v>
      </c>
      <c r="K461">
        <f t="shared" si="75"/>
        <v>40</v>
      </c>
      <c r="L461" s="80">
        <f t="shared" si="76"/>
        <v>5</v>
      </c>
      <c r="M461" s="80">
        <f t="shared" si="77"/>
        <v>45</v>
      </c>
      <c r="N461">
        <f t="shared" si="78"/>
        <v>9530.1132075471687</v>
      </c>
      <c r="O461" s="87">
        <f>(((1-((1+$W$11)/(1+$W$10))^(6*(J461+K461)))/($W$10-$W$11))*(1+$W$10)^(6*(J461+K461)))</f>
        <v>3237.3816560572077</v>
      </c>
      <c r="P461" s="69">
        <f>N461*0.065*O461</f>
        <v>2005419.8890870118</v>
      </c>
      <c r="Q461" s="69">
        <f t="shared" si="79"/>
        <v>13369.465927246745</v>
      </c>
      <c r="R461" s="69">
        <f>G461*(1+0.06)^K461</f>
        <v>103905.49974341116</v>
      </c>
      <c r="S461" s="77">
        <f t="shared" si="80"/>
        <v>0.12866947332202719</v>
      </c>
    </row>
    <row r="462" spans="1:19" ht="15.5" x14ac:dyDescent="0.35">
      <c r="A462" s="3" t="s">
        <v>4429</v>
      </c>
      <c r="B462" s="16" t="s">
        <v>4430</v>
      </c>
      <c r="C462" s="17" t="s">
        <v>4432</v>
      </c>
      <c r="D462" s="17" t="str">
        <f t="shared" si="74"/>
        <v>17/06/85</v>
      </c>
      <c r="E462" s="3" t="s">
        <v>4433</v>
      </c>
      <c r="F462" s="6">
        <v>13217.92</v>
      </c>
      <c r="G462" s="6">
        <f>IF(F462=0,$Y$3,F462)</f>
        <v>13217.92</v>
      </c>
      <c r="H462" s="79">
        <f t="shared" si="71"/>
        <v>8</v>
      </c>
      <c r="I462">
        <f t="shared" si="72"/>
        <v>37</v>
      </c>
      <c r="J462">
        <f t="shared" si="73"/>
        <v>1</v>
      </c>
      <c r="K462">
        <f t="shared" si="75"/>
        <v>28</v>
      </c>
      <c r="L462" s="80">
        <f t="shared" si="76"/>
        <v>14</v>
      </c>
      <c r="M462" s="80">
        <f t="shared" si="77"/>
        <v>42</v>
      </c>
      <c r="N462">
        <f t="shared" si="78"/>
        <v>12469.735849056602</v>
      </c>
      <c r="O462" s="87">
        <f>(((1-((1+$W$11)/(1+$W$10))^(6*(J462+K462)))/($W$10-$W$11))*(1+$W$10)^(6*(J462+K462)))</f>
        <v>1072.3399666941964</v>
      </c>
      <c r="P462" s="69">
        <f>N462*0.065*O462</f>
        <v>869166.74812908098</v>
      </c>
      <c r="Q462" s="69">
        <f t="shared" si="79"/>
        <v>5794.4449875272066</v>
      </c>
      <c r="R462" s="69">
        <f>G462*(1+0.06)^K462</f>
        <v>67565.865827940215</v>
      </c>
      <c r="S462" s="77">
        <f t="shared" si="80"/>
        <v>8.5759945743654711E-2</v>
      </c>
    </row>
    <row r="463" spans="1:19" ht="15.5" x14ac:dyDescent="0.35">
      <c r="A463" s="3" t="s">
        <v>4434</v>
      </c>
      <c r="B463" s="16" t="s">
        <v>4435</v>
      </c>
      <c r="C463" s="17" t="s">
        <v>4437</v>
      </c>
      <c r="D463" s="17" t="str">
        <f t="shared" si="74"/>
        <v>23/09/91</v>
      </c>
      <c r="E463" s="3" t="s">
        <v>3739</v>
      </c>
      <c r="F463" s="6">
        <v>11438.607999999998</v>
      </c>
      <c r="G463" s="6">
        <f>IF(F463=0,$Y$3,F463)</f>
        <v>11438.607999999998</v>
      </c>
      <c r="H463" s="79">
        <f t="shared" si="71"/>
        <v>9</v>
      </c>
      <c r="I463">
        <f t="shared" si="72"/>
        <v>31</v>
      </c>
      <c r="J463">
        <f t="shared" si="73"/>
        <v>0</v>
      </c>
      <c r="K463">
        <f t="shared" si="75"/>
        <v>34</v>
      </c>
      <c r="L463" s="80">
        <f t="shared" si="76"/>
        <v>13</v>
      </c>
      <c r="M463" s="80">
        <f t="shared" si="77"/>
        <v>47</v>
      </c>
      <c r="N463">
        <f t="shared" si="78"/>
        <v>11438.607999999998</v>
      </c>
      <c r="O463" s="87">
        <f>(((1-((1+$W$11)/(1+$W$10))^(6*(J463+K463)))/($W$10-$W$11))*(1+$W$10)^(6*(J463+K463)))</f>
        <v>1724.4052908394829</v>
      </c>
      <c r="P463" s="69">
        <f>N463*0.065*O463</f>
        <v>1282111.7500775242</v>
      </c>
      <c r="Q463" s="69">
        <f t="shared" si="79"/>
        <v>8547.4116671834945</v>
      </c>
      <c r="R463" s="69">
        <f>G463*(1+0.06)^K463</f>
        <v>82941.635727583358</v>
      </c>
      <c r="S463" s="77">
        <f t="shared" si="80"/>
        <v>0.10305332891259748</v>
      </c>
    </row>
    <row r="464" spans="1:19" ht="15.5" x14ac:dyDescent="0.35">
      <c r="A464" s="3" t="s">
        <v>4438</v>
      </c>
      <c r="B464" s="16" t="s">
        <v>4439</v>
      </c>
      <c r="C464" s="17" t="s">
        <v>962</v>
      </c>
      <c r="D464" s="17" t="str">
        <f t="shared" si="74"/>
        <v>27/03/75</v>
      </c>
      <c r="E464" s="3" t="s">
        <v>4441</v>
      </c>
      <c r="F464" s="6">
        <v>9623.1200000000008</v>
      </c>
      <c r="G464" s="6">
        <f>IF(F464=0,$Y$3,F464)</f>
        <v>9623.1200000000008</v>
      </c>
      <c r="H464" s="79">
        <f t="shared" si="71"/>
        <v>98</v>
      </c>
      <c r="I464">
        <f t="shared" si="72"/>
        <v>47</v>
      </c>
      <c r="J464">
        <f t="shared" si="73"/>
        <v>1</v>
      </c>
      <c r="K464">
        <f t="shared" si="75"/>
        <v>18</v>
      </c>
      <c r="L464" s="80">
        <f t="shared" si="76"/>
        <v>24</v>
      </c>
      <c r="M464" s="80">
        <f t="shared" si="77"/>
        <v>42</v>
      </c>
      <c r="N464">
        <f t="shared" si="78"/>
        <v>9078.4150943396216</v>
      </c>
      <c r="O464" s="87">
        <f>(((1-((1+$W$11)/(1+$W$10))^(6*(J464+K464)))/($W$10-$W$11))*(1+$W$10)^(6*(J464+K464)))</f>
        <v>373.65839639087795</v>
      </c>
      <c r="P464" s="69">
        <f>N464*0.065*O464</f>
        <v>220494.69168490946</v>
      </c>
      <c r="Q464" s="69">
        <f t="shared" si="79"/>
        <v>1469.9646112327298</v>
      </c>
      <c r="R464" s="69">
        <f>G464*(1+0.06)^K464</f>
        <v>27467.648189178446</v>
      </c>
      <c r="S464" s="77">
        <f t="shared" si="80"/>
        <v>5.3516216645437389E-2</v>
      </c>
    </row>
    <row r="465" spans="1:19" ht="15.5" x14ac:dyDescent="0.35">
      <c r="A465" s="3" t="s">
        <v>4442</v>
      </c>
      <c r="B465" s="16" t="s">
        <v>4443</v>
      </c>
      <c r="C465" s="17" t="s">
        <v>1499</v>
      </c>
      <c r="D465" s="17" t="str">
        <f t="shared" si="74"/>
        <v>17/07/92</v>
      </c>
      <c r="E465" s="3" t="s">
        <v>4445</v>
      </c>
      <c r="F465" s="6">
        <v>11650.495999999999</v>
      </c>
      <c r="G465" s="6">
        <f>IF(F465=0,$Y$3,F465)</f>
        <v>11650.495999999999</v>
      </c>
      <c r="H465" s="79">
        <f t="shared" si="71"/>
        <v>10</v>
      </c>
      <c r="I465">
        <f t="shared" si="72"/>
        <v>30</v>
      </c>
      <c r="J465">
        <f t="shared" si="73"/>
        <v>1</v>
      </c>
      <c r="K465">
        <f t="shared" si="75"/>
        <v>35</v>
      </c>
      <c r="L465" s="80">
        <f t="shared" si="76"/>
        <v>12</v>
      </c>
      <c r="M465" s="80">
        <f t="shared" si="77"/>
        <v>47</v>
      </c>
      <c r="N465">
        <f t="shared" si="78"/>
        <v>10991.03396226415</v>
      </c>
      <c r="O465" s="87">
        <f>(((1-((1+$W$11)/(1+$W$10))^(6*(J465+K465)))/($W$10-$W$11))*(1+$W$10)^(6*(J465+K465)))</f>
        <v>2071.9321695914473</v>
      </c>
      <c r="P465" s="69">
        <f>N465*0.065*O465</f>
        <v>1480223.9948266707</v>
      </c>
      <c r="Q465" s="69">
        <f t="shared" si="79"/>
        <v>9868.1599655111386</v>
      </c>
      <c r="R465" s="69">
        <f>G465*(1+0.06)^K465</f>
        <v>89546.723429487858</v>
      </c>
      <c r="S465" s="77">
        <f t="shared" si="80"/>
        <v>0.1102012400630344</v>
      </c>
    </row>
    <row r="466" spans="1:19" ht="15.5" x14ac:dyDescent="0.35">
      <c r="A466" s="3" t="s">
        <v>4446</v>
      </c>
      <c r="B466" s="16" t="s">
        <v>4447</v>
      </c>
      <c r="C466" s="17" t="s">
        <v>4449</v>
      </c>
      <c r="D466" s="17" t="str">
        <f t="shared" si="74"/>
        <v>21/10/98</v>
      </c>
      <c r="E466" s="3" t="s">
        <v>4001</v>
      </c>
      <c r="F466" s="6">
        <v>12059.376</v>
      </c>
      <c r="G466" s="6">
        <f>IF(F466=0,$Y$3,F466)</f>
        <v>12059.376</v>
      </c>
      <c r="H466" s="79">
        <f t="shared" si="71"/>
        <v>14</v>
      </c>
      <c r="I466">
        <f t="shared" si="72"/>
        <v>24</v>
      </c>
      <c r="J466">
        <f t="shared" si="73"/>
        <v>1</v>
      </c>
      <c r="K466">
        <f t="shared" si="75"/>
        <v>41</v>
      </c>
      <c r="L466" s="80">
        <f t="shared" si="76"/>
        <v>8</v>
      </c>
      <c r="M466" s="80">
        <f t="shared" si="77"/>
        <v>49</v>
      </c>
      <c r="N466">
        <f t="shared" si="78"/>
        <v>11376.769811320753</v>
      </c>
      <c r="O466" s="87">
        <f>(((1-((1+$W$11)/(1+$W$10))^(6*(J466+K466)))/($W$10-$W$11))*(1+$W$10)^(6*(J466+K466)))</f>
        <v>3532.9398561414855</v>
      </c>
      <c r="P466" s="69">
        <f>N466*0.065*O466</f>
        <v>2612573.8275365522</v>
      </c>
      <c r="Q466" s="69">
        <f t="shared" si="79"/>
        <v>17417.158850243683</v>
      </c>
      <c r="R466" s="69">
        <f>G466*(1+0.06)^K466</f>
        <v>131481.70043577068</v>
      </c>
      <c r="S466" s="77">
        <f t="shared" si="80"/>
        <v>0.13246831150280136</v>
      </c>
    </row>
    <row r="467" spans="1:19" ht="15.5" x14ac:dyDescent="0.35">
      <c r="A467" s="3" t="s">
        <v>4450</v>
      </c>
      <c r="B467" s="16" t="s">
        <v>4451</v>
      </c>
      <c r="C467" s="17" t="s">
        <v>4453</v>
      </c>
      <c r="D467" s="17" t="str">
        <f t="shared" si="74"/>
        <v>31/03/84</v>
      </c>
      <c r="E467" s="3" t="s">
        <v>4001</v>
      </c>
      <c r="F467" s="6">
        <v>18330.592000000001</v>
      </c>
      <c r="G467" s="6">
        <f>IF(F467=0,$Y$3,F467)</f>
        <v>18330.592000000001</v>
      </c>
      <c r="H467" s="79">
        <f t="shared" si="71"/>
        <v>3</v>
      </c>
      <c r="I467">
        <f t="shared" si="72"/>
        <v>38</v>
      </c>
      <c r="J467">
        <f t="shared" si="73"/>
        <v>1</v>
      </c>
      <c r="K467">
        <f t="shared" si="75"/>
        <v>27</v>
      </c>
      <c r="L467" s="80">
        <f t="shared" si="76"/>
        <v>19</v>
      </c>
      <c r="M467" s="80">
        <f t="shared" si="77"/>
        <v>46</v>
      </c>
      <c r="N467">
        <f t="shared" si="78"/>
        <v>17293.011320754715</v>
      </c>
      <c r="O467" s="87">
        <f>(((1-((1+$W$11)/(1+$W$10))^(6*(J467+K467)))/($W$10-$W$11))*(1+$W$10)^(6*(J467+K467)))</f>
        <v>971.97898006406626</v>
      </c>
      <c r="P467" s="69">
        <f>N467*0.065*O467</f>
        <v>1092548.8278759287</v>
      </c>
      <c r="Q467" s="69">
        <f t="shared" si="79"/>
        <v>7283.6588525061916</v>
      </c>
      <c r="R467" s="69">
        <f>G467*(1+0.06)^K467</f>
        <v>88396.455921897272</v>
      </c>
      <c r="S467" s="77">
        <f t="shared" si="80"/>
        <v>8.2397634345676388E-2</v>
      </c>
    </row>
    <row r="468" spans="1:19" ht="15.5" x14ac:dyDescent="0.35">
      <c r="A468" s="3" t="s">
        <v>4454</v>
      </c>
      <c r="B468" s="16" t="s">
        <v>4455</v>
      </c>
      <c r="C468" s="17" t="s">
        <v>4457</v>
      </c>
      <c r="D468" s="17" t="str">
        <f t="shared" si="74"/>
        <v>10/03/00</v>
      </c>
      <c r="E468" s="3" t="s">
        <v>4001</v>
      </c>
      <c r="F468" s="6">
        <v>6848.2079999999996</v>
      </c>
      <c r="G468" s="6">
        <f>IF(F468=0,$Y$3,F468)</f>
        <v>6848.2079999999996</v>
      </c>
      <c r="H468" s="79">
        <f t="shared" si="71"/>
        <v>16</v>
      </c>
      <c r="I468">
        <f t="shared" si="72"/>
        <v>22</v>
      </c>
      <c r="J468">
        <f t="shared" si="73"/>
        <v>1</v>
      </c>
      <c r="K468">
        <f t="shared" si="75"/>
        <v>43</v>
      </c>
      <c r="L468" s="80">
        <f t="shared" si="76"/>
        <v>6</v>
      </c>
      <c r="M468" s="80">
        <f t="shared" si="77"/>
        <v>49</v>
      </c>
      <c r="N468">
        <f t="shared" si="78"/>
        <v>6460.5735849056591</v>
      </c>
      <c r="O468" s="87">
        <f>(((1-((1+$W$11)/(1+$W$10))^(6*(J468+K468)))/($W$10-$W$11))*(1+$W$10)^(6*(J468+K468)))</f>
        <v>4200.5189242334509</v>
      </c>
      <c r="P468" s="69">
        <f>N468*0.065*O468</f>
        <v>1763954.5043119329</v>
      </c>
      <c r="Q468" s="69">
        <f t="shared" si="79"/>
        <v>11759.696695412886</v>
      </c>
      <c r="R468" s="69">
        <f>G468*(1+0.06)^K468</f>
        <v>83893.661432332039</v>
      </c>
      <c r="S468" s="77">
        <f t="shared" si="80"/>
        <v>0.14017384024773033</v>
      </c>
    </row>
    <row r="469" spans="1:19" ht="15.5" x14ac:dyDescent="0.35">
      <c r="A469" s="3" t="s">
        <v>4458</v>
      </c>
      <c r="B469" s="16" t="s">
        <v>4459</v>
      </c>
      <c r="C469" s="17" t="s">
        <v>4461</v>
      </c>
      <c r="D469" s="17" t="str">
        <f t="shared" si="74"/>
        <v>03/04/96</v>
      </c>
      <c r="E469" s="3" t="s">
        <v>4462</v>
      </c>
      <c r="F469" s="6">
        <v>11804.928</v>
      </c>
      <c r="G469" s="6">
        <f>IF(F469=0,$Y$3,F469)</f>
        <v>11804.928</v>
      </c>
      <c r="H469" s="79">
        <f t="shared" si="71"/>
        <v>11</v>
      </c>
      <c r="I469">
        <f t="shared" si="72"/>
        <v>26</v>
      </c>
      <c r="J469">
        <f t="shared" si="73"/>
        <v>1</v>
      </c>
      <c r="K469">
        <f t="shared" si="75"/>
        <v>39</v>
      </c>
      <c r="L469" s="80">
        <f t="shared" si="76"/>
        <v>11</v>
      </c>
      <c r="M469" s="80">
        <f t="shared" si="77"/>
        <v>50</v>
      </c>
      <c r="N469">
        <f t="shared" si="78"/>
        <v>11136.724528301886</v>
      </c>
      <c r="O469" s="87">
        <f>(((1-((1+$W$11)/(1+$W$10))^(6*(J469+K469)))/($W$10-$W$11))*(1+$W$10)^(6*(J469+K469)))</f>
        <v>2964.8060935111685</v>
      </c>
      <c r="P469" s="69">
        <f>N469*0.065*O469</f>
        <v>2146184.8683122071</v>
      </c>
      <c r="Q469" s="69">
        <f t="shared" si="79"/>
        <v>14307.89912208138</v>
      </c>
      <c r="R469" s="69">
        <f>G469*(1+0.06)^K469</f>
        <v>114549.20724158503</v>
      </c>
      <c r="S469" s="77">
        <f t="shared" si="80"/>
        <v>0.12490613830182105</v>
      </c>
    </row>
    <row r="470" spans="1:19" ht="15.5" x14ac:dyDescent="0.35">
      <c r="A470" s="3" t="s">
        <v>4463</v>
      </c>
      <c r="B470" s="16" t="s">
        <v>4464</v>
      </c>
      <c r="C470" s="17" t="s">
        <v>4466</v>
      </c>
      <c r="D470" s="17" t="str">
        <f t="shared" si="74"/>
        <v>25/06/01</v>
      </c>
      <c r="E470" s="3" t="s">
        <v>4467</v>
      </c>
      <c r="F470" s="6">
        <v>7862.0479999999998</v>
      </c>
      <c r="G470" s="6">
        <f>IF(F470=0,$Y$3,F470)</f>
        <v>7862.0479999999998</v>
      </c>
      <c r="H470" s="79">
        <f t="shared" si="71"/>
        <v>16</v>
      </c>
      <c r="I470">
        <f t="shared" si="72"/>
        <v>21</v>
      </c>
      <c r="J470">
        <f t="shared" si="73"/>
        <v>0</v>
      </c>
      <c r="K470">
        <f t="shared" si="75"/>
        <v>44</v>
      </c>
      <c r="L470" s="80">
        <f t="shared" si="76"/>
        <v>6</v>
      </c>
      <c r="M470" s="80">
        <f t="shared" si="77"/>
        <v>50</v>
      </c>
      <c r="N470">
        <f t="shared" si="78"/>
        <v>7862.0479999999998</v>
      </c>
      <c r="O470" s="87">
        <f>(((1-((1+$W$11)/(1+$W$10))^(6*(J470+K470)))/($W$10-$W$11))*(1+$W$10)^(6*(J470+K470)))</f>
        <v>4200.5189242334509</v>
      </c>
      <c r="P470" s="69">
        <f>N470*0.065*O470</f>
        <v>2146604.2914700639</v>
      </c>
      <c r="Q470" s="69">
        <f t="shared" si="79"/>
        <v>14310.695276467093</v>
      </c>
      <c r="R470" s="69">
        <f>G470*(1+0.06)^K470</f>
        <v>102092.48210062367</v>
      </c>
      <c r="S470" s="77">
        <f t="shared" si="80"/>
        <v>0.14017384024773036</v>
      </c>
    </row>
    <row r="471" spans="1:19" ht="15.5" x14ac:dyDescent="0.35">
      <c r="A471" s="3" t="s">
        <v>4468</v>
      </c>
      <c r="B471" s="16" t="s">
        <v>4469</v>
      </c>
      <c r="C471" s="17" t="s">
        <v>4471</v>
      </c>
      <c r="D471" s="17" t="str">
        <f t="shared" si="74"/>
        <v>15/06/83</v>
      </c>
      <c r="E471" s="3" t="s">
        <v>3439</v>
      </c>
      <c r="F471" s="6">
        <v>18433.648000000001</v>
      </c>
      <c r="G471" s="6">
        <f>IF(F471=0,$Y$3,F471)</f>
        <v>18433.648000000001</v>
      </c>
      <c r="H471" s="79">
        <f t="shared" si="71"/>
        <v>8</v>
      </c>
      <c r="I471">
        <f t="shared" si="72"/>
        <v>39</v>
      </c>
      <c r="J471">
        <f t="shared" si="73"/>
        <v>0</v>
      </c>
      <c r="K471">
        <f t="shared" si="75"/>
        <v>26</v>
      </c>
      <c r="L471" s="80">
        <f t="shared" si="76"/>
        <v>14</v>
      </c>
      <c r="M471" s="80">
        <f t="shared" si="77"/>
        <v>40</v>
      </c>
      <c r="N471">
        <f t="shared" si="78"/>
        <v>18433.648000000001</v>
      </c>
      <c r="O471" s="87">
        <f>(((1-((1+$W$11)/(1+$W$10))^(6*(J471+K471)))/($W$10-$W$11))*(1+$W$10)^(6*(J471+K471)))</f>
        <v>795.44548998043808</v>
      </c>
      <c r="P471" s="69">
        <f>N471*0.065*O471</f>
        <v>953092.54075665004</v>
      </c>
      <c r="Q471" s="69">
        <f t="shared" si="79"/>
        <v>6353.9502717109999</v>
      </c>
      <c r="R471" s="69">
        <f>G471*(1+0.06)^K471</f>
        <v>83861.724155813601</v>
      </c>
      <c r="S471" s="77">
        <f t="shared" si="80"/>
        <v>7.5766988285447992E-2</v>
      </c>
    </row>
    <row r="472" spans="1:19" ht="15.5" x14ac:dyDescent="0.35">
      <c r="A472" s="3" t="s">
        <v>4472</v>
      </c>
      <c r="B472" s="16" t="s">
        <v>4473</v>
      </c>
      <c r="C472" s="17" t="s">
        <v>4475</v>
      </c>
      <c r="D472" s="17" t="str">
        <f t="shared" si="74"/>
        <v>01/06/91</v>
      </c>
      <c r="E472" s="3" t="s">
        <v>3803</v>
      </c>
      <c r="F472" s="6">
        <v>21182.719999999998</v>
      </c>
      <c r="G472" s="6">
        <f>IF(F472=0,$Y$3,F472)</f>
        <v>21182.719999999998</v>
      </c>
      <c r="H472" s="79">
        <f t="shared" si="71"/>
        <v>10</v>
      </c>
      <c r="I472">
        <f t="shared" si="72"/>
        <v>31</v>
      </c>
      <c r="J472">
        <f t="shared" si="73"/>
        <v>0</v>
      </c>
      <c r="K472">
        <f t="shared" si="75"/>
        <v>34</v>
      </c>
      <c r="L472" s="80">
        <f t="shared" si="76"/>
        <v>12</v>
      </c>
      <c r="M472" s="80">
        <f t="shared" si="77"/>
        <v>46</v>
      </c>
      <c r="N472">
        <f t="shared" si="78"/>
        <v>21182.719999999998</v>
      </c>
      <c r="O472" s="87">
        <f>(((1-((1+$W$11)/(1+$W$10))^(6*(J472+K472)))/($W$10-$W$11))*(1+$W$10)^(6*(J472+K472)))</f>
        <v>1724.4052908394829</v>
      </c>
      <c r="P472" s="69">
        <f>N472*0.065*O472</f>
        <v>2374293.6387541359</v>
      </c>
      <c r="Q472" s="69">
        <f t="shared" si="79"/>
        <v>15828.624258360906</v>
      </c>
      <c r="R472" s="69">
        <f>G472*(1+0.06)^K472</f>
        <v>153596.43812948171</v>
      </c>
      <c r="S472" s="77">
        <f t="shared" si="80"/>
        <v>0.10305332891259747</v>
      </c>
    </row>
    <row r="473" spans="1:19" ht="15.5" x14ac:dyDescent="0.35">
      <c r="A473" s="3" t="s">
        <v>4476</v>
      </c>
      <c r="B473" s="16" t="s">
        <v>4477</v>
      </c>
      <c r="C473" s="17" t="s">
        <v>4479</v>
      </c>
      <c r="D473" s="17" t="str">
        <f t="shared" si="74"/>
        <v>11/04/85</v>
      </c>
      <c r="E473" s="3" t="s">
        <v>3803</v>
      </c>
      <c r="F473" s="6">
        <v>5602.72</v>
      </c>
      <c r="G473" s="6">
        <f>IF(F473=0,$Y$3,F473)</f>
        <v>5602.72</v>
      </c>
      <c r="H473" s="79">
        <f t="shared" si="71"/>
        <v>2</v>
      </c>
      <c r="I473">
        <f t="shared" si="72"/>
        <v>37</v>
      </c>
      <c r="J473">
        <f t="shared" si="73"/>
        <v>0</v>
      </c>
      <c r="K473">
        <f t="shared" si="75"/>
        <v>28</v>
      </c>
      <c r="L473" s="80">
        <f t="shared" si="76"/>
        <v>20</v>
      </c>
      <c r="M473" s="80">
        <f t="shared" si="77"/>
        <v>48</v>
      </c>
      <c r="N473">
        <f t="shared" si="78"/>
        <v>5602.72</v>
      </c>
      <c r="O473" s="87">
        <f>(((1-((1+$W$11)/(1+$W$10))^(6*(J473+K473)))/($W$10-$W$11))*(1+$W$10)^(6*(J473+K473)))</f>
        <v>971.97898006406626</v>
      </c>
      <c r="P473" s="69">
        <f>N473*0.065*O473</f>
        <v>353972.19462699548</v>
      </c>
      <c r="Q473" s="69">
        <f t="shared" si="79"/>
        <v>2359.8146308466366</v>
      </c>
      <c r="R473" s="69">
        <f>G473*(1+0.06)^K473</f>
        <v>28639.349291833903</v>
      </c>
      <c r="S473" s="77">
        <f t="shared" si="80"/>
        <v>8.2397634345676415E-2</v>
      </c>
    </row>
    <row r="474" spans="1:19" ht="15.5" x14ac:dyDescent="0.35">
      <c r="A474" s="3" t="s">
        <v>4480</v>
      </c>
      <c r="B474" s="16" t="s">
        <v>4481</v>
      </c>
      <c r="C474" s="17" t="s">
        <v>4483</v>
      </c>
      <c r="D474" s="17" t="str">
        <f t="shared" si="74"/>
        <v>09/02/97</v>
      </c>
      <c r="E474" s="3" t="s">
        <v>4484</v>
      </c>
      <c r="F474" s="6">
        <v>14727.888000000001</v>
      </c>
      <c r="G474" s="6">
        <f>IF(F474=0,$Y$3,F474)</f>
        <v>14727.888000000001</v>
      </c>
      <c r="H474" s="79">
        <f t="shared" si="71"/>
        <v>16</v>
      </c>
      <c r="I474">
        <f t="shared" si="72"/>
        <v>25</v>
      </c>
      <c r="J474">
        <f t="shared" si="73"/>
        <v>0</v>
      </c>
      <c r="K474">
        <f t="shared" si="75"/>
        <v>40</v>
      </c>
      <c r="L474" s="80">
        <f t="shared" si="76"/>
        <v>6</v>
      </c>
      <c r="M474" s="80">
        <f t="shared" si="77"/>
        <v>46</v>
      </c>
      <c r="N474">
        <f t="shared" si="78"/>
        <v>14727.888000000001</v>
      </c>
      <c r="O474" s="87">
        <f>(((1-((1+$W$11)/(1+$W$10))^(6*(J474+K474)))/($W$10-$W$11))*(1+$W$10)^(6*(J474+K474)))</f>
        <v>2964.8060935111685</v>
      </c>
      <c r="P474" s="69">
        <f>N474*0.065*O474</f>
        <v>2838246.5856517516</v>
      </c>
      <c r="Q474" s="69">
        <f t="shared" si="79"/>
        <v>18921.643904345012</v>
      </c>
      <c r="R474" s="69">
        <f>G474*(1+0.06)^K474</f>
        <v>151486.90177758172</v>
      </c>
      <c r="S474" s="77">
        <f t="shared" si="80"/>
        <v>0.12490613830182111</v>
      </c>
    </row>
    <row r="475" spans="1:19" ht="15.5" x14ac:dyDescent="0.35">
      <c r="A475" s="3" t="s">
        <v>4485</v>
      </c>
      <c r="B475" s="16" t="s">
        <v>4486</v>
      </c>
      <c r="C475" s="17" t="s">
        <v>4488</v>
      </c>
      <c r="D475" s="17" t="str">
        <f t="shared" si="74"/>
        <v>30/07/75</v>
      </c>
      <c r="E475" s="3" t="s">
        <v>4489</v>
      </c>
      <c r="F475" s="6">
        <v>90323.118079999986</v>
      </c>
      <c r="G475" s="6">
        <f>IF(F475=0,$Y$3,F475)</f>
        <v>90323.118079999986</v>
      </c>
      <c r="H475" s="79">
        <f t="shared" si="71"/>
        <v>5</v>
      </c>
      <c r="I475">
        <f t="shared" si="72"/>
        <v>47</v>
      </c>
      <c r="J475">
        <f t="shared" si="73"/>
        <v>0</v>
      </c>
      <c r="K475">
        <f t="shared" si="75"/>
        <v>18</v>
      </c>
      <c r="L475" s="80">
        <f t="shared" si="76"/>
        <v>17</v>
      </c>
      <c r="M475" s="80">
        <f t="shared" si="77"/>
        <v>35</v>
      </c>
      <c r="N475">
        <f t="shared" si="78"/>
        <v>90323.118079999986</v>
      </c>
      <c r="O475" s="87">
        <f>(((1-((1+$W$11)/(1+$W$10))^(6*(J475+K475)))/($W$10-$W$11))*(1+$W$10)^(6*(J475+K475)))</f>
        <v>332.34551836663485</v>
      </c>
      <c r="P475" s="69">
        <f>N475*0.065*O475</f>
        <v>1951201.4274212436</v>
      </c>
      <c r="Q475" s="69">
        <f t="shared" si="79"/>
        <v>13008.009516141625</v>
      </c>
      <c r="R475" s="69">
        <f>G475*(1+0.06)^K475</f>
        <v>257812.81234891203</v>
      </c>
      <c r="S475" s="77">
        <f t="shared" si="80"/>
        <v>5.0455248510059232E-2</v>
      </c>
    </row>
    <row r="476" spans="1:19" ht="15.5" x14ac:dyDescent="0.35">
      <c r="A476" s="3" t="s">
        <v>4490</v>
      </c>
      <c r="B476" s="16" t="s">
        <v>4491</v>
      </c>
      <c r="C476" s="17" t="s">
        <v>4493</v>
      </c>
      <c r="D476" s="17" t="str">
        <f t="shared" si="74"/>
        <v>13/03/93</v>
      </c>
      <c r="E476" s="3" t="s">
        <v>4494</v>
      </c>
      <c r="F476" s="6">
        <v>7743.4879999999994</v>
      </c>
      <c r="G476" s="6">
        <f>IF(F476=0,$Y$3,F476)</f>
        <v>7743.4879999999994</v>
      </c>
      <c r="H476" s="79">
        <f t="shared" si="71"/>
        <v>12</v>
      </c>
      <c r="I476">
        <f t="shared" si="72"/>
        <v>29</v>
      </c>
      <c r="J476">
        <f t="shared" si="73"/>
        <v>0</v>
      </c>
      <c r="K476">
        <f t="shared" si="75"/>
        <v>36</v>
      </c>
      <c r="L476" s="80">
        <f t="shared" si="76"/>
        <v>10</v>
      </c>
      <c r="M476" s="80">
        <f t="shared" si="77"/>
        <v>46</v>
      </c>
      <c r="N476">
        <f t="shared" si="78"/>
        <v>7743.4879999999994</v>
      </c>
      <c r="O476" s="87">
        <f>(((1-((1+$W$11)/(1+$W$10))^(6*(J476+K476)))/($W$10-$W$11))*(1+$W$10)^(6*(J476+K476)))</f>
        <v>2071.9321695914473</v>
      </c>
      <c r="P476" s="69">
        <f>N476*0.065*O476</f>
        <v>1042858.8229829469</v>
      </c>
      <c r="Q476" s="69">
        <f t="shared" si="79"/>
        <v>6952.3921532196455</v>
      </c>
      <c r="R476" s="69">
        <f>G476*(1+0.06)^K476</f>
        <v>63088.148093822922</v>
      </c>
      <c r="S476" s="77">
        <f t="shared" si="80"/>
        <v>0.11020124006303439</v>
      </c>
    </row>
    <row r="477" spans="1:19" ht="15.5" x14ac:dyDescent="0.35">
      <c r="A477" s="3" t="s">
        <v>4495</v>
      </c>
      <c r="B477" s="16" t="s">
        <v>4496</v>
      </c>
      <c r="C477" s="17" t="s">
        <v>4498</v>
      </c>
      <c r="D477" s="17" t="str">
        <f t="shared" si="74"/>
        <v>23/06/97</v>
      </c>
      <c r="E477" s="3" t="s">
        <v>4499</v>
      </c>
      <c r="F477" s="6">
        <v>7880.2880000000005</v>
      </c>
      <c r="G477" s="6">
        <f>IF(F477=0,$Y$3,F477)</f>
        <v>7880.2880000000005</v>
      </c>
      <c r="H477" s="79">
        <f t="shared" si="71"/>
        <v>12</v>
      </c>
      <c r="I477">
        <f t="shared" si="72"/>
        <v>25</v>
      </c>
      <c r="J477">
        <f t="shared" si="73"/>
        <v>0</v>
      </c>
      <c r="K477">
        <f t="shared" si="75"/>
        <v>40</v>
      </c>
      <c r="L477" s="80">
        <f t="shared" si="76"/>
        <v>10</v>
      </c>
      <c r="M477" s="80">
        <f t="shared" si="77"/>
        <v>50</v>
      </c>
      <c r="N477">
        <f t="shared" si="78"/>
        <v>7880.2880000000005</v>
      </c>
      <c r="O477" s="87">
        <f>(((1-((1+$W$11)/(1+$W$10))^(6*(J477+K477)))/($W$10-$W$11))*(1+$W$10)^(6*(J477+K477)))</f>
        <v>2964.8060935111685</v>
      </c>
      <c r="P477" s="69">
        <f>N477*0.065*O477</f>
        <v>1518629.1822664912</v>
      </c>
      <c r="Q477" s="69">
        <f t="shared" si="79"/>
        <v>10124.194548443274</v>
      </c>
      <c r="R477" s="69">
        <f>G477*(1+0.06)^K477</f>
        <v>81054.419631318218</v>
      </c>
      <c r="S477" s="77">
        <f t="shared" si="80"/>
        <v>0.12490613830182107</v>
      </c>
    </row>
    <row r="478" spans="1:19" ht="15.5" x14ac:dyDescent="0.35">
      <c r="A478" s="3" t="s">
        <v>4500</v>
      </c>
      <c r="B478" s="16" t="s">
        <v>4501</v>
      </c>
      <c r="C478" s="17" t="s">
        <v>4503</v>
      </c>
      <c r="D478" s="17" t="str">
        <f t="shared" si="74"/>
        <v>11/11/98</v>
      </c>
      <c r="E478" s="3" t="s">
        <v>3952</v>
      </c>
      <c r="F478" s="6">
        <v>7077.12</v>
      </c>
      <c r="G478" s="6">
        <f>IF(F478=0,$Y$3,F478)</f>
        <v>7077.12</v>
      </c>
      <c r="H478" s="79">
        <f t="shared" si="71"/>
        <v>13</v>
      </c>
      <c r="I478">
        <f t="shared" si="72"/>
        <v>24</v>
      </c>
      <c r="J478">
        <f t="shared" si="73"/>
        <v>0</v>
      </c>
      <c r="K478">
        <f t="shared" si="75"/>
        <v>41</v>
      </c>
      <c r="L478" s="80">
        <f t="shared" si="76"/>
        <v>9</v>
      </c>
      <c r="M478" s="80">
        <f t="shared" si="77"/>
        <v>50</v>
      </c>
      <c r="N478">
        <f t="shared" si="78"/>
        <v>7077.12</v>
      </c>
      <c r="O478" s="87">
        <f>(((1-((1+$W$11)/(1+$W$10))^(6*(J478+K478)))/($W$10-$W$11))*(1+$W$10)^(6*(J478+K478)))</f>
        <v>3237.3816560572077</v>
      </c>
      <c r="P478" s="69">
        <f>N478*0.065*O478</f>
        <v>1489237.0002715131</v>
      </c>
      <c r="Q478" s="69">
        <f t="shared" si="79"/>
        <v>9928.2466684767551</v>
      </c>
      <c r="R478" s="69">
        <f>G478*(1+0.06)^K478</f>
        <v>77160.855734824203</v>
      </c>
      <c r="S478" s="77">
        <f t="shared" si="80"/>
        <v>0.12866947332202724</v>
      </c>
    </row>
    <row r="479" spans="1:19" ht="15.5" x14ac:dyDescent="0.35">
      <c r="A479" s="3" t="s">
        <v>4504</v>
      </c>
      <c r="B479" s="16" t="s">
        <v>4505</v>
      </c>
      <c r="C479" s="17" t="s">
        <v>4507</v>
      </c>
      <c r="D479" s="17" t="str">
        <f t="shared" si="74"/>
        <v>30/06/91</v>
      </c>
      <c r="E479" s="3" t="s">
        <v>4494</v>
      </c>
      <c r="F479" s="6">
        <v>10506.24</v>
      </c>
      <c r="G479" s="6">
        <f>IF(F479=0,$Y$3,F479)</f>
        <v>10506.24</v>
      </c>
      <c r="H479" s="79">
        <f t="shared" si="71"/>
        <v>16</v>
      </c>
      <c r="I479">
        <f t="shared" si="72"/>
        <v>31</v>
      </c>
      <c r="J479">
        <f t="shared" si="73"/>
        <v>0</v>
      </c>
      <c r="K479">
        <f t="shared" si="75"/>
        <v>34</v>
      </c>
      <c r="L479" s="80">
        <f t="shared" si="76"/>
        <v>6</v>
      </c>
      <c r="M479" s="80">
        <f t="shared" si="77"/>
        <v>40</v>
      </c>
      <c r="N479">
        <f t="shared" si="78"/>
        <v>10506.24</v>
      </c>
      <c r="O479" s="87">
        <f>(((1-((1+$W$11)/(1+$W$10))^(6*(J479+K479)))/($W$10-$W$11))*(1+$W$10)^(6*(J479+K479)))</f>
        <v>1724.4052908394829</v>
      </c>
      <c r="P479" s="69">
        <f>N479*0.065*O479</f>
        <v>1177606.0297839115</v>
      </c>
      <c r="Q479" s="69">
        <f t="shared" si="79"/>
        <v>7850.7068652260768</v>
      </c>
      <c r="R479" s="69">
        <f>G479*(1+0.06)^K479</f>
        <v>76181.011793267637</v>
      </c>
      <c r="S479" s="77">
        <f t="shared" si="80"/>
        <v>0.10305332891259747</v>
      </c>
    </row>
    <row r="480" spans="1:19" ht="15.5" x14ac:dyDescent="0.35">
      <c r="A480" s="3" t="s">
        <v>4508</v>
      </c>
      <c r="B480" s="16" t="s">
        <v>4509</v>
      </c>
      <c r="C480" s="17" t="s">
        <v>4511</v>
      </c>
      <c r="D480" s="17" t="str">
        <f t="shared" si="74"/>
        <v>19/01/79</v>
      </c>
      <c r="E480" s="3" t="s">
        <v>4494</v>
      </c>
      <c r="F480" s="6">
        <v>70347.728000000003</v>
      </c>
      <c r="G480" s="6">
        <f>IF(F480=0,$Y$3,F480)</f>
        <v>70347.728000000003</v>
      </c>
      <c r="H480" s="79">
        <f t="shared" si="71"/>
        <v>10</v>
      </c>
      <c r="I480">
        <f t="shared" si="72"/>
        <v>43</v>
      </c>
      <c r="J480">
        <f t="shared" si="73"/>
        <v>0</v>
      </c>
      <c r="K480">
        <f t="shared" si="75"/>
        <v>22</v>
      </c>
      <c r="L480" s="80">
        <f t="shared" si="76"/>
        <v>12</v>
      </c>
      <c r="M480" s="80">
        <f t="shared" si="77"/>
        <v>34</v>
      </c>
      <c r="N480">
        <f t="shared" si="78"/>
        <v>70347.728000000003</v>
      </c>
      <c r="O480" s="87">
        <f>(((1-((1+$W$11)/(1+$W$10))^(6*(J480+K480)))/($W$10-$W$11))*(1+$W$10)^(6*(J480+K480)))</f>
        <v>522.84674327146399</v>
      </c>
      <c r="P480" s="69">
        <f>N480*0.065*O480</f>
        <v>2390770.2312875404</v>
      </c>
      <c r="Q480" s="69">
        <f t="shared" si="79"/>
        <v>15938.468208583603</v>
      </c>
      <c r="R480" s="69">
        <f>G480*(1+0.06)^K480</f>
        <v>253500.67001927696</v>
      </c>
      <c r="S480" s="77">
        <f t="shared" si="80"/>
        <v>6.2873475669202747E-2</v>
      </c>
    </row>
    <row r="481" spans="1:19" ht="15.5" x14ac:dyDescent="0.35">
      <c r="A481" s="3" t="s">
        <v>4516</v>
      </c>
      <c r="B481" s="16" t="s">
        <v>4517</v>
      </c>
      <c r="C481" s="17" t="s">
        <v>4519</v>
      </c>
      <c r="D481" s="17" t="str">
        <f t="shared" si="74"/>
        <v>03/03/87</v>
      </c>
      <c r="E481" s="3" t="s">
        <v>4520</v>
      </c>
      <c r="F481" s="6">
        <v>11913.759999999998</v>
      </c>
      <c r="G481" s="6">
        <f>IF(F481=0,$Y$3,F481)</f>
        <v>11913.759999999998</v>
      </c>
      <c r="H481" s="79">
        <f t="shared" si="71"/>
        <v>13</v>
      </c>
      <c r="I481">
        <f t="shared" si="72"/>
        <v>35</v>
      </c>
      <c r="J481">
        <f t="shared" si="73"/>
        <v>0</v>
      </c>
      <c r="K481">
        <f t="shared" si="75"/>
        <v>30</v>
      </c>
      <c r="L481" s="80">
        <f t="shared" si="76"/>
        <v>9</v>
      </c>
      <c r="M481" s="80">
        <f t="shared" si="77"/>
        <v>39</v>
      </c>
      <c r="N481">
        <f t="shared" si="78"/>
        <v>11913.759999999998</v>
      </c>
      <c r="O481" s="87">
        <f>(((1-((1+$W$11)/(1+$W$10))^(6*(J481+K481)))/($W$10-$W$11))*(1+$W$10)^(6*(J481+K481)))</f>
        <v>1181.6655698699749</v>
      </c>
      <c r="P481" s="69">
        <f>N481*0.065*O481</f>
        <v>915075.19998011715</v>
      </c>
      <c r="Q481" s="69">
        <f t="shared" si="79"/>
        <v>6100.5013332007811</v>
      </c>
      <c r="R481" s="69">
        <f>G481*(1+0.06)^K481</f>
        <v>68426.575396207059</v>
      </c>
      <c r="S481" s="77">
        <f t="shared" si="80"/>
        <v>8.915397706048192E-2</v>
      </c>
    </row>
    <row r="482" spans="1:19" ht="15.5" x14ac:dyDescent="0.35">
      <c r="A482" s="3" t="s">
        <v>4521</v>
      </c>
      <c r="B482" s="16" t="s">
        <v>4522</v>
      </c>
      <c r="C482" s="17" t="s">
        <v>4524</v>
      </c>
      <c r="D482" s="17" t="str">
        <f t="shared" si="74"/>
        <v>01/03/96</v>
      </c>
      <c r="E482" s="3" t="s">
        <v>4520</v>
      </c>
      <c r="F482" s="6">
        <v>8328.08</v>
      </c>
      <c r="G482" s="6">
        <f>IF(F482=0,$Y$3,F482)</f>
        <v>8328.08</v>
      </c>
      <c r="H482" s="79">
        <f t="shared" si="71"/>
        <v>12</v>
      </c>
      <c r="I482">
        <f t="shared" si="72"/>
        <v>26</v>
      </c>
      <c r="J482">
        <f t="shared" si="73"/>
        <v>0</v>
      </c>
      <c r="K482">
        <f t="shared" si="75"/>
        <v>39</v>
      </c>
      <c r="L482" s="80">
        <f t="shared" si="76"/>
        <v>10</v>
      </c>
      <c r="M482" s="80">
        <f t="shared" si="77"/>
        <v>49</v>
      </c>
      <c r="N482">
        <f t="shared" si="78"/>
        <v>8328.08</v>
      </c>
      <c r="O482" s="87">
        <f>(((1-((1+$W$11)/(1+$W$10))^(6*(J482+K482)))/($W$10-$W$11))*(1+$W$10)^(6*(J482+K482)))</f>
        <v>2713.5031944291845</v>
      </c>
      <c r="P482" s="69">
        <f>N482*0.065*O482</f>
        <v>1468887.6594250172</v>
      </c>
      <c r="Q482" s="69">
        <f t="shared" si="79"/>
        <v>9792.5843961667815</v>
      </c>
      <c r="R482" s="69">
        <f>G482*(1+0.06)^K482</f>
        <v>80811.586639452566</v>
      </c>
      <c r="S482" s="77">
        <f t="shared" si="80"/>
        <v>0.12117797463694395</v>
      </c>
    </row>
    <row r="483" spans="1:19" ht="15.5" x14ac:dyDescent="0.35">
      <c r="A483" s="3" t="s">
        <v>4525</v>
      </c>
      <c r="B483" s="16" t="s">
        <v>4526</v>
      </c>
      <c r="C483" s="17" t="s">
        <v>4528</v>
      </c>
      <c r="D483" s="17" t="str">
        <f t="shared" si="74"/>
        <v>19/04/95</v>
      </c>
      <c r="E483" s="3" t="s">
        <v>4499</v>
      </c>
      <c r="F483" s="6">
        <v>7880.2880000000005</v>
      </c>
      <c r="G483" s="6">
        <f>IF(F483=0,$Y$3,F483)</f>
        <v>7880.2880000000005</v>
      </c>
      <c r="H483" s="79">
        <f t="shared" si="71"/>
        <v>11</v>
      </c>
      <c r="I483">
        <f t="shared" si="72"/>
        <v>27</v>
      </c>
      <c r="J483">
        <f t="shared" si="73"/>
        <v>0</v>
      </c>
      <c r="K483">
        <f t="shared" si="75"/>
        <v>38</v>
      </c>
      <c r="L483" s="80">
        <f t="shared" si="76"/>
        <v>11</v>
      </c>
      <c r="M483" s="80">
        <f t="shared" si="77"/>
        <v>49</v>
      </c>
      <c r="N483">
        <f t="shared" si="78"/>
        <v>7880.2880000000005</v>
      </c>
      <c r="O483" s="87">
        <f>(((1-((1+$W$11)/(1+$W$10))^(6*(J483+K483)))/($W$10-$W$11))*(1+$W$10)^(6*(J483+K483)))</f>
        <v>2481.8865373152853</v>
      </c>
      <c r="P483" s="69">
        <f>N483*0.065*O483</f>
        <v>1271268.7453288678</v>
      </c>
      <c r="Q483" s="69">
        <f t="shared" si="79"/>
        <v>8475.1249688591179</v>
      </c>
      <c r="R483" s="69">
        <f>G483*(1+0.06)^K483</f>
        <v>72138.14491929354</v>
      </c>
      <c r="S483" s="77">
        <f t="shared" si="80"/>
        <v>0.11748465362314055</v>
      </c>
    </row>
    <row r="484" spans="1:19" ht="15.5" x14ac:dyDescent="0.35">
      <c r="A484" s="3" t="s">
        <v>4529</v>
      </c>
      <c r="B484" s="16" t="s">
        <v>4530</v>
      </c>
      <c r="C484" s="17" t="s">
        <v>4532</v>
      </c>
      <c r="D484" s="17" t="str">
        <f t="shared" si="74"/>
        <v>26/03/94</v>
      </c>
      <c r="E484" s="3" t="s">
        <v>4533</v>
      </c>
      <c r="F484" s="6">
        <v>21182.719999999998</v>
      </c>
      <c r="G484" s="6">
        <f>IF(F484=0,$Y$3,F484)</f>
        <v>21182.719999999998</v>
      </c>
      <c r="H484" s="79">
        <f t="shared" si="71"/>
        <v>9</v>
      </c>
      <c r="I484">
        <f t="shared" si="72"/>
        <v>28</v>
      </c>
      <c r="J484">
        <f t="shared" si="73"/>
        <v>0</v>
      </c>
      <c r="K484">
        <f t="shared" si="75"/>
        <v>37</v>
      </c>
      <c r="L484" s="80">
        <f t="shared" si="76"/>
        <v>13</v>
      </c>
      <c r="M484" s="80">
        <f t="shared" si="77"/>
        <v>50</v>
      </c>
      <c r="N484">
        <f t="shared" si="78"/>
        <v>21182.719999999998</v>
      </c>
      <c r="O484" s="87">
        <f>(((1-((1+$W$11)/(1+$W$10))^(6*(J484+K484)))/($W$10-$W$11))*(1+$W$10)^(6*(J484+K484)))</f>
        <v>2268.4845089511282</v>
      </c>
      <c r="P484" s="69">
        <f>N484*0.065*O484</f>
        <v>3123423.6915342002</v>
      </c>
      <c r="Q484" s="69">
        <f t="shared" si="79"/>
        <v>20822.824610228003</v>
      </c>
      <c r="R484" s="69">
        <f>G484*(1+0.06)^K484</f>
        <v>182935.81535522285</v>
      </c>
      <c r="S484" s="77">
        <f t="shared" si="80"/>
        <v>0.11382584962815762</v>
      </c>
    </row>
    <row r="485" spans="1:19" ht="15.5" x14ac:dyDescent="0.35">
      <c r="A485" s="3" t="s">
        <v>4534</v>
      </c>
      <c r="B485" s="16" t="s">
        <v>4535</v>
      </c>
      <c r="C485" s="17" t="s">
        <v>4537</v>
      </c>
      <c r="D485" s="17" t="str">
        <f t="shared" si="74"/>
        <v>15/07/80</v>
      </c>
      <c r="E485" s="3" t="s">
        <v>4499</v>
      </c>
      <c r="F485" s="6">
        <v>11486.64</v>
      </c>
      <c r="G485" s="6">
        <f>IF(F485=0,$Y$3,F485)</f>
        <v>11486.64</v>
      </c>
      <c r="H485" s="79">
        <f t="shared" si="71"/>
        <v>99</v>
      </c>
      <c r="I485">
        <f t="shared" si="72"/>
        <v>42</v>
      </c>
      <c r="J485">
        <f t="shared" si="73"/>
        <v>0</v>
      </c>
      <c r="K485">
        <f t="shared" si="75"/>
        <v>23</v>
      </c>
      <c r="L485" s="80">
        <f t="shared" si="76"/>
        <v>23</v>
      </c>
      <c r="M485" s="80">
        <f t="shared" si="77"/>
        <v>46</v>
      </c>
      <c r="N485">
        <f t="shared" si="78"/>
        <v>11486.64</v>
      </c>
      <c r="O485" s="87">
        <f>(((1-((1+$W$11)/(1+$W$10))^(6*(J485+K485)))/($W$10-$W$11))*(1+$W$10)^(6*(J485+K485)))</f>
        <v>582.2320727785642</v>
      </c>
      <c r="P485" s="69">
        <f>N485*0.065*O485</f>
        <v>434712.8640699758</v>
      </c>
      <c r="Q485" s="69">
        <f t="shared" si="79"/>
        <v>2898.0857604665052</v>
      </c>
      <c r="R485" s="69">
        <f>G485*(1+0.06)^K485</f>
        <v>43876.089252611557</v>
      </c>
      <c r="S485" s="77">
        <f t="shared" si="80"/>
        <v>6.6051596890987899E-2</v>
      </c>
    </row>
    <row r="486" spans="1:19" ht="15.5" x14ac:dyDescent="0.35">
      <c r="A486" s="3" t="s">
        <v>4538</v>
      </c>
      <c r="B486" s="16" t="s">
        <v>4539</v>
      </c>
      <c r="C486" s="17" t="s">
        <v>4541</v>
      </c>
      <c r="D486" s="17" t="str">
        <f t="shared" si="74"/>
        <v>16/09/86</v>
      </c>
      <c r="E486" s="3" t="s">
        <v>4542</v>
      </c>
      <c r="F486" s="6">
        <v>13217.92</v>
      </c>
      <c r="G486" s="6">
        <f>IF(F486=0,$Y$3,F486)</f>
        <v>13217.92</v>
      </c>
      <c r="H486" s="79">
        <f t="shared" si="71"/>
        <v>11</v>
      </c>
      <c r="I486">
        <f t="shared" si="72"/>
        <v>36</v>
      </c>
      <c r="J486">
        <f t="shared" si="73"/>
        <v>0</v>
      </c>
      <c r="K486">
        <f t="shared" si="75"/>
        <v>29</v>
      </c>
      <c r="L486" s="80">
        <f t="shared" si="76"/>
        <v>11</v>
      </c>
      <c r="M486" s="80">
        <f t="shared" si="77"/>
        <v>40</v>
      </c>
      <c r="N486">
        <f t="shared" si="78"/>
        <v>13217.92</v>
      </c>
      <c r="O486" s="87">
        <f>(((1-((1+$W$11)/(1+$W$10))^(6*(J486+K486)))/($W$10-$W$11))*(1+$W$10)^(6*(J486+K486)))</f>
        <v>1072.3399666941964</v>
      </c>
      <c r="P486" s="69">
        <f>N486*0.065*O486</f>
        <v>921316.75301682588</v>
      </c>
      <c r="Q486" s="69">
        <f t="shared" si="79"/>
        <v>6142.1116867788396</v>
      </c>
      <c r="R486" s="69">
        <f>G486*(1+0.06)^K486</f>
        <v>71619.817777616627</v>
      </c>
      <c r="S486" s="77">
        <f t="shared" si="80"/>
        <v>8.5759945743654725E-2</v>
      </c>
    </row>
    <row r="487" spans="1:19" ht="15.5" x14ac:dyDescent="0.35">
      <c r="A487" s="3" t="s">
        <v>4543</v>
      </c>
      <c r="B487" s="16" t="s">
        <v>4544</v>
      </c>
      <c r="C487" s="17" t="s">
        <v>4546</v>
      </c>
      <c r="D487" s="17" t="str">
        <f t="shared" si="74"/>
        <v>01/09/90</v>
      </c>
      <c r="E487" s="3" t="s">
        <v>4547</v>
      </c>
      <c r="F487" s="6">
        <v>9063.4559999999983</v>
      </c>
      <c r="G487" s="6">
        <f>IF(F487=0,$Y$3,F487)</f>
        <v>9063.4559999999983</v>
      </c>
      <c r="H487" s="79">
        <f t="shared" si="71"/>
        <v>16</v>
      </c>
      <c r="I487">
        <f t="shared" si="72"/>
        <v>32</v>
      </c>
      <c r="J487">
        <f t="shared" si="73"/>
        <v>0</v>
      </c>
      <c r="K487">
        <f t="shared" si="75"/>
        <v>33</v>
      </c>
      <c r="L487" s="80">
        <f t="shared" si="76"/>
        <v>6</v>
      </c>
      <c r="M487" s="80">
        <f t="shared" si="77"/>
        <v>39</v>
      </c>
      <c r="N487">
        <f t="shared" si="78"/>
        <v>9063.4559999999983</v>
      </c>
      <c r="O487" s="87">
        <f>(((1-((1+$W$11)/(1+$W$10))^(6*(J487+K487)))/($W$10-$W$11))*(1+$W$10)^(6*(J487+K487)))</f>
        <v>1571.1687390454781</v>
      </c>
      <c r="P487" s="69">
        <f>N487*0.065*O487</f>
        <v>925614.21776942105</v>
      </c>
      <c r="Q487" s="69">
        <f t="shared" si="79"/>
        <v>6170.7614517961401</v>
      </c>
      <c r="R487" s="69">
        <f>G487*(1+0.06)^K487</f>
        <v>61999.38541678898</v>
      </c>
      <c r="S487" s="77">
        <f t="shared" si="80"/>
        <v>9.9529397111171092E-2</v>
      </c>
    </row>
    <row r="488" spans="1:19" ht="15.5" x14ac:dyDescent="0.35">
      <c r="A488" s="3" t="s">
        <v>4548</v>
      </c>
      <c r="B488" s="16" t="s">
        <v>4549</v>
      </c>
      <c r="C488" s="17" t="s">
        <v>4551</v>
      </c>
      <c r="D488" s="17" t="str">
        <f t="shared" si="74"/>
        <v>10/09/99</v>
      </c>
      <c r="E488" s="3" t="s">
        <v>4552</v>
      </c>
      <c r="F488" s="6">
        <v>6490.0959999999995</v>
      </c>
      <c r="G488" s="6">
        <f>IF(F488=0,$Y$3,F488)</f>
        <v>6490.0959999999995</v>
      </c>
      <c r="H488" s="79">
        <f t="shared" si="71"/>
        <v>14</v>
      </c>
      <c r="I488">
        <f t="shared" si="72"/>
        <v>23</v>
      </c>
      <c r="J488">
        <f t="shared" si="73"/>
        <v>0</v>
      </c>
      <c r="K488">
        <f t="shared" si="75"/>
        <v>42</v>
      </c>
      <c r="L488" s="80">
        <f t="shared" si="76"/>
        <v>8</v>
      </c>
      <c r="M488" s="80">
        <f t="shared" si="77"/>
        <v>50</v>
      </c>
      <c r="N488">
        <f t="shared" si="78"/>
        <v>6490.0959999999995</v>
      </c>
      <c r="O488" s="87">
        <f>(((1-((1+$W$11)/(1+$W$10))^(6*(J488+K488)))/($W$10-$W$11))*(1+$W$10)^(6*(J488+K488)))</f>
        <v>3532.9398561414855</v>
      </c>
      <c r="P488" s="69">
        <f>N488*0.065*O488</f>
        <v>1490392.7238579879</v>
      </c>
      <c r="Q488" s="69">
        <f t="shared" si="79"/>
        <v>9935.9514923865863</v>
      </c>
      <c r="R488" s="69">
        <f>G488*(1+0.06)^K488</f>
        <v>75006.251530400681</v>
      </c>
      <c r="S488" s="77">
        <f t="shared" si="80"/>
        <v>0.13246831150280133</v>
      </c>
    </row>
    <row r="489" spans="1:19" ht="15.5" x14ac:dyDescent="0.35">
      <c r="A489" s="3" t="s">
        <v>4553</v>
      </c>
      <c r="B489" s="16" t="s">
        <v>4554</v>
      </c>
      <c r="C489" s="17" t="s">
        <v>4556</v>
      </c>
      <c r="D489" s="17" t="str">
        <f t="shared" si="74"/>
        <v>01/02/96</v>
      </c>
      <c r="E489" s="3" t="s">
        <v>4552</v>
      </c>
      <c r="F489" s="6">
        <v>13217.92</v>
      </c>
      <c r="G489" s="6">
        <f>IF(F489=0,$Y$3,F489)</f>
        <v>13217.92</v>
      </c>
      <c r="H489" s="79">
        <f t="shared" si="71"/>
        <v>20</v>
      </c>
      <c r="I489">
        <f t="shared" si="72"/>
        <v>26</v>
      </c>
      <c r="J489">
        <f t="shared" si="73"/>
        <v>0</v>
      </c>
      <c r="K489">
        <f t="shared" si="75"/>
        <v>39</v>
      </c>
      <c r="L489" s="80">
        <f t="shared" si="76"/>
        <v>2</v>
      </c>
      <c r="M489" s="80">
        <f t="shared" si="77"/>
        <v>41</v>
      </c>
      <c r="N489">
        <f t="shared" si="78"/>
        <v>13217.92</v>
      </c>
      <c r="O489" s="87">
        <f>(((1-((1+$W$11)/(1+$W$10))^(6*(J489+K489)))/($W$10-$W$11))*(1+$W$10)^(6*(J489+K489)))</f>
        <v>2713.5031944291845</v>
      </c>
      <c r="P489" s="69">
        <f>N489*0.065*O489</f>
        <v>2331346.4293411113</v>
      </c>
      <c r="Q489" s="69">
        <f t="shared" si="79"/>
        <v>15542.309528940743</v>
      </c>
      <c r="R489" s="69">
        <f>G489*(1+0.06)^K489</f>
        <v>128260.18569386375</v>
      </c>
      <c r="S489" s="77">
        <f t="shared" si="80"/>
        <v>0.12117797463694395</v>
      </c>
    </row>
    <row r="490" spans="1:19" ht="15.5" x14ac:dyDescent="0.35">
      <c r="A490" s="3" t="s">
        <v>4557</v>
      </c>
      <c r="B490" s="16" t="s">
        <v>4558</v>
      </c>
      <c r="C490" s="17" t="s">
        <v>4384</v>
      </c>
      <c r="D490" s="17" t="str">
        <f t="shared" si="74"/>
        <v>11/02/98</v>
      </c>
      <c r="E490" s="3" t="s">
        <v>4552</v>
      </c>
      <c r="F490" s="6">
        <v>10424.159999999998</v>
      </c>
      <c r="G490" s="6">
        <f>IF(F490=0,$Y$3,F490)</f>
        <v>10424.159999999998</v>
      </c>
      <c r="H490" s="79">
        <f t="shared" si="71"/>
        <v>13</v>
      </c>
      <c r="I490">
        <f t="shared" si="72"/>
        <v>24</v>
      </c>
      <c r="J490">
        <f t="shared" si="73"/>
        <v>0</v>
      </c>
      <c r="K490">
        <f t="shared" si="75"/>
        <v>41</v>
      </c>
      <c r="L490" s="80">
        <f t="shared" si="76"/>
        <v>9</v>
      </c>
      <c r="M490" s="80">
        <f t="shared" si="77"/>
        <v>50</v>
      </c>
      <c r="N490">
        <f t="shared" si="78"/>
        <v>10424.159999999998</v>
      </c>
      <c r="O490" s="87">
        <f>(((1-((1+$W$11)/(1+$W$10))^(6*(J490+K490)))/($W$10-$W$11))*(1+$W$10)^(6*(J490+K490)))</f>
        <v>3237.3816560572077</v>
      </c>
      <c r="P490" s="69">
        <f>N490*0.065*O490</f>
        <v>2193553.9836473446</v>
      </c>
      <c r="Q490" s="69">
        <f t="shared" si="79"/>
        <v>14623.693224315632</v>
      </c>
      <c r="R490" s="69">
        <f>G490*(1+0.06)^K490</f>
        <v>113653.16766095883</v>
      </c>
      <c r="S490" s="77">
        <f t="shared" si="80"/>
        <v>0.12866947332202724</v>
      </c>
    </row>
    <row r="491" spans="1:19" ht="15.5" x14ac:dyDescent="0.35">
      <c r="A491" s="3" t="s">
        <v>4560</v>
      </c>
      <c r="B491" s="16" t="s">
        <v>4561</v>
      </c>
      <c r="C491" s="17" t="s">
        <v>4563</v>
      </c>
      <c r="D491" s="17" t="str">
        <f t="shared" si="74"/>
        <v>18/11/89</v>
      </c>
      <c r="E491" s="3" t="s">
        <v>4552</v>
      </c>
      <c r="F491" s="6">
        <v>5826.7679999999991</v>
      </c>
      <c r="G491" s="6">
        <f>IF(F491=0,$Y$3,F491)</f>
        <v>5826.7679999999991</v>
      </c>
      <c r="H491" s="79">
        <f t="shared" si="71"/>
        <v>8</v>
      </c>
      <c r="I491">
        <f t="shared" si="72"/>
        <v>33</v>
      </c>
      <c r="J491">
        <f t="shared" si="73"/>
        <v>0</v>
      </c>
      <c r="K491">
        <f t="shared" si="75"/>
        <v>32</v>
      </c>
      <c r="L491" s="80">
        <f t="shared" si="76"/>
        <v>14</v>
      </c>
      <c r="M491" s="80">
        <f t="shared" si="77"/>
        <v>46</v>
      </c>
      <c r="N491">
        <f t="shared" si="78"/>
        <v>5826.7679999999991</v>
      </c>
      <c r="O491" s="87">
        <f>(((1-((1+$W$11)/(1+$W$10))^(6*(J491+K491)))/($W$10-$W$11))*(1+$W$10)^(6*(J491+K491)))</f>
        <v>1430.2452154182549</v>
      </c>
      <c r="P491" s="69">
        <f>N491*0.065*O491</f>
        <v>541690.9584678926</v>
      </c>
      <c r="Q491" s="69">
        <f t="shared" si="79"/>
        <v>3611.2730564526173</v>
      </c>
      <c r="R491" s="69">
        <f>G491*(1+0.06)^K491</f>
        <v>37602.387009635662</v>
      </c>
      <c r="S491" s="77">
        <f t="shared" si="80"/>
        <v>9.603839925181408E-2</v>
      </c>
    </row>
    <row r="492" spans="1:19" ht="15.5" x14ac:dyDescent="0.35">
      <c r="A492" s="3" t="s">
        <v>4569</v>
      </c>
      <c r="B492" s="16" t="s">
        <v>4570</v>
      </c>
      <c r="C492" s="17" t="s">
        <v>4572</v>
      </c>
      <c r="D492" s="17" t="str">
        <f t="shared" si="74"/>
        <v>17/10/99</v>
      </c>
      <c r="E492" s="3" t="s">
        <v>4573</v>
      </c>
      <c r="F492" s="6">
        <v>16522.399999999998</v>
      </c>
      <c r="G492" s="6">
        <f>IF(F492=0,$Y$3,F492)</f>
        <v>16522.399999999998</v>
      </c>
      <c r="H492" s="79">
        <f t="shared" si="71"/>
        <v>16</v>
      </c>
      <c r="I492">
        <f t="shared" si="72"/>
        <v>23</v>
      </c>
      <c r="J492">
        <f t="shared" si="73"/>
        <v>0</v>
      </c>
      <c r="K492">
        <f t="shared" si="75"/>
        <v>42</v>
      </c>
      <c r="L492" s="80">
        <f t="shared" si="76"/>
        <v>6</v>
      </c>
      <c r="M492" s="80">
        <f t="shared" si="77"/>
        <v>48</v>
      </c>
      <c r="N492">
        <f t="shared" si="78"/>
        <v>16522.399999999998</v>
      </c>
      <c r="O492" s="87">
        <f>(((1-((1+$W$11)/(1+$W$10))^(6*(J492+K492)))/($W$10-$W$11))*(1+$W$10)^(6*(J492+K492)))</f>
        <v>3532.9398561414855</v>
      </c>
      <c r="P492" s="69">
        <f>N492*0.065*O492</f>
        <v>3794221.9561422849</v>
      </c>
      <c r="Q492" s="69">
        <f t="shared" si="79"/>
        <v>25294.813040948568</v>
      </c>
      <c r="R492" s="69">
        <f>G492*(1+0.06)^K492</f>
        <v>190949.9166554535</v>
      </c>
      <c r="S492" s="77">
        <f t="shared" si="80"/>
        <v>0.13246831150280133</v>
      </c>
    </row>
    <row r="493" spans="1:19" ht="15.5" x14ac:dyDescent="0.35">
      <c r="A493" s="3" t="s">
        <v>4574</v>
      </c>
      <c r="B493" s="16" t="s">
        <v>4575</v>
      </c>
      <c r="C493" s="17" t="s">
        <v>4577</v>
      </c>
      <c r="D493" s="17" t="str">
        <f t="shared" si="74"/>
        <v>29/06/94</v>
      </c>
      <c r="E493" s="3" t="s">
        <v>4578</v>
      </c>
      <c r="F493" s="6">
        <v>16522.399999999998</v>
      </c>
      <c r="G493" s="6">
        <f>IF(F493=0,$Y$3,F493)</f>
        <v>16522.399999999998</v>
      </c>
      <c r="H493" s="79">
        <f t="shared" si="71"/>
        <v>12</v>
      </c>
      <c r="I493">
        <f t="shared" si="72"/>
        <v>28</v>
      </c>
      <c r="J493">
        <f t="shared" si="73"/>
        <v>0</v>
      </c>
      <c r="K493">
        <f t="shared" si="75"/>
        <v>37</v>
      </c>
      <c r="L493" s="80">
        <f t="shared" si="76"/>
        <v>10</v>
      </c>
      <c r="M493" s="80">
        <f t="shared" si="77"/>
        <v>47</v>
      </c>
      <c r="N493">
        <f t="shared" si="78"/>
        <v>16522.399999999998</v>
      </c>
      <c r="O493" s="87">
        <f>(((1-((1+$W$11)/(1+$W$10))^(6*(J493+K493)))/($W$10-$W$11))*(1+$W$10)^(6*(J493+K493)))</f>
        <v>2268.4845089511282</v>
      </c>
      <c r="P493" s="69">
        <f>N493*0.065*O493</f>
        <v>2436252.5492951176</v>
      </c>
      <c r="Q493" s="69">
        <f t="shared" si="79"/>
        <v>16241.68366196745</v>
      </c>
      <c r="R493" s="69">
        <f>G493*(1+0.06)^K493</f>
        <v>142688.88582888004</v>
      </c>
      <c r="S493" s="77">
        <f t="shared" si="80"/>
        <v>0.11382584962815762</v>
      </c>
    </row>
    <row r="494" spans="1:19" ht="15.5" x14ac:dyDescent="0.35">
      <c r="A494" s="3" t="s">
        <v>4579</v>
      </c>
      <c r="B494" s="16" t="s">
        <v>4580</v>
      </c>
      <c r="C494" s="17" t="s">
        <v>4582</v>
      </c>
      <c r="D494" s="17" t="str">
        <f t="shared" si="74"/>
        <v>08/08/96</v>
      </c>
      <c r="E494" s="3" t="s">
        <v>4578</v>
      </c>
      <c r="F494" s="6">
        <v>8176.3839999999991</v>
      </c>
      <c r="G494" s="6">
        <f>IF(F494=0,$Y$3,F494)</f>
        <v>8176.3839999999991</v>
      </c>
      <c r="H494" s="79">
        <f t="shared" si="71"/>
        <v>16</v>
      </c>
      <c r="I494">
        <f t="shared" si="72"/>
        <v>26</v>
      </c>
      <c r="J494">
        <f t="shared" si="73"/>
        <v>0</v>
      </c>
      <c r="K494">
        <f t="shared" si="75"/>
        <v>39</v>
      </c>
      <c r="L494" s="80">
        <f t="shared" si="76"/>
        <v>6</v>
      </c>
      <c r="M494" s="80">
        <f t="shared" si="77"/>
        <v>45</v>
      </c>
      <c r="N494">
        <f t="shared" si="78"/>
        <v>8176.3839999999991</v>
      </c>
      <c r="O494" s="87">
        <f>(((1-((1+$W$11)/(1+$W$10))^(6*(J494+K494)))/($W$10-$W$11))*(1+$W$10)^(6*(J494+K494)))</f>
        <v>2713.5031944291845</v>
      </c>
      <c r="P494" s="69">
        <f>N494*0.065*O494</f>
        <v>1442131.8666871786</v>
      </c>
      <c r="Q494" s="69">
        <f t="shared" si="79"/>
        <v>9614.2124445811914</v>
      </c>
      <c r="R494" s="69">
        <f>G494*(1+0.06)^K494</f>
        <v>79339.60336757495</v>
      </c>
      <c r="S494" s="77">
        <f t="shared" si="80"/>
        <v>0.12117797463694396</v>
      </c>
    </row>
    <row r="495" spans="1:19" ht="15.5" x14ac:dyDescent="0.35">
      <c r="A495" s="3" t="s">
        <v>4583</v>
      </c>
      <c r="B495" s="16" t="s">
        <v>4584</v>
      </c>
      <c r="C495" s="17" t="s">
        <v>1222</v>
      </c>
      <c r="D495" s="17" t="str">
        <f t="shared" si="74"/>
        <v>22/04/84</v>
      </c>
      <c r="E495" s="3" t="s">
        <v>4578</v>
      </c>
      <c r="F495" s="6">
        <v>33045.103999999999</v>
      </c>
      <c r="G495" s="6">
        <f>IF(F495=0,$Y$3,F495)</f>
        <v>33045.103999999999</v>
      </c>
      <c r="H495" s="79">
        <f t="shared" si="71"/>
        <v>2</v>
      </c>
      <c r="I495">
        <f t="shared" si="72"/>
        <v>38</v>
      </c>
      <c r="J495">
        <f t="shared" si="73"/>
        <v>0</v>
      </c>
      <c r="K495">
        <f t="shared" si="75"/>
        <v>27</v>
      </c>
      <c r="L495" s="80">
        <f t="shared" si="76"/>
        <v>20</v>
      </c>
      <c r="M495" s="80">
        <f t="shared" si="77"/>
        <v>47</v>
      </c>
      <c r="N495">
        <f t="shared" si="78"/>
        <v>33045.103999999999</v>
      </c>
      <c r="O495" s="87">
        <f>(((1-((1+$W$11)/(1+$W$10))^(6*(J495+K495)))/($W$10-$W$11))*(1+$W$10)^(6*(J495+K495)))</f>
        <v>879.8935468544031</v>
      </c>
      <c r="P495" s="69">
        <f>N495*0.065*O495</f>
        <v>1889951.2947076205</v>
      </c>
      <c r="Q495" s="69">
        <f t="shared" si="79"/>
        <v>12599.675298050803</v>
      </c>
      <c r="R495" s="69">
        <f>G495*(1+0.06)^K495</f>
        <v>159354.92313453439</v>
      </c>
      <c r="S495" s="77">
        <f t="shared" si="80"/>
        <v>7.9066746418707173E-2</v>
      </c>
    </row>
    <row r="496" spans="1:19" ht="15.5" x14ac:dyDescent="0.35">
      <c r="A496" s="3" t="s">
        <v>4586</v>
      </c>
      <c r="B496" s="16" t="s">
        <v>4587</v>
      </c>
      <c r="C496" s="17" t="s">
        <v>1600</v>
      </c>
      <c r="D496" s="17" t="str">
        <f t="shared" si="74"/>
        <v>05/01/00</v>
      </c>
      <c r="E496" s="3" t="s">
        <v>4578</v>
      </c>
      <c r="F496" s="6">
        <v>7518.5279999999993</v>
      </c>
      <c r="G496" s="6">
        <f>IF(F496=0,$Y$3,F496)</f>
        <v>7518.5279999999993</v>
      </c>
      <c r="H496" s="79">
        <f t="shared" si="71"/>
        <v>13</v>
      </c>
      <c r="I496">
        <f t="shared" si="72"/>
        <v>22</v>
      </c>
      <c r="J496">
        <f t="shared" si="73"/>
        <v>0</v>
      </c>
      <c r="K496">
        <f t="shared" si="75"/>
        <v>43</v>
      </c>
      <c r="L496" s="80">
        <f t="shared" si="76"/>
        <v>9</v>
      </c>
      <c r="M496" s="80">
        <f t="shared" si="77"/>
        <v>52</v>
      </c>
      <c r="N496">
        <f t="shared" si="78"/>
        <v>7518.5279999999993</v>
      </c>
      <c r="O496" s="87">
        <f>(((1-((1+$W$11)/(1+$W$10))^(6*(J496+K496)))/($W$10-$W$11))*(1+$W$10)^(6*(J496+K496)))</f>
        <v>3853.3236192812783</v>
      </c>
      <c r="P496" s="69">
        <f>N496*0.065*O496</f>
        <v>1883135.8991007961</v>
      </c>
      <c r="Q496" s="69">
        <f t="shared" si="79"/>
        <v>12554.239327338641</v>
      </c>
      <c r="R496" s="69">
        <f>G496*(1+0.06)^K496</f>
        <v>92105.386182999762</v>
      </c>
      <c r="S496" s="77">
        <f t="shared" si="80"/>
        <v>0.13630298777962047</v>
      </c>
    </row>
    <row r="497" spans="1:19" ht="15.5" x14ac:dyDescent="0.35">
      <c r="A497" s="3" t="s">
        <v>4594</v>
      </c>
      <c r="B497" s="16" t="s">
        <v>4595</v>
      </c>
      <c r="C497" s="17" t="s">
        <v>4597</v>
      </c>
      <c r="D497" s="17" t="str">
        <f t="shared" si="74"/>
        <v>31/05/94</v>
      </c>
      <c r="E497" s="3" t="s">
        <v>4593</v>
      </c>
      <c r="F497" s="6">
        <v>45161.631999999998</v>
      </c>
      <c r="G497" s="6">
        <f>IF(F497=0,$Y$3,F497)</f>
        <v>45161.631999999998</v>
      </c>
      <c r="H497" s="79">
        <f t="shared" si="71"/>
        <v>11</v>
      </c>
      <c r="I497">
        <f t="shared" si="72"/>
        <v>28</v>
      </c>
      <c r="J497">
        <f t="shared" si="73"/>
        <v>0</v>
      </c>
      <c r="K497">
        <f t="shared" si="75"/>
        <v>37</v>
      </c>
      <c r="L497" s="80">
        <f t="shared" si="76"/>
        <v>11</v>
      </c>
      <c r="M497" s="80">
        <f t="shared" si="77"/>
        <v>48</v>
      </c>
      <c r="N497">
        <f t="shared" si="78"/>
        <v>45161.631999999998</v>
      </c>
      <c r="O497" s="87">
        <f>(((1-((1+$W$11)/(1+$W$10))^(6*(J497+K497)))/($W$10-$W$11))*(1+$W$10)^(6*(J497+K497)))</f>
        <v>2268.4845089511282</v>
      </c>
      <c r="P497" s="69">
        <f>N497*0.065*O497</f>
        <v>6659150.0684118513</v>
      </c>
      <c r="Q497" s="69">
        <f t="shared" si="79"/>
        <v>44394.33378941234</v>
      </c>
      <c r="R497" s="69">
        <f>G497*(1+0.06)^K497</f>
        <v>390019.78842625138</v>
      </c>
      <c r="S497" s="77">
        <f t="shared" si="80"/>
        <v>0.11382584962815762</v>
      </c>
    </row>
    <row r="498" spans="1:19" ht="15.5" x14ac:dyDescent="0.35">
      <c r="A498" s="3" t="s">
        <v>4598</v>
      </c>
      <c r="B498" s="16" t="s">
        <v>4599</v>
      </c>
      <c r="C498" s="17" t="s">
        <v>4601</v>
      </c>
      <c r="D498" s="17" t="str">
        <f t="shared" si="74"/>
        <v>07/12/97</v>
      </c>
      <c r="E498" s="3" t="s">
        <v>4602</v>
      </c>
      <c r="F498" s="6">
        <v>9913.44</v>
      </c>
      <c r="G498" s="6">
        <f>IF(F498=0,$Y$3,F498)</f>
        <v>9913.44</v>
      </c>
      <c r="H498" s="79">
        <f t="shared" si="71"/>
        <v>14</v>
      </c>
      <c r="I498">
        <f t="shared" si="72"/>
        <v>25</v>
      </c>
      <c r="J498">
        <f t="shared" si="73"/>
        <v>0</v>
      </c>
      <c r="K498">
        <f t="shared" si="75"/>
        <v>40</v>
      </c>
      <c r="L498" s="80">
        <f t="shared" si="76"/>
        <v>8</v>
      </c>
      <c r="M498" s="80">
        <f t="shared" si="77"/>
        <v>48</v>
      </c>
      <c r="N498">
        <f t="shared" si="78"/>
        <v>9913.44</v>
      </c>
      <c r="O498" s="87">
        <f>(((1-((1+$W$11)/(1+$W$10))^(6*(J498+K498)))/($W$10-$W$11))*(1+$W$10)^(6*(J498+K498)))</f>
        <v>2964.8060935111685</v>
      </c>
      <c r="P498" s="69">
        <f>N498*0.065*O498</f>
        <v>1910442.7757777283</v>
      </c>
      <c r="Q498" s="69">
        <f t="shared" si="79"/>
        <v>12736.285171851521</v>
      </c>
      <c r="R498" s="69">
        <f>G498*(1+0.06)^K498</f>
        <v>101966.84762662167</v>
      </c>
      <c r="S498" s="77">
        <f t="shared" si="80"/>
        <v>0.12490613830182105</v>
      </c>
    </row>
    <row r="499" spans="1:19" ht="15.5" x14ac:dyDescent="0.35">
      <c r="A499" s="3" t="s">
        <v>4603</v>
      </c>
      <c r="B499" s="16" t="s">
        <v>4604</v>
      </c>
      <c r="C499" s="17" t="s">
        <v>4606</v>
      </c>
      <c r="D499" s="17" t="str">
        <f t="shared" si="74"/>
        <v>09/06/77</v>
      </c>
      <c r="E499" s="3" t="s">
        <v>4607</v>
      </c>
      <c r="F499" s="6">
        <v>9062.848</v>
      </c>
      <c r="G499" s="6">
        <f>IF(F499=0,$Y$3,F499)</f>
        <v>9062.848</v>
      </c>
      <c r="H499" s="79">
        <f t="shared" si="71"/>
        <v>99</v>
      </c>
      <c r="I499">
        <f t="shared" si="72"/>
        <v>45</v>
      </c>
      <c r="J499">
        <f t="shared" si="73"/>
        <v>0</v>
      </c>
      <c r="K499">
        <f t="shared" si="75"/>
        <v>20</v>
      </c>
      <c r="L499" s="80">
        <f t="shared" si="76"/>
        <v>23</v>
      </c>
      <c r="M499" s="80">
        <f t="shared" si="77"/>
        <v>43</v>
      </c>
      <c r="N499">
        <f t="shared" si="78"/>
        <v>9062.848</v>
      </c>
      <c r="O499" s="87">
        <f>(((1-((1+$W$11)/(1+$W$10))^(6*(J499+K499)))/($W$10-$W$11))*(1+$W$10)^(6*(J499+K499)))</f>
        <v>418.94609738113263</v>
      </c>
      <c r="P499" s="69">
        <f>N499*0.065*O499</f>
        <v>246794.9120492962</v>
      </c>
      <c r="Q499" s="69">
        <f t="shared" si="79"/>
        <v>1645.2994136619745</v>
      </c>
      <c r="R499" s="69">
        <f>G499*(1+0.06)^K499</f>
        <v>29065.781300073264</v>
      </c>
      <c r="S499" s="77">
        <f t="shared" si="80"/>
        <v>5.6606061838696466E-2</v>
      </c>
    </row>
    <row r="500" spans="1:19" ht="15.5" x14ac:dyDescent="0.35">
      <c r="A500" s="3" t="s">
        <v>4608</v>
      </c>
      <c r="B500" s="16" t="s">
        <v>4609</v>
      </c>
      <c r="C500" s="17" t="s">
        <v>4611</v>
      </c>
      <c r="D500" s="17" t="str">
        <f t="shared" si="74"/>
        <v>20/03/98</v>
      </c>
      <c r="E500" s="3" t="s">
        <v>4607</v>
      </c>
      <c r="F500" s="6">
        <v>9553.1999999999989</v>
      </c>
      <c r="G500" s="6">
        <f>IF(F500=0,$Y$3,F500)</f>
        <v>9553.1999999999989</v>
      </c>
      <c r="H500" s="79">
        <f t="shared" si="71"/>
        <v>17</v>
      </c>
      <c r="I500">
        <f t="shared" si="72"/>
        <v>24</v>
      </c>
      <c r="J500">
        <f t="shared" si="73"/>
        <v>0</v>
      </c>
      <c r="K500">
        <f t="shared" si="75"/>
        <v>41</v>
      </c>
      <c r="L500" s="80">
        <f t="shared" si="76"/>
        <v>5</v>
      </c>
      <c r="M500" s="80">
        <f t="shared" si="77"/>
        <v>46</v>
      </c>
      <c r="N500">
        <f t="shared" si="78"/>
        <v>9553.1999999999989</v>
      </c>
      <c r="O500" s="87">
        <f>(((1-((1+$W$11)/(1+$W$10))^(6*(J500+K500)))/($W$10-$W$11))*(1+$W$10)^(6*(J500+K500)))</f>
        <v>3237.3816560572077</v>
      </c>
      <c r="P500" s="69">
        <f>N500*0.065*O500</f>
        <v>2010278.0383819714</v>
      </c>
      <c r="Q500" s="69">
        <f t="shared" si="79"/>
        <v>13401.853589213142</v>
      </c>
      <c r="R500" s="69">
        <f>G500*(1+0.06)^K500</f>
        <v>104157.21183276849</v>
      </c>
      <c r="S500" s="77">
        <f t="shared" si="80"/>
        <v>0.12866947332202722</v>
      </c>
    </row>
    <row r="501" spans="1:19" ht="15.5" x14ac:dyDescent="0.35">
      <c r="A501" s="3" t="s">
        <v>4612</v>
      </c>
      <c r="B501" s="16" t="s">
        <v>4613</v>
      </c>
      <c r="C501" s="17" t="s">
        <v>4615</v>
      </c>
      <c r="D501" s="17" t="str">
        <f t="shared" si="74"/>
        <v>06/12/84</v>
      </c>
      <c r="E501" s="3" t="s">
        <v>4616</v>
      </c>
      <c r="F501" s="6">
        <v>27537.536</v>
      </c>
      <c r="G501" s="6">
        <f>IF(F501=0,$Y$3,F501)</f>
        <v>27537.536</v>
      </c>
      <c r="H501" s="79">
        <f t="shared" si="71"/>
        <v>3</v>
      </c>
      <c r="I501">
        <f t="shared" si="72"/>
        <v>38</v>
      </c>
      <c r="J501">
        <f t="shared" si="73"/>
        <v>0</v>
      </c>
      <c r="K501">
        <f t="shared" si="75"/>
        <v>27</v>
      </c>
      <c r="L501" s="80">
        <f t="shared" si="76"/>
        <v>19</v>
      </c>
      <c r="M501" s="80">
        <f t="shared" si="77"/>
        <v>46</v>
      </c>
      <c r="N501">
        <f t="shared" si="78"/>
        <v>27537.536</v>
      </c>
      <c r="O501" s="87">
        <f>(((1-((1+$W$11)/(1+$W$10))^(6*(J501+K501)))/($W$10-$W$11))*(1+$W$10)^(6*(J501+K501)))</f>
        <v>879.8935468544031</v>
      </c>
      <c r="P501" s="69">
        <f>N501*0.065*O501</f>
        <v>1574956.5144736029</v>
      </c>
      <c r="Q501" s="69">
        <f t="shared" si="79"/>
        <v>10499.710096490686</v>
      </c>
      <c r="R501" s="69">
        <f>G501*(1+0.06)^K501</f>
        <v>132795.52494658434</v>
      </c>
      <c r="S501" s="77">
        <f t="shared" si="80"/>
        <v>7.9066746418707173E-2</v>
      </c>
    </row>
    <row r="502" spans="1:19" ht="15.5" x14ac:dyDescent="0.35">
      <c r="A502" s="3" t="s">
        <v>4617</v>
      </c>
      <c r="B502" s="16" t="s">
        <v>4618</v>
      </c>
      <c r="C502" s="17" t="s">
        <v>4620</v>
      </c>
      <c r="D502" s="17" t="str">
        <f t="shared" si="74"/>
        <v>05/01/97</v>
      </c>
      <c r="E502" s="3" t="s">
        <v>4607</v>
      </c>
      <c r="F502" s="6">
        <v>5255.2479999999996</v>
      </c>
      <c r="G502" s="6">
        <f>IF(F502=0,$Y$3,F502)</f>
        <v>5255.2479999999996</v>
      </c>
      <c r="H502" s="79">
        <f t="shared" si="71"/>
        <v>15</v>
      </c>
      <c r="I502">
        <f t="shared" si="72"/>
        <v>25</v>
      </c>
      <c r="J502">
        <f t="shared" si="73"/>
        <v>0</v>
      </c>
      <c r="K502">
        <f t="shared" si="75"/>
        <v>40</v>
      </c>
      <c r="L502" s="80">
        <f t="shared" si="76"/>
        <v>7</v>
      </c>
      <c r="M502" s="80">
        <f t="shared" si="77"/>
        <v>47</v>
      </c>
      <c r="N502">
        <f t="shared" si="78"/>
        <v>5255.2479999999996</v>
      </c>
      <c r="O502" s="87">
        <f>(((1-((1+$W$11)/(1+$W$10))^(6*(J502+K502)))/($W$10-$W$11))*(1+$W$10)^(6*(J502+K502)))</f>
        <v>2964.8060935111685</v>
      </c>
      <c r="P502" s="69">
        <f>N502*0.065*O502</f>
        <v>1012751.4340653047</v>
      </c>
      <c r="Q502" s="69">
        <f t="shared" si="79"/>
        <v>6751.6762271020316</v>
      </c>
      <c r="R502" s="69">
        <f>G502*(1+0.06)^K502</f>
        <v>54053.998617645157</v>
      </c>
      <c r="S502" s="77">
        <f t="shared" si="80"/>
        <v>0.12490613830182108</v>
      </c>
    </row>
    <row r="503" spans="1:19" ht="15.5" x14ac:dyDescent="0.35">
      <c r="A503" s="3" t="s">
        <v>4621</v>
      </c>
      <c r="B503" s="16" t="s">
        <v>4622</v>
      </c>
      <c r="C503" s="17" t="s">
        <v>4624</v>
      </c>
      <c r="D503" s="17" t="str">
        <f t="shared" si="74"/>
        <v>20/07/96</v>
      </c>
      <c r="E503" s="3" t="s">
        <v>4625</v>
      </c>
      <c r="F503" s="6">
        <v>5826.7679999999991</v>
      </c>
      <c r="G503" s="6">
        <f>IF(F503=0,$Y$3,F503)</f>
        <v>5826.7679999999991</v>
      </c>
      <c r="H503" s="79">
        <f t="shared" si="71"/>
        <v>17</v>
      </c>
      <c r="I503">
        <f t="shared" si="72"/>
        <v>26</v>
      </c>
      <c r="J503">
        <f t="shared" si="73"/>
        <v>0</v>
      </c>
      <c r="K503">
        <f t="shared" si="75"/>
        <v>39</v>
      </c>
      <c r="L503" s="80">
        <f t="shared" si="76"/>
        <v>5</v>
      </c>
      <c r="M503" s="80">
        <f t="shared" si="77"/>
        <v>44</v>
      </c>
      <c r="N503">
        <f t="shared" si="78"/>
        <v>5826.7679999999991</v>
      </c>
      <c r="O503" s="87">
        <f>(((1-((1+$W$11)/(1+$W$10))^(6*(J503+K503)))/($W$10-$W$11))*(1+$W$10)^(6*(J503+K503)))</f>
        <v>2713.5031944291845</v>
      </c>
      <c r="P503" s="69">
        <f>N503*0.065*O503</f>
        <v>1027711.9827778537</v>
      </c>
      <c r="Q503" s="69">
        <f t="shared" si="79"/>
        <v>6851.4132185190247</v>
      </c>
      <c r="R503" s="69">
        <f>G503*(1+0.06)^K503</f>
        <v>56540.086917991859</v>
      </c>
      <c r="S503" s="77">
        <f t="shared" si="80"/>
        <v>0.12117797463694396</v>
      </c>
    </row>
    <row r="504" spans="1:19" ht="15.5" x14ac:dyDescent="0.35">
      <c r="A504" s="3" t="s">
        <v>4626</v>
      </c>
      <c r="B504" s="16" t="s">
        <v>4627</v>
      </c>
      <c r="C504" s="17" t="s">
        <v>4629</v>
      </c>
      <c r="D504" s="17" t="str">
        <f t="shared" si="74"/>
        <v>06/05/02</v>
      </c>
      <c r="E504" s="3" t="s">
        <v>4625</v>
      </c>
      <c r="F504" s="6">
        <v>8408.3359999999993</v>
      </c>
      <c r="G504" s="6">
        <f>IF(F504=0,$Y$3,F504)</f>
        <v>8408.3359999999993</v>
      </c>
      <c r="H504" s="79">
        <f t="shared" si="71"/>
        <v>17</v>
      </c>
      <c r="I504">
        <f t="shared" si="72"/>
        <v>20</v>
      </c>
      <c r="J504">
        <f t="shared" si="73"/>
        <v>0</v>
      </c>
      <c r="K504">
        <f t="shared" si="75"/>
        <v>45</v>
      </c>
      <c r="L504" s="80">
        <f t="shared" si="76"/>
        <v>5</v>
      </c>
      <c r="M504" s="80">
        <f t="shared" si="77"/>
        <v>50</v>
      </c>
      <c r="N504">
        <f t="shared" si="78"/>
        <v>8408.3359999999993</v>
      </c>
      <c r="O504" s="87">
        <f>(((1-((1+$W$11)/(1+$W$10))^(6*(J504+K504)))/($W$10-$W$11))*(1+$W$10)^(6*(J504+K504)))</f>
        <v>4576.6656596284247</v>
      </c>
      <c r="P504" s="69">
        <f>N504*0.065*O504</f>
        <v>2501339.2706781328</v>
      </c>
      <c r="Q504" s="69">
        <f t="shared" si="79"/>
        <v>16675.59513785422</v>
      </c>
      <c r="R504" s="69">
        <f>G504*(1+0.06)^K504</f>
        <v>115737.4727463622</v>
      </c>
      <c r="S504" s="77">
        <f t="shared" si="80"/>
        <v>0.14408121019195452</v>
      </c>
    </row>
    <row r="505" spans="1:19" ht="15.5" x14ac:dyDescent="0.35">
      <c r="A505" s="3" t="s">
        <v>4634</v>
      </c>
      <c r="B505" s="16" t="s">
        <v>4635</v>
      </c>
      <c r="C505" s="17" t="s">
        <v>4637</v>
      </c>
      <c r="D505" s="17" t="str">
        <f t="shared" si="74"/>
        <v>02/05/94</v>
      </c>
      <c r="E505" s="3" t="s">
        <v>4625</v>
      </c>
      <c r="F505" s="6">
        <v>9532.2240000000002</v>
      </c>
      <c r="G505" s="6">
        <f>IF(F505=0,$Y$3,F505)</f>
        <v>9532.2240000000002</v>
      </c>
      <c r="H505" s="79">
        <f t="shared" si="71"/>
        <v>16</v>
      </c>
      <c r="I505">
        <f t="shared" si="72"/>
        <v>28</v>
      </c>
      <c r="J505">
        <f t="shared" si="73"/>
        <v>0</v>
      </c>
      <c r="K505">
        <f t="shared" si="75"/>
        <v>37</v>
      </c>
      <c r="L505" s="80">
        <f t="shared" si="76"/>
        <v>6</v>
      </c>
      <c r="M505" s="80">
        <f t="shared" si="77"/>
        <v>43</v>
      </c>
      <c r="N505">
        <f t="shared" si="78"/>
        <v>9532.2240000000002</v>
      </c>
      <c r="O505" s="87">
        <f>(((1-((1+$W$11)/(1+$W$10))^(6*(J505+K505)))/($W$10-$W$11))*(1+$W$10)^(6*(J505+K505)))</f>
        <v>2268.4845089511282</v>
      </c>
      <c r="P505" s="69">
        <f>N505*0.065*O505</f>
        <v>1405540.6611903904</v>
      </c>
      <c r="Q505" s="69">
        <f t="shared" si="79"/>
        <v>9370.2710746026023</v>
      </c>
      <c r="R505" s="69">
        <f>G505*(1+0.06)^K505</f>
        <v>82321.116909850287</v>
      </c>
      <c r="S505" s="77">
        <f t="shared" si="80"/>
        <v>0.11382584962815762</v>
      </c>
    </row>
    <row r="506" spans="1:19" ht="15.5" x14ac:dyDescent="0.35">
      <c r="A506" s="3" t="s">
        <v>4638</v>
      </c>
      <c r="B506" s="16" t="s">
        <v>4639</v>
      </c>
      <c r="C506" s="17" t="s">
        <v>4641</v>
      </c>
      <c r="D506" s="17" t="str">
        <f t="shared" si="74"/>
        <v>24/10/97</v>
      </c>
      <c r="E506" s="3" t="s">
        <v>4642</v>
      </c>
      <c r="F506" s="6">
        <v>16734.896000000001</v>
      </c>
      <c r="G506" s="6">
        <f>IF(F506=0,$Y$3,F506)</f>
        <v>16734.896000000001</v>
      </c>
      <c r="H506" s="79">
        <f t="shared" si="71"/>
        <v>12</v>
      </c>
      <c r="I506">
        <f t="shared" si="72"/>
        <v>25</v>
      </c>
      <c r="J506">
        <f t="shared" si="73"/>
        <v>0</v>
      </c>
      <c r="K506">
        <f t="shared" si="75"/>
        <v>40</v>
      </c>
      <c r="L506" s="80">
        <f t="shared" si="76"/>
        <v>10</v>
      </c>
      <c r="M506" s="80">
        <f t="shared" si="77"/>
        <v>50</v>
      </c>
      <c r="N506">
        <f t="shared" si="78"/>
        <v>16734.896000000001</v>
      </c>
      <c r="O506" s="87">
        <f>(((1-((1+$W$11)/(1+$W$10))^(6*(J506+K506)))/($W$10-$W$11))*(1+$W$10)^(6*(J506+K506)))</f>
        <v>2964.8060935111685</v>
      </c>
      <c r="P506" s="69">
        <f>N506*0.065*O506</f>
        <v>3225021.9062799197</v>
      </c>
      <c r="Q506" s="69">
        <f t="shared" si="79"/>
        <v>21500.14604186613</v>
      </c>
      <c r="R506" s="69">
        <f>G506*(1+0.06)^K506</f>
        <v>172130.41996313696</v>
      </c>
      <c r="S506" s="77">
        <f t="shared" si="80"/>
        <v>0.12490613830182108</v>
      </c>
    </row>
    <row r="507" spans="1:19" ht="15.5" x14ac:dyDescent="0.35">
      <c r="A507" s="3" t="s">
        <v>4643</v>
      </c>
      <c r="B507" s="16" t="s">
        <v>4644</v>
      </c>
      <c r="C507" s="17" t="s">
        <v>4646</v>
      </c>
      <c r="D507" s="17" t="str">
        <f t="shared" si="74"/>
        <v>20/12/91</v>
      </c>
      <c r="E507" s="3" t="s">
        <v>4642</v>
      </c>
      <c r="F507" s="6">
        <v>10494.992</v>
      </c>
      <c r="G507" s="6">
        <f>IF(F507=0,$Y$3,F507)</f>
        <v>10494.992</v>
      </c>
      <c r="H507" s="79">
        <f t="shared" si="71"/>
        <v>10</v>
      </c>
      <c r="I507">
        <f t="shared" si="72"/>
        <v>31</v>
      </c>
      <c r="J507">
        <f t="shared" si="73"/>
        <v>0</v>
      </c>
      <c r="K507">
        <f t="shared" si="75"/>
        <v>34</v>
      </c>
      <c r="L507" s="80">
        <f t="shared" si="76"/>
        <v>12</v>
      </c>
      <c r="M507" s="80">
        <f t="shared" si="77"/>
        <v>46</v>
      </c>
      <c r="N507">
        <f t="shared" si="78"/>
        <v>10494.992</v>
      </c>
      <c r="O507" s="87">
        <f>(((1-((1+$W$11)/(1+$W$10))^(6*(J507+K507)))/($W$10-$W$11))*(1+$W$10)^(6*(J507+K507)))</f>
        <v>1724.4052908394829</v>
      </c>
      <c r="P507" s="69">
        <f>N507*0.065*O507</f>
        <v>1176345.282587673</v>
      </c>
      <c r="Q507" s="69">
        <f t="shared" si="79"/>
        <v>7842.3018839178203</v>
      </c>
      <c r="R507" s="69">
        <f>G507*(1+0.06)^K507</f>
        <v>76099.452260965816</v>
      </c>
      <c r="S507" s="77">
        <f t="shared" si="80"/>
        <v>0.10305332891259748</v>
      </c>
    </row>
    <row r="508" spans="1:19" ht="15.5" x14ac:dyDescent="0.35">
      <c r="A508" s="3" t="s">
        <v>4647</v>
      </c>
      <c r="B508" s="16" t="s">
        <v>4648</v>
      </c>
      <c r="C508" s="17" t="s">
        <v>4650</v>
      </c>
      <c r="D508" s="17" t="str">
        <f t="shared" si="74"/>
        <v>20/08/84</v>
      </c>
      <c r="E508" s="3" t="s">
        <v>4385</v>
      </c>
      <c r="F508" s="6">
        <v>11913.759999999998</v>
      </c>
      <c r="G508" s="6">
        <f>IF(F508=0,$Y$3,F508)</f>
        <v>11913.759999999998</v>
      </c>
      <c r="H508" s="79">
        <f t="shared" si="71"/>
        <v>8</v>
      </c>
      <c r="I508">
        <f t="shared" si="72"/>
        <v>38</v>
      </c>
      <c r="J508">
        <f t="shared" si="73"/>
        <v>0</v>
      </c>
      <c r="K508">
        <f t="shared" si="75"/>
        <v>27</v>
      </c>
      <c r="L508" s="80">
        <f t="shared" si="76"/>
        <v>14</v>
      </c>
      <c r="M508" s="80">
        <f t="shared" si="77"/>
        <v>41</v>
      </c>
      <c r="N508">
        <f t="shared" si="78"/>
        <v>11913.759999999998</v>
      </c>
      <c r="O508" s="87">
        <f>(((1-((1+$W$11)/(1+$W$10))^(6*(J508+K508)))/($W$10-$W$11))*(1+$W$10)^(6*(J508+K508)))</f>
        <v>879.8935468544031</v>
      </c>
      <c r="P508" s="69">
        <f>N508*0.065*O508</f>
        <v>681384.63528018724</v>
      </c>
      <c r="Q508" s="69">
        <f t="shared" si="79"/>
        <v>4542.5642352012483</v>
      </c>
      <c r="R508" s="69">
        <f>G508*(1+0.06)^K508</f>
        <v>57452.272174519116</v>
      </c>
      <c r="S508" s="77">
        <f t="shared" si="80"/>
        <v>7.9066746418707159E-2</v>
      </c>
    </row>
    <row r="509" spans="1:19" ht="15.5" x14ac:dyDescent="0.35">
      <c r="A509" s="3" t="s">
        <v>4651</v>
      </c>
      <c r="B509" s="16" t="s">
        <v>4652</v>
      </c>
      <c r="C509" s="17" t="s">
        <v>4654</v>
      </c>
      <c r="D509" s="17" t="str">
        <f t="shared" si="74"/>
        <v>03/05/81</v>
      </c>
      <c r="E509" s="3" t="s">
        <v>4655</v>
      </c>
      <c r="F509" s="6">
        <v>0</v>
      </c>
      <c r="G509" s="6">
        <f>IF(F509=0,$Y$3,F509)</f>
        <v>15640.21</v>
      </c>
      <c r="H509" s="79">
        <f t="shared" si="71"/>
        <v>99</v>
      </c>
      <c r="I509">
        <f t="shared" si="72"/>
        <v>41</v>
      </c>
      <c r="J509">
        <f t="shared" si="73"/>
        <v>0</v>
      </c>
      <c r="K509">
        <f t="shared" si="75"/>
        <v>24</v>
      </c>
      <c r="L509" s="80">
        <f t="shared" si="76"/>
        <v>23</v>
      </c>
      <c r="M509" s="80">
        <f t="shared" si="77"/>
        <v>47</v>
      </c>
      <c r="N509">
        <f t="shared" si="78"/>
        <v>15640.21</v>
      </c>
      <c r="O509" s="87">
        <f>(((1-((1+$W$11)/(1+$W$10))^(6*(J509+K509)))/($W$10-$W$11))*(1+$W$10)^(6*(J509+K509)))</f>
        <v>647.14153879984769</v>
      </c>
      <c r="P509" s="69">
        <f>N509*0.065*O509</f>
        <v>657892.92182592978</v>
      </c>
      <c r="Q509" s="69">
        <f t="shared" si="79"/>
        <v>4385.9528121728654</v>
      </c>
      <c r="R509" s="69">
        <f>G509*(1+0.06)^K509</f>
        <v>63326.188065697454</v>
      </c>
      <c r="S509" s="77">
        <f t="shared" si="80"/>
        <v>6.9259700388450349E-2</v>
      </c>
    </row>
    <row r="510" spans="1:19" ht="15.5" x14ac:dyDescent="0.35">
      <c r="A510" s="3" t="s">
        <v>4656</v>
      </c>
      <c r="B510" s="16" t="s">
        <v>4657</v>
      </c>
      <c r="C510" s="17" t="s">
        <v>4659</v>
      </c>
      <c r="D510" s="17" t="str">
        <f t="shared" si="74"/>
        <v>05/10/86</v>
      </c>
      <c r="E510" s="3" t="s">
        <v>4655</v>
      </c>
      <c r="F510" s="6">
        <v>10678.304</v>
      </c>
      <c r="G510" s="6">
        <f>IF(F510=0,$Y$3,F510)</f>
        <v>10678.304</v>
      </c>
      <c r="H510" s="79">
        <f t="shared" si="71"/>
        <v>9</v>
      </c>
      <c r="I510">
        <f t="shared" si="72"/>
        <v>36</v>
      </c>
      <c r="J510">
        <f t="shared" si="73"/>
        <v>0</v>
      </c>
      <c r="K510">
        <f t="shared" si="75"/>
        <v>29</v>
      </c>
      <c r="L510" s="80">
        <f t="shared" si="76"/>
        <v>13</v>
      </c>
      <c r="M510" s="80">
        <f t="shared" si="77"/>
        <v>42</v>
      </c>
      <c r="N510">
        <f t="shared" si="78"/>
        <v>10678.304</v>
      </c>
      <c r="O510" s="87">
        <f>(((1-((1+$W$11)/(1+$W$10))^(6*(J510+K510)))/($W$10-$W$11))*(1+$W$10)^(6*(J510+K510)))</f>
        <v>1072.3399666941964</v>
      </c>
      <c r="P510" s="69">
        <f>N510*0.065*O510</f>
        <v>744300.19012118282</v>
      </c>
      <c r="Q510" s="69">
        <f t="shared" si="79"/>
        <v>4962.0012674745522</v>
      </c>
      <c r="R510" s="69">
        <f>G510*(1+0.06)^K510</f>
        <v>57859.193175173918</v>
      </c>
      <c r="S510" s="77">
        <f t="shared" si="80"/>
        <v>8.5759945743654711E-2</v>
      </c>
    </row>
    <row r="511" spans="1:19" ht="15.5" x14ac:dyDescent="0.35">
      <c r="A511" s="3" t="s">
        <v>4663</v>
      </c>
      <c r="B511" s="16" t="s">
        <v>4664</v>
      </c>
      <c r="C511" s="17" t="s">
        <v>4666</v>
      </c>
      <c r="D511" s="17" t="str">
        <f t="shared" si="74"/>
        <v>26/12/97</v>
      </c>
      <c r="E511" s="3" t="s">
        <v>4655</v>
      </c>
      <c r="F511" s="6">
        <v>7880.2880000000005</v>
      </c>
      <c r="G511" s="6">
        <f>IF(F511=0,$Y$3,F511)</f>
        <v>7880.2880000000005</v>
      </c>
      <c r="H511" s="79">
        <f t="shared" si="71"/>
        <v>16</v>
      </c>
      <c r="I511">
        <f t="shared" si="72"/>
        <v>25</v>
      </c>
      <c r="J511">
        <f t="shared" si="73"/>
        <v>0</v>
      </c>
      <c r="K511">
        <f t="shared" si="75"/>
        <v>40</v>
      </c>
      <c r="L511" s="80">
        <f t="shared" si="76"/>
        <v>6</v>
      </c>
      <c r="M511" s="80">
        <f t="shared" si="77"/>
        <v>46</v>
      </c>
      <c r="N511">
        <f t="shared" si="78"/>
        <v>7880.2880000000005</v>
      </c>
      <c r="O511" s="87">
        <f>(((1-((1+$W$11)/(1+$W$10))^(6*(J511+K511)))/($W$10-$W$11))*(1+$W$10)^(6*(J511+K511)))</f>
        <v>2964.8060935111685</v>
      </c>
      <c r="P511" s="69">
        <f>N511*0.065*O511</f>
        <v>1518629.1822664912</v>
      </c>
      <c r="Q511" s="69">
        <f t="shared" si="79"/>
        <v>10124.194548443274</v>
      </c>
      <c r="R511" s="69">
        <f>G511*(1+0.06)^K511</f>
        <v>81054.419631318218</v>
      </c>
      <c r="S511" s="77">
        <f t="shared" si="80"/>
        <v>0.12490613830182107</v>
      </c>
    </row>
    <row r="512" spans="1:19" ht="15.5" x14ac:dyDescent="0.35">
      <c r="A512" s="3" t="s">
        <v>4667</v>
      </c>
      <c r="B512" s="16" t="s">
        <v>4668</v>
      </c>
      <c r="C512" s="17" t="s">
        <v>4670</v>
      </c>
      <c r="D512" s="17" t="str">
        <f t="shared" si="74"/>
        <v>13/01/96</v>
      </c>
      <c r="E512" s="3" t="s">
        <v>4671</v>
      </c>
      <c r="F512" s="6">
        <v>8524.159999999998</v>
      </c>
      <c r="G512" s="6">
        <f>IF(F512=0,$Y$3,F512)</f>
        <v>8524.159999999998</v>
      </c>
      <c r="H512" s="79">
        <f t="shared" si="71"/>
        <v>17</v>
      </c>
      <c r="I512">
        <f t="shared" si="72"/>
        <v>26</v>
      </c>
      <c r="J512">
        <f t="shared" si="73"/>
        <v>0</v>
      </c>
      <c r="K512">
        <f t="shared" si="75"/>
        <v>39</v>
      </c>
      <c r="L512" s="80">
        <f t="shared" si="76"/>
        <v>5</v>
      </c>
      <c r="M512" s="80">
        <f t="shared" si="77"/>
        <v>44</v>
      </c>
      <c r="N512">
        <f t="shared" si="78"/>
        <v>8524.159999999998</v>
      </c>
      <c r="O512" s="87">
        <f>(((1-((1+$W$11)/(1+$W$10))^(6*(J512+K512)))/($W$10-$W$11))*(1+$W$10)^(6*(J512+K512)))</f>
        <v>2713.5031944291845</v>
      </c>
      <c r="P512" s="69">
        <f>N512*0.065*O512</f>
        <v>1503471.8003386557</v>
      </c>
      <c r="Q512" s="69">
        <f t="shared" si="79"/>
        <v>10023.145335591038</v>
      </c>
      <c r="R512" s="69">
        <f>G512*(1+0.06)^K512</f>
        <v>82714.250387671083</v>
      </c>
      <c r="S512" s="77">
        <f t="shared" si="80"/>
        <v>0.12117797463694395</v>
      </c>
    </row>
    <row r="513" spans="1:19" ht="15.5" x14ac:dyDescent="0.35">
      <c r="A513" s="3" t="s">
        <v>4672</v>
      </c>
      <c r="B513" s="16" t="s">
        <v>4673</v>
      </c>
      <c r="C513" s="17" t="s">
        <v>4675</v>
      </c>
      <c r="D513" s="17" t="str">
        <f t="shared" si="74"/>
        <v>13/05/94</v>
      </c>
      <c r="E513" s="3" t="s">
        <v>4676</v>
      </c>
      <c r="F513" s="6">
        <v>13217.92</v>
      </c>
      <c r="G513" s="6">
        <f>IF(F513=0,$Y$3,F513)</f>
        <v>13217.92</v>
      </c>
      <c r="H513" s="79">
        <f t="shared" si="71"/>
        <v>12</v>
      </c>
      <c r="I513">
        <f t="shared" si="72"/>
        <v>28</v>
      </c>
      <c r="J513">
        <f t="shared" si="73"/>
        <v>0</v>
      </c>
      <c r="K513">
        <f t="shared" si="75"/>
        <v>37</v>
      </c>
      <c r="L513" s="80">
        <f t="shared" si="76"/>
        <v>10</v>
      </c>
      <c r="M513" s="80">
        <f t="shared" si="77"/>
        <v>47</v>
      </c>
      <c r="N513">
        <f t="shared" si="78"/>
        <v>13217.92</v>
      </c>
      <c r="O513" s="87">
        <f>(((1-((1+$W$11)/(1+$W$10))^(6*(J513+K513)))/($W$10-$W$11))*(1+$W$10)^(6*(J513+K513)))</f>
        <v>2268.4845089511282</v>
      </c>
      <c r="P513" s="69">
        <f>N513*0.065*O513</f>
        <v>1949002.0394360942</v>
      </c>
      <c r="Q513" s="69">
        <f t="shared" si="79"/>
        <v>12993.346929573961</v>
      </c>
      <c r="R513" s="69">
        <f>G513*(1+0.06)^K513</f>
        <v>114151.10866310405</v>
      </c>
      <c r="S513" s="77">
        <f t="shared" si="80"/>
        <v>0.11382584962815762</v>
      </c>
    </row>
    <row r="514" spans="1:19" ht="15.5" x14ac:dyDescent="0.35">
      <c r="A514" s="3" t="s">
        <v>4677</v>
      </c>
      <c r="B514" s="16" t="s">
        <v>4678</v>
      </c>
      <c r="C514" s="17" t="s">
        <v>4680</v>
      </c>
      <c r="D514" s="17" t="str">
        <f t="shared" si="74"/>
        <v>06/08/87</v>
      </c>
      <c r="E514" s="3" t="s">
        <v>4681</v>
      </c>
      <c r="F514" s="6">
        <v>13217.92</v>
      </c>
      <c r="G514" s="6">
        <f>IF(F514=0,$Y$3,F514)</f>
        <v>13217.92</v>
      </c>
      <c r="H514" s="79">
        <f t="shared" ref="H514:H577" si="81">_xlfn.NUMBERVALUE(MID(B514,3,2))</f>
        <v>6</v>
      </c>
      <c r="I514">
        <f t="shared" ref="I514:I577" si="82">2022-YEAR(D514)</f>
        <v>35</v>
      </c>
      <c r="J514">
        <f t="shared" ref="J514:J577" si="83">2022-YEAR(E514)</f>
        <v>0</v>
      </c>
      <c r="K514">
        <f t="shared" si="75"/>
        <v>30</v>
      </c>
      <c r="L514" s="80">
        <f t="shared" si="76"/>
        <v>16</v>
      </c>
      <c r="M514" s="80">
        <f t="shared" si="77"/>
        <v>46</v>
      </c>
      <c r="N514">
        <f t="shared" si="78"/>
        <v>13217.92</v>
      </c>
      <c r="O514" s="87">
        <f>(((1-((1+$W$11)/(1+$W$10))^(6*(J514+K514)))/($W$10-$W$11))*(1+$W$10)^(6*(J514+K514)))</f>
        <v>1181.6655698699749</v>
      </c>
      <c r="P514" s="69">
        <f>N514*0.065*O514</f>
        <v>1015245.4630042231</v>
      </c>
      <c r="Q514" s="69">
        <f t="shared" si="79"/>
        <v>6768.3030866948202</v>
      </c>
      <c r="R514" s="69">
        <f>G514*(1+0.06)^K514</f>
        <v>75917.006844273623</v>
      </c>
      <c r="S514" s="77">
        <f t="shared" si="80"/>
        <v>8.9153977060481934E-2</v>
      </c>
    </row>
    <row r="515" spans="1:19" ht="15.5" x14ac:dyDescent="0.35">
      <c r="A515" s="3" t="s">
        <v>4682</v>
      </c>
      <c r="B515" s="16" t="s">
        <v>4683</v>
      </c>
      <c r="C515" s="17" t="s">
        <v>4685</v>
      </c>
      <c r="D515" s="17" t="str">
        <f t="shared" ref="D515:D578" si="84">_xlfn.CONCAT(MID(C515,5,2),"/",MID(C515,3,2),"/",MID(C515,1,2))</f>
        <v>15/10/81</v>
      </c>
      <c r="E515" s="3" t="s">
        <v>4681</v>
      </c>
      <c r="F515" s="6">
        <v>18237.567999999999</v>
      </c>
      <c r="G515" s="6">
        <f>IF(F515=0,$Y$3,F515)</f>
        <v>18237.567999999999</v>
      </c>
      <c r="H515" s="79">
        <f t="shared" si="81"/>
        <v>98</v>
      </c>
      <c r="I515">
        <f t="shared" si="82"/>
        <v>41</v>
      </c>
      <c r="J515">
        <f t="shared" si="83"/>
        <v>0</v>
      </c>
      <c r="K515">
        <f t="shared" ref="K515:K578" si="85">65-I515</f>
        <v>24</v>
      </c>
      <c r="L515" s="80">
        <f t="shared" ref="L515:L578" si="86">IF(H515&gt;22,122-H515,22-H515)</f>
        <v>24</v>
      </c>
      <c r="M515" s="80">
        <f t="shared" ref="M515:M578" si="87">L515+K515</f>
        <v>48</v>
      </c>
      <c r="N515">
        <f t="shared" ref="N515:N578" si="88">G515*(1+0.06)^-J515</f>
        <v>18237.567999999999</v>
      </c>
      <c r="O515" s="87">
        <f>(((1-((1+$W$11)/(1+$W$10))^(6*(J515+K515)))/($W$10-$W$11))*(1+$W$10)^(6*(J515+K515)))</f>
        <v>647.14153879984769</v>
      </c>
      <c r="P515" s="69">
        <f>N515*0.065*O515</f>
        <v>767148.7082666459</v>
      </c>
      <c r="Q515" s="69">
        <f t="shared" ref="Q515:Q578" si="89">P515/150</f>
        <v>5114.3247217776398</v>
      </c>
      <c r="R515" s="69">
        <f>G515*(1+0.06)^K515</f>
        <v>73842.720847670571</v>
      </c>
      <c r="S515" s="77">
        <f t="shared" si="80"/>
        <v>6.9259700388450349E-2</v>
      </c>
    </row>
    <row r="516" spans="1:19" ht="15.5" x14ac:dyDescent="0.35">
      <c r="A516" s="3" t="s">
        <v>4686</v>
      </c>
      <c r="B516" s="16" t="s">
        <v>4687</v>
      </c>
      <c r="C516" s="17" t="s">
        <v>4689</v>
      </c>
      <c r="D516" s="17" t="str">
        <f t="shared" si="84"/>
        <v>17/03/93</v>
      </c>
      <c r="E516" s="3" t="s">
        <v>4681</v>
      </c>
      <c r="F516" s="6">
        <v>14218.688</v>
      </c>
      <c r="G516" s="6">
        <f>IF(F516=0,$Y$3,F516)</f>
        <v>14218.688</v>
      </c>
      <c r="H516" s="79">
        <f t="shared" si="81"/>
        <v>11</v>
      </c>
      <c r="I516">
        <f t="shared" si="82"/>
        <v>29</v>
      </c>
      <c r="J516">
        <f t="shared" si="83"/>
        <v>0</v>
      </c>
      <c r="K516">
        <f t="shared" si="85"/>
        <v>36</v>
      </c>
      <c r="L516" s="80">
        <f t="shared" si="86"/>
        <v>11</v>
      </c>
      <c r="M516" s="80">
        <f t="shared" si="87"/>
        <v>47</v>
      </c>
      <c r="N516">
        <f t="shared" si="88"/>
        <v>14218.688</v>
      </c>
      <c r="O516" s="87">
        <f>(((1-((1+$W$11)/(1+$W$10))^(6*(J516+K516)))/($W$10-$W$11))*(1+$W$10)^(6*(J516+K516)))</f>
        <v>2071.9321695914473</v>
      </c>
      <c r="P516" s="69">
        <f>N516*0.065*O516</f>
        <v>1914910.2099779521</v>
      </c>
      <c r="Q516" s="69">
        <f t="shared" si="89"/>
        <v>12766.06806651968</v>
      </c>
      <c r="R516" s="69">
        <f>G516*(1+0.06)^K516</f>
        <v>115843.23424325872</v>
      </c>
      <c r="S516" s="77">
        <f t="shared" si="80"/>
        <v>0.11020124006303439</v>
      </c>
    </row>
    <row r="517" spans="1:19" ht="15.5" x14ac:dyDescent="0.35">
      <c r="A517" s="3" t="s">
        <v>4690</v>
      </c>
      <c r="B517" s="16" t="s">
        <v>4691</v>
      </c>
      <c r="C517" s="17" t="s">
        <v>4693</v>
      </c>
      <c r="D517" s="17" t="str">
        <f t="shared" si="84"/>
        <v>01/05/92</v>
      </c>
      <c r="E517" s="3" t="s">
        <v>4694</v>
      </c>
      <c r="F517" s="6">
        <v>7714.6080000000002</v>
      </c>
      <c r="G517" s="6">
        <f>IF(F517=0,$Y$3,F517)</f>
        <v>7714.6080000000002</v>
      </c>
      <c r="H517" s="79">
        <f t="shared" si="81"/>
        <v>7</v>
      </c>
      <c r="I517">
        <f t="shared" si="82"/>
        <v>30</v>
      </c>
      <c r="J517">
        <f t="shared" si="83"/>
        <v>0</v>
      </c>
      <c r="K517">
        <f t="shared" si="85"/>
        <v>35</v>
      </c>
      <c r="L517" s="80">
        <f t="shared" si="86"/>
        <v>15</v>
      </c>
      <c r="M517" s="80">
        <f t="shared" si="87"/>
        <v>50</v>
      </c>
      <c r="N517">
        <f t="shared" si="88"/>
        <v>7714.6080000000002</v>
      </c>
      <c r="O517" s="87">
        <f>(((1-((1+$W$11)/(1+$W$10))^(6*(J517+K517)))/($W$10-$W$11))*(1+$W$10)^(6*(J517+K517)))</f>
        <v>1890.963685662718</v>
      </c>
      <c r="P517" s="69">
        <f>N517*0.065*O517</f>
        <v>948222.83251300082</v>
      </c>
      <c r="Q517" s="69">
        <f t="shared" si="89"/>
        <v>6321.4855500866724</v>
      </c>
      <c r="R517" s="69">
        <f>G517*(1+0.06)^K517</f>
        <v>59295.146656667195</v>
      </c>
      <c r="S517" s="77">
        <f t="shared" ref="S517:S580" si="90">Q517/R517</f>
        <v>0.10661050535366</v>
      </c>
    </row>
    <row r="518" spans="1:19" ht="15.5" x14ac:dyDescent="0.35">
      <c r="A518" s="3" t="s">
        <v>4695</v>
      </c>
      <c r="B518" s="16" t="s">
        <v>4696</v>
      </c>
      <c r="C518" s="17" t="s">
        <v>4698</v>
      </c>
      <c r="D518" s="17" t="str">
        <f t="shared" si="84"/>
        <v>15/04/00</v>
      </c>
      <c r="E518" s="3" t="s">
        <v>4694</v>
      </c>
      <c r="F518" s="6">
        <v>8356.351999999999</v>
      </c>
      <c r="G518" s="6">
        <f>IF(F518=0,$Y$3,F518)</f>
        <v>8356.351999999999</v>
      </c>
      <c r="H518" s="79">
        <f t="shared" si="81"/>
        <v>15</v>
      </c>
      <c r="I518">
        <f t="shared" si="82"/>
        <v>22</v>
      </c>
      <c r="J518">
        <f t="shared" si="83"/>
        <v>0</v>
      </c>
      <c r="K518">
        <f t="shared" si="85"/>
        <v>43</v>
      </c>
      <c r="L518" s="80">
        <f t="shared" si="86"/>
        <v>7</v>
      </c>
      <c r="M518" s="80">
        <f t="shared" si="87"/>
        <v>50</v>
      </c>
      <c r="N518">
        <f t="shared" si="88"/>
        <v>8356.351999999999</v>
      </c>
      <c r="O518" s="87">
        <f>(((1-((1+$W$11)/(1+$W$10))^(6*(J518+K518)))/($W$10-$W$11))*(1+$W$10)^(6*(J518+K518)))</f>
        <v>3853.3236192812783</v>
      </c>
      <c r="P518" s="69">
        <f>N518*0.065*O518</f>
        <v>2092982.3546208425</v>
      </c>
      <c r="Q518" s="69">
        <f t="shared" si="89"/>
        <v>13953.215697472284</v>
      </c>
      <c r="R518" s="69">
        <f>G518*(1+0.06)^K518</f>
        <v>102369.1110867822</v>
      </c>
      <c r="S518" s="77">
        <f t="shared" si="90"/>
        <v>0.13630298777962047</v>
      </c>
    </row>
    <row r="519" spans="1:19" ht="15.5" x14ac:dyDescent="0.35">
      <c r="A519" s="3" t="s">
        <v>4699</v>
      </c>
      <c r="B519" s="16" t="s">
        <v>4700</v>
      </c>
      <c r="C519" s="17" t="s">
        <v>4702</v>
      </c>
      <c r="D519" s="17" t="str">
        <f t="shared" si="84"/>
        <v>12/01/96</v>
      </c>
      <c r="E519" s="3" t="s">
        <v>4703</v>
      </c>
      <c r="F519" s="6">
        <v>11913.759999999998</v>
      </c>
      <c r="G519" s="6">
        <f>IF(F519=0,$Y$3,F519)</f>
        <v>11913.759999999998</v>
      </c>
      <c r="H519" s="79">
        <f t="shared" si="81"/>
        <v>11</v>
      </c>
      <c r="I519">
        <f t="shared" si="82"/>
        <v>26</v>
      </c>
      <c r="J519">
        <f t="shared" si="83"/>
        <v>0</v>
      </c>
      <c r="K519">
        <f t="shared" si="85"/>
        <v>39</v>
      </c>
      <c r="L519" s="80">
        <f t="shared" si="86"/>
        <v>11</v>
      </c>
      <c r="M519" s="80">
        <f t="shared" si="87"/>
        <v>50</v>
      </c>
      <c r="N519">
        <f t="shared" si="88"/>
        <v>11913.759999999998</v>
      </c>
      <c r="O519" s="87">
        <f>(((1-((1+$W$11)/(1+$W$10))^(6*(J519+K519)))/($W$10-$W$11))*(1+$W$10)^(6*(J519+K519)))</f>
        <v>2713.5031944291845</v>
      </c>
      <c r="P519" s="69">
        <f>N519*0.065*O519</f>
        <v>2101321.6781480713</v>
      </c>
      <c r="Q519" s="69">
        <f t="shared" si="89"/>
        <v>14008.811187653808</v>
      </c>
      <c r="R519" s="69">
        <f>G519*(1+0.06)^K519</f>
        <v>115605.2593685032</v>
      </c>
      <c r="S519" s="77">
        <f t="shared" si="90"/>
        <v>0.12117797463694395</v>
      </c>
    </row>
    <row r="520" spans="1:19" ht="15.5" x14ac:dyDescent="0.35">
      <c r="A520" s="3" t="s">
        <v>4704</v>
      </c>
      <c r="B520" s="16" t="s">
        <v>4705</v>
      </c>
      <c r="C520" s="17" t="s">
        <v>4707</v>
      </c>
      <c r="D520" s="17" t="str">
        <f t="shared" si="84"/>
        <v>15/07/98</v>
      </c>
      <c r="E520" s="3" t="s">
        <v>4694</v>
      </c>
      <c r="F520" s="6">
        <v>14408.079999999998</v>
      </c>
      <c r="G520" s="6">
        <f>IF(F520=0,$Y$3,F520)</f>
        <v>14408.079999999998</v>
      </c>
      <c r="H520" s="79">
        <f t="shared" si="81"/>
        <v>13</v>
      </c>
      <c r="I520">
        <f t="shared" si="82"/>
        <v>24</v>
      </c>
      <c r="J520">
        <f t="shared" si="83"/>
        <v>0</v>
      </c>
      <c r="K520">
        <f t="shared" si="85"/>
        <v>41</v>
      </c>
      <c r="L520" s="80">
        <f t="shared" si="86"/>
        <v>9</v>
      </c>
      <c r="M520" s="80">
        <f t="shared" si="87"/>
        <v>50</v>
      </c>
      <c r="N520">
        <f t="shared" si="88"/>
        <v>14408.079999999998</v>
      </c>
      <c r="O520" s="87">
        <f>(((1-((1+$W$11)/(1+$W$10))^(6*(J520+K520)))/($W$10-$W$11))*(1+$W$10)^(6*(J520+K520)))</f>
        <v>3237.3816560572077</v>
      </c>
      <c r="P520" s="69">
        <f>N520*0.065*O520</f>
        <v>3031889.5029153074</v>
      </c>
      <c r="Q520" s="69">
        <f t="shared" si="89"/>
        <v>20212.59668610205</v>
      </c>
      <c r="R520" s="69">
        <f>G520*(1+0.06)^K520</f>
        <v>157089.29370927805</v>
      </c>
      <c r="S520" s="77">
        <f t="shared" si="90"/>
        <v>0.12866947332202722</v>
      </c>
    </row>
    <row r="521" spans="1:19" ht="15.5" x14ac:dyDescent="0.35">
      <c r="A521" s="3" t="s">
        <v>4708</v>
      </c>
      <c r="B521" s="16" t="s">
        <v>4709</v>
      </c>
      <c r="C521" s="17" t="s">
        <v>4711</v>
      </c>
      <c r="D521" s="17" t="str">
        <f t="shared" si="84"/>
        <v>02/06/89</v>
      </c>
      <c r="E521" s="3" t="s">
        <v>4694</v>
      </c>
      <c r="F521" s="6">
        <v>8537.232</v>
      </c>
      <c r="G521" s="6">
        <f>IF(F521=0,$Y$3,F521)</f>
        <v>8537.232</v>
      </c>
      <c r="H521" s="79">
        <f t="shared" si="81"/>
        <v>7</v>
      </c>
      <c r="I521">
        <f t="shared" si="82"/>
        <v>33</v>
      </c>
      <c r="J521">
        <f t="shared" si="83"/>
        <v>0</v>
      </c>
      <c r="K521">
        <f t="shared" si="85"/>
        <v>32</v>
      </c>
      <c r="L521" s="80">
        <f t="shared" si="86"/>
        <v>15</v>
      </c>
      <c r="M521" s="80">
        <f t="shared" si="87"/>
        <v>47</v>
      </c>
      <c r="N521">
        <f t="shared" si="88"/>
        <v>8537.232</v>
      </c>
      <c r="O521" s="87">
        <f>(((1-((1+$W$11)/(1+$W$10))^(6*(J521+K521)))/($W$10-$W$11))*(1+$W$10)^(6*(J521+K521)))</f>
        <v>1430.2452154182549</v>
      </c>
      <c r="P521" s="69">
        <f>N521*0.065*O521</f>
        <v>793671.78935951518</v>
      </c>
      <c r="Q521" s="69">
        <f t="shared" si="89"/>
        <v>5291.145262396768</v>
      </c>
      <c r="R521" s="69">
        <f>G521*(1+0.06)^K521</f>
        <v>55094.059288965334</v>
      </c>
      <c r="S521" s="77">
        <f t="shared" si="90"/>
        <v>9.6038399251814066E-2</v>
      </c>
    </row>
    <row r="522" spans="1:19" ht="15.5" x14ac:dyDescent="0.35">
      <c r="A522" s="3" t="s">
        <v>4712</v>
      </c>
      <c r="B522" s="16" t="s">
        <v>4713</v>
      </c>
      <c r="C522" s="17" t="s">
        <v>4715</v>
      </c>
      <c r="D522" s="17" t="str">
        <f t="shared" si="84"/>
        <v>26/01/96</v>
      </c>
      <c r="E522" s="3" t="s">
        <v>4694</v>
      </c>
      <c r="F522" s="6">
        <v>12172.464</v>
      </c>
      <c r="G522" s="6">
        <f>IF(F522=0,$Y$3,F522)</f>
        <v>12172.464</v>
      </c>
      <c r="H522" s="79">
        <f t="shared" si="81"/>
        <v>21</v>
      </c>
      <c r="I522">
        <f t="shared" si="82"/>
        <v>26</v>
      </c>
      <c r="J522">
        <f t="shared" si="83"/>
        <v>0</v>
      </c>
      <c r="K522">
        <f t="shared" si="85"/>
        <v>39</v>
      </c>
      <c r="L522" s="80">
        <f t="shared" si="86"/>
        <v>1</v>
      </c>
      <c r="M522" s="80">
        <f t="shared" si="87"/>
        <v>40</v>
      </c>
      <c r="N522">
        <f t="shared" si="88"/>
        <v>12172.464</v>
      </c>
      <c r="O522" s="87">
        <f>(((1-((1+$W$11)/(1+$W$10))^(6*(J522+K522)))/($W$10-$W$11))*(1+$W$10)^(6*(J522+K522)))</f>
        <v>2713.5031944291845</v>
      </c>
      <c r="P522" s="69">
        <f>N522*0.065*O522</f>
        <v>2146951.2966248263</v>
      </c>
      <c r="Q522" s="69">
        <f t="shared" si="89"/>
        <v>14313.008644165508</v>
      </c>
      <c r="R522" s="69">
        <f>G522*(1+0.06)^K522</f>
        <v>118115.59556964117</v>
      </c>
      <c r="S522" s="77">
        <f t="shared" si="90"/>
        <v>0.12117797463694395</v>
      </c>
    </row>
    <row r="523" spans="1:19" ht="15.5" x14ac:dyDescent="0.35">
      <c r="A523" s="3" t="s">
        <v>4716</v>
      </c>
      <c r="B523" s="16" t="s">
        <v>4717</v>
      </c>
      <c r="C523" s="17" t="s">
        <v>4503</v>
      </c>
      <c r="D523" s="17" t="str">
        <f t="shared" si="84"/>
        <v>11/11/98</v>
      </c>
      <c r="E523" s="3" t="s">
        <v>3624</v>
      </c>
      <c r="F523" s="6">
        <v>7450.1279999999997</v>
      </c>
      <c r="G523" s="6">
        <f>IF(F523=0,$Y$3,F523)</f>
        <v>7450.1279999999997</v>
      </c>
      <c r="H523" s="79">
        <f t="shared" si="81"/>
        <v>16</v>
      </c>
      <c r="I523">
        <f t="shared" si="82"/>
        <v>24</v>
      </c>
      <c r="J523">
        <f t="shared" si="83"/>
        <v>0</v>
      </c>
      <c r="K523">
        <f t="shared" si="85"/>
        <v>41</v>
      </c>
      <c r="L523" s="80">
        <f t="shared" si="86"/>
        <v>6</v>
      </c>
      <c r="M523" s="80">
        <f t="shared" si="87"/>
        <v>47</v>
      </c>
      <c r="N523">
        <f t="shared" si="88"/>
        <v>7450.1279999999997</v>
      </c>
      <c r="O523" s="87">
        <f>(((1-((1+$W$11)/(1+$W$10))^(6*(J523+K523)))/($W$10-$W$11))*(1+$W$10)^(6*(J523+K523)))</f>
        <v>3237.3816560572077</v>
      </c>
      <c r="P523" s="69">
        <f>N523*0.065*O523</f>
        <v>1567729.0019610811</v>
      </c>
      <c r="Q523" s="69">
        <f t="shared" si="89"/>
        <v>10451.52667974054</v>
      </c>
      <c r="R523" s="69">
        <f>G523*(1+0.06)^K523</f>
        <v>81227.71011569316</v>
      </c>
      <c r="S523" s="77">
        <f t="shared" si="90"/>
        <v>0.12866947332202719</v>
      </c>
    </row>
    <row r="524" spans="1:19" ht="15.5" x14ac:dyDescent="0.35">
      <c r="A524" s="3" t="s">
        <v>4719</v>
      </c>
      <c r="B524" s="16" t="s">
        <v>4720</v>
      </c>
      <c r="C524" s="17" t="s">
        <v>4722</v>
      </c>
      <c r="D524" s="17" t="str">
        <f t="shared" si="84"/>
        <v>26/08/97</v>
      </c>
      <c r="E524" s="3" t="s">
        <v>3624</v>
      </c>
      <c r="F524" s="6">
        <v>6313.4719999999998</v>
      </c>
      <c r="G524" s="6">
        <f>IF(F524=0,$Y$3,F524)</f>
        <v>6313.4719999999998</v>
      </c>
      <c r="H524" s="79">
        <f t="shared" si="81"/>
        <v>12</v>
      </c>
      <c r="I524">
        <f t="shared" si="82"/>
        <v>25</v>
      </c>
      <c r="J524">
        <f t="shared" si="83"/>
        <v>0</v>
      </c>
      <c r="K524">
        <f t="shared" si="85"/>
        <v>40</v>
      </c>
      <c r="L524" s="80">
        <f t="shared" si="86"/>
        <v>10</v>
      </c>
      <c r="M524" s="80">
        <f t="shared" si="87"/>
        <v>50</v>
      </c>
      <c r="N524">
        <f t="shared" si="88"/>
        <v>6313.4719999999998</v>
      </c>
      <c r="O524" s="87">
        <f>(((1-((1+$W$11)/(1+$W$10))^(6*(J524+K524)))/($W$10-$W$11))*(1+$W$10)^(6*(J524+K524)))</f>
        <v>2964.8060935111685</v>
      </c>
      <c r="P524" s="69">
        <f>N524*0.065*O524</f>
        <v>1216684.3166927893</v>
      </c>
      <c r="Q524" s="69">
        <f t="shared" si="89"/>
        <v>8111.2287779519284</v>
      </c>
      <c r="R524" s="69">
        <f>G524*(1+0.06)^K524</f>
        <v>64938.592195942307</v>
      </c>
      <c r="S524" s="77">
        <f t="shared" si="90"/>
        <v>0.12490613830182107</v>
      </c>
    </row>
    <row r="525" spans="1:19" ht="15.5" x14ac:dyDescent="0.35">
      <c r="A525" s="3" t="s">
        <v>4723</v>
      </c>
      <c r="B525" s="16" t="s">
        <v>4724</v>
      </c>
      <c r="C525" s="17" t="s">
        <v>4726</v>
      </c>
      <c r="D525" s="17" t="str">
        <f t="shared" si="84"/>
        <v>05/02/92</v>
      </c>
      <c r="E525" s="3" t="s">
        <v>3624</v>
      </c>
      <c r="F525" s="6">
        <v>10418.688</v>
      </c>
      <c r="G525" s="6">
        <f>IF(F525=0,$Y$3,F525)</f>
        <v>10418.688</v>
      </c>
      <c r="H525" s="79">
        <f t="shared" si="81"/>
        <v>10</v>
      </c>
      <c r="I525">
        <f t="shared" si="82"/>
        <v>30</v>
      </c>
      <c r="J525">
        <f t="shared" si="83"/>
        <v>0</v>
      </c>
      <c r="K525">
        <f t="shared" si="85"/>
        <v>35</v>
      </c>
      <c r="L525" s="80">
        <f t="shared" si="86"/>
        <v>12</v>
      </c>
      <c r="M525" s="80">
        <f t="shared" si="87"/>
        <v>47</v>
      </c>
      <c r="N525">
        <f t="shared" si="88"/>
        <v>10418.688</v>
      </c>
      <c r="O525" s="87">
        <f>(((1-((1+$W$11)/(1+$W$10))^(6*(J525+K525)))/($W$10-$W$11))*(1+$W$10)^(6*(J525+K525)))</f>
        <v>1890.963685662718</v>
      </c>
      <c r="P525" s="69">
        <f>N525*0.065*O525</f>
        <v>1280588.4429162457</v>
      </c>
      <c r="Q525" s="69">
        <f t="shared" si="89"/>
        <v>8537.2562861083043</v>
      </c>
      <c r="R525" s="69">
        <f>G525*(1+0.06)^K525</f>
        <v>80078.940230023174</v>
      </c>
      <c r="S525" s="77">
        <f t="shared" si="90"/>
        <v>0.10661050535366</v>
      </c>
    </row>
    <row r="526" spans="1:19" ht="15.5" x14ac:dyDescent="0.35">
      <c r="A526" s="3" t="s">
        <v>4727</v>
      </c>
      <c r="B526" s="16" t="s">
        <v>4728</v>
      </c>
      <c r="C526" s="17" t="s">
        <v>4730</v>
      </c>
      <c r="D526" s="17" t="str">
        <f t="shared" si="84"/>
        <v>22/12/81</v>
      </c>
      <c r="E526" s="3" t="s">
        <v>3624</v>
      </c>
      <c r="F526" s="6">
        <v>13133.407999999999</v>
      </c>
      <c r="G526" s="6">
        <f>IF(F526=0,$Y$3,F526)</f>
        <v>13133.407999999999</v>
      </c>
      <c r="H526" s="79">
        <f t="shared" si="81"/>
        <v>7</v>
      </c>
      <c r="I526">
        <f t="shared" si="82"/>
        <v>41</v>
      </c>
      <c r="J526">
        <f t="shared" si="83"/>
        <v>0</v>
      </c>
      <c r="K526">
        <f t="shared" si="85"/>
        <v>24</v>
      </c>
      <c r="L526" s="80">
        <f t="shared" si="86"/>
        <v>15</v>
      </c>
      <c r="M526" s="80">
        <f t="shared" si="87"/>
        <v>39</v>
      </c>
      <c r="N526">
        <f t="shared" si="88"/>
        <v>13133.407999999999</v>
      </c>
      <c r="O526" s="87">
        <f>(((1-((1+$W$11)/(1+$W$10))^(6*(J526+K526)))/($W$10-$W$11))*(1+$W$10)^(6*(J526+K526)))</f>
        <v>647.14153879984769</v>
      </c>
      <c r="P526" s="69">
        <f>N526*0.065*O526</f>
        <v>552446.30108240491</v>
      </c>
      <c r="Q526" s="69">
        <f t="shared" si="89"/>
        <v>3682.9753405493661</v>
      </c>
      <c r="R526" s="69">
        <f>G526*(1+0.06)^K526</f>
        <v>53176.310609098946</v>
      </c>
      <c r="S526" s="77">
        <f t="shared" si="90"/>
        <v>6.9259700388450335E-2</v>
      </c>
    </row>
    <row r="527" spans="1:19" ht="15.5" x14ac:dyDescent="0.35">
      <c r="A527" s="3" t="s">
        <v>4731</v>
      </c>
      <c r="B527" s="16" t="s">
        <v>4732</v>
      </c>
      <c r="C527" s="17" t="s">
        <v>4734</v>
      </c>
      <c r="D527" s="17" t="str">
        <f t="shared" si="84"/>
        <v>29/04/94</v>
      </c>
      <c r="E527" s="3" t="s">
        <v>4735</v>
      </c>
      <c r="F527" s="6">
        <v>10757.951999999999</v>
      </c>
      <c r="G527" s="6">
        <f>IF(F527=0,$Y$3,F527)</f>
        <v>10757.951999999999</v>
      </c>
      <c r="H527" s="79">
        <f t="shared" si="81"/>
        <v>14</v>
      </c>
      <c r="I527">
        <f t="shared" si="82"/>
        <v>28</v>
      </c>
      <c r="J527">
        <f t="shared" si="83"/>
        <v>0</v>
      </c>
      <c r="K527">
        <f t="shared" si="85"/>
        <v>37</v>
      </c>
      <c r="L527" s="80">
        <f t="shared" si="86"/>
        <v>8</v>
      </c>
      <c r="M527" s="80">
        <f t="shared" si="87"/>
        <v>45</v>
      </c>
      <c r="N527">
        <f t="shared" si="88"/>
        <v>10757.951999999999</v>
      </c>
      <c r="O527" s="87">
        <f>(((1-((1+$W$11)/(1+$W$10))^(6*(J527+K527)))/($W$10-$W$11))*(1+$W$10)^(6*(J527+K527)))</f>
        <v>2268.4845089511282</v>
      </c>
      <c r="P527" s="69">
        <f>N527*0.065*O527</f>
        <v>1586276.0849025876</v>
      </c>
      <c r="Q527" s="69">
        <f t="shared" si="89"/>
        <v>10575.173899350584</v>
      </c>
      <c r="R527" s="69">
        <f>G527*(1+0.06)^K527</f>
        <v>92906.610703080165</v>
      </c>
      <c r="S527" s="77">
        <f t="shared" si="90"/>
        <v>0.11382584962815764</v>
      </c>
    </row>
    <row r="528" spans="1:19" ht="15.5" x14ac:dyDescent="0.35">
      <c r="A528" s="3" t="s">
        <v>4736</v>
      </c>
      <c r="B528" s="16" t="s">
        <v>4737</v>
      </c>
      <c r="C528" s="17" t="s">
        <v>4739</v>
      </c>
      <c r="D528" s="17" t="str">
        <f t="shared" si="84"/>
        <v>13/09/76</v>
      </c>
      <c r="E528" s="3" t="s">
        <v>3968</v>
      </c>
      <c r="F528" s="6">
        <v>5602.72</v>
      </c>
      <c r="G528" s="6">
        <f>IF(F528=0,$Y$3,F528)</f>
        <v>5602.72</v>
      </c>
      <c r="H528" s="79">
        <f t="shared" si="81"/>
        <v>17</v>
      </c>
      <c r="I528">
        <f t="shared" si="82"/>
        <v>46</v>
      </c>
      <c r="J528">
        <f t="shared" si="83"/>
        <v>0</v>
      </c>
      <c r="K528">
        <f t="shared" si="85"/>
        <v>19</v>
      </c>
      <c r="L528" s="80">
        <f t="shared" si="86"/>
        <v>5</v>
      </c>
      <c r="M528" s="80">
        <f t="shared" si="87"/>
        <v>24</v>
      </c>
      <c r="N528">
        <f t="shared" si="88"/>
        <v>5602.72</v>
      </c>
      <c r="O528" s="87">
        <f>(((1-((1+$W$11)/(1+$W$10))^(6*(J528+K528)))/($W$10-$W$11))*(1+$W$10)^(6*(J528+K528)))</f>
        <v>373.65839639087795</v>
      </c>
      <c r="P528" s="69">
        <f>N528*0.065*O528</f>
        <v>136077.7190907615</v>
      </c>
      <c r="Q528" s="69">
        <f t="shared" si="89"/>
        <v>907.18479393841005</v>
      </c>
      <c r="R528" s="69">
        <f>G528*(1+0.06)^K528</f>
        <v>16951.586842336197</v>
      </c>
      <c r="S528" s="77">
        <f t="shared" si="90"/>
        <v>5.3516216645437403E-2</v>
      </c>
    </row>
    <row r="529" spans="1:19" ht="15.5" x14ac:dyDescent="0.35">
      <c r="A529" s="3" t="s">
        <v>4740</v>
      </c>
      <c r="B529" s="16" t="s">
        <v>4741</v>
      </c>
      <c r="C529" s="17" t="s">
        <v>4743</v>
      </c>
      <c r="D529" s="17" t="str">
        <f t="shared" si="84"/>
        <v>19/07/89</v>
      </c>
      <c r="E529" s="3" t="s">
        <v>4735</v>
      </c>
      <c r="F529" s="6">
        <v>11196.016</v>
      </c>
      <c r="G529" s="6">
        <f>IF(F529=0,$Y$3,F529)</f>
        <v>11196.016</v>
      </c>
      <c r="H529" s="79">
        <f t="shared" si="81"/>
        <v>6</v>
      </c>
      <c r="I529">
        <f t="shared" si="82"/>
        <v>33</v>
      </c>
      <c r="J529">
        <f t="shared" si="83"/>
        <v>0</v>
      </c>
      <c r="K529">
        <f t="shared" si="85"/>
        <v>32</v>
      </c>
      <c r="L529" s="80">
        <f t="shared" si="86"/>
        <v>16</v>
      </c>
      <c r="M529" s="80">
        <f t="shared" si="87"/>
        <v>48</v>
      </c>
      <c r="N529">
        <f t="shared" si="88"/>
        <v>11196.016</v>
      </c>
      <c r="O529" s="87">
        <f>(((1-((1+$W$11)/(1+$W$10))^(6*(J529+K529)))/($W$10-$W$11))*(1+$W$10)^(6*(J529+K529)))</f>
        <v>1430.2452154182549</v>
      </c>
      <c r="P529" s="69">
        <f>N529*0.065*O529</f>
        <v>1040848.1405235049</v>
      </c>
      <c r="Q529" s="69">
        <f t="shared" si="89"/>
        <v>6938.9876034900326</v>
      </c>
      <c r="R529" s="69">
        <f>G529*(1+0.06)^K529</f>
        <v>72252.220544575161</v>
      </c>
      <c r="S529" s="77">
        <f t="shared" si="90"/>
        <v>9.603839925181408E-2</v>
      </c>
    </row>
    <row r="530" spans="1:19" ht="15.5" x14ac:dyDescent="0.35">
      <c r="A530" s="3" t="s">
        <v>4744</v>
      </c>
      <c r="B530" s="16" t="s">
        <v>4745</v>
      </c>
      <c r="C530" s="17" t="s">
        <v>4747</v>
      </c>
      <c r="D530" s="17" t="str">
        <f t="shared" si="84"/>
        <v>17/04/96</v>
      </c>
      <c r="E530" s="3" t="s">
        <v>4735</v>
      </c>
      <c r="F530" s="6">
        <v>16545.2</v>
      </c>
      <c r="G530" s="6">
        <f>IF(F530=0,$Y$3,F530)</f>
        <v>16545.2</v>
      </c>
      <c r="H530" s="79">
        <f t="shared" si="81"/>
        <v>11</v>
      </c>
      <c r="I530">
        <f t="shared" si="82"/>
        <v>26</v>
      </c>
      <c r="J530">
        <f t="shared" si="83"/>
        <v>0</v>
      </c>
      <c r="K530">
        <f t="shared" si="85"/>
        <v>39</v>
      </c>
      <c r="L530" s="80">
        <f t="shared" si="86"/>
        <v>11</v>
      </c>
      <c r="M530" s="80">
        <f t="shared" si="87"/>
        <v>50</v>
      </c>
      <c r="N530">
        <f t="shared" si="88"/>
        <v>16545.2</v>
      </c>
      <c r="O530" s="87">
        <f>(((1-((1+$W$11)/(1+$W$10))^(6*(J530+K530)))/($W$10-$W$11))*(1+$W$10)^(6*(J530+K530)))</f>
        <v>2713.5031944291845</v>
      </c>
      <c r="P530" s="69">
        <f>N530*0.065*O530</f>
        <v>2918204.4484105338</v>
      </c>
      <c r="Q530" s="69">
        <f t="shared" si="89"/>
        <v>19454.696322736891</v>
      </c>
      <c r="R530" s="69">
        <f>G530*(1+0.06)^K530</f>
        <v>160546.47208805277</v>
      </c>
      <c r="S530" s="77">
        <f t="shared" si="90"/>
        <v>0.12117797463694396</v>
      </c>
    </row>
    <row r="531" spans="1:19" ht="15.5" x14ac:dyDescent="0.35">
      <c r="A531" s="3" t="s">
        <v>4752</v>
      </c>
      <c r="B531" s="16" t="s">
        <v>4753</v>
      </c>
      <c r="C531" s="17" t="s">
        <v>4755</v>
      </c>
      <c r="D531" s="17" t="str">
        <f t="shared" si="84"/>
        <v>23/04/94</v>
      </c>
      <c r="E531" s="3" t="s">
        <v>4735</v>
      </c>
      <c r="F531" s="6">
        <v>0</v>
      </c>
      <c r="G531" s="6">
        <f>IF(F531=0,$Y$3,F531)</f>
        <v>15640.21</v>
      </c>
      <c r="H531" s="79">
        <f t="shared" si="81"/>
        <v>15</v>
      </c>
      <c r="I531">
        <f t="shared" si="82"/>
        <v>28</v>
      </c>
      <c r="J531">
        <f t="shared" si="83"/>
        <v>0</v>
      </c>
      <c r="K531">
        <f t="shared" si="85"/>
        <v>37</v>
      </c>
      <c r="L531" s="80">
        <f t="shared" si="86"/>
        <v>7</v>
      </c>
      <c r="M531" s="80">
        <f t="shared" si="87"/>
        <v>44</v>
      </c>
      <c r="N531">
        <f t="shared" si="88"/>
        <v>15640.21</v>
      </c>
      <c r="O531" s="87">
        <f>(((1-((1+$W$11)/(1+$W$10))^(6*(J531+K531)))/($W$10-$W$11))*(1+$W$10)^(6*(J531+K531)))</f>
        <v>2268.4845089511282</v>
      </c>
      <c r="P531" s="69">
        <f>N531*0.065*O531</f>
        <v>2306172.3166132639</v>
      </c>
      <c r="Q531" s="69">
        <f t="shared" si="89"/>
        <v>15374.482110755092</v>
      </c>
      <c r="R531" s="69">
        <f>G531*(1+0.06)^K531</f>
        <v>135070.21613262649</v>
      </c>
      <c r="S531" s="77">
        <f t="shared" si="90"/>
        <v>0.11382584962815762</v>
      </c>
    </row>
    <row r="532" spans="1:19" ht="15.5" x14ac:dyDescent="0.35">
      <c r="A532" s="3" t="s">
        <v>4756</v>
      </c>
      <c r="B532" s="16" t="s">
        <v>4757</v>
      </c>
      <c r="C532" s="17" t="s">
        <v>4759</v>
      </c>
      <c r="D532" s="17" t="str">
        <f t="shared" si="84"/>
        <v>31/10/86</v>
      </c>
      <c r="E532" s="3" t="s">
        <v>3739</v>
      </c>
      <c r="F532" s="6">
        <v>11455.632</v>
      </c>
      <c r="G532" s="6">
        <f>IF(F532=0,$Y$3,F532)</f>
        <v>11455.632</v>
      </c>
      <c r="H532" s="79">
        <f t="shared" si="81"/>
        <v>8</v>
      </c>
      <c r="I532">
        <f t="shared" si="82"/>
        <v>36</v>
      </c>
      <c r="J532">
        <f t="shared" si="83"/>
        <v>0</v>
      </c>
      <c r="K532">
        <f t="shared" si="85"/>
        <v>29</v>
      </c>
      <c r="L532" s="80">
        <f t="shared" si="86"/>
        <v>14</v>
      </c>
      <c r="M532" s="80">
        <f t="shared" si="87"/>
        <v>43</v>
      </c>
      <c r="N532">
        <f t="shared" si="88"/>
        <v>11455.632</v>
      </c>
      <c r="O532" s="87">
        <f>(((1-((1+$W$11)/(1+$W$10))^(6*(J532+K532)))/($W$10-$W$11))*(1+$W$10)^(6*(J532+K532)))</f>
        <v>1072.3399666941964</v>
      </c>
      <c r="P532" s="69">
        <f>N532*0.065*O532</f>
        <v>798481.58242716314</v>
      </c>
      <c r="Q532" s="69">
        <f t="shared" si="89"/>
        <v>5323.2105495144206</v>
      </c>
      <c r="R532" s="69">
        <f>G532*(1+0.06)^K532</f>
        <v>62071.057803908174</v>
      </c>
      <c r="S532" s="77">
        <f t="shared" si="90"/>
        <v>8.5759945743654711E-2</v>
      </c>
    </row>
    <row r="533" spans="1:19" ht="15.5" x14ac:dyDescent="0.35">
      <c r="A533" s="3" t="s">
        <v>4760</v>
      </c>
      <c r="B533" s="16" t="s">
        <v>4761</v>
      </c>
      <c r="C533" s="17" t="s">
        <v>4763</v>
      </c>
      <c r="D533" s="17" t="str">
        <f t="shared" si="84"/>
        <v>17/04/89</v>
      </c>
      <c r="E533" s="3" t="s">
        <v>3739</v>
      </c>
      <c r="F533" s="6">
        <v>26478.399999999998</v>
      </c>
      <c r="G533" s="6">
        <f>IF(F533=0,$Y$3,F533)</f>
        <v>26478.399999999998</v>
      </c>
      <c r="H533" s="79">
        <f t="shared" si="81"/>
        <v>8</v>
      </c>
      <c r="I533">
        <f t="shared" si="82"/>
        <v>33</v>
      </c>
      <c r="J533">
        <f t="shared" si="83"/>
        <v>0</v>
      </c>
      <c r="K533">
        <f t="shared" si="85"/>
        <v>32</v>
      </c>
      <c r="L533" s="80">
        <f t="shared" si="86"/>
        <v>14</v>
      </c>
      <c r="M533" s="80">
        <f t="shared" si="87"/>
        <v>46</v>
      </c>
      <c r="N533">
        <f t="shared" si="88"/>
        <v>26478.399999999998</v>
      </c>
      <c r="O533" s="87">
        <f>(((1-((1+$W$11)/(1+$W$10))^(6*(J533+K533)))/($W$10-$W$11))*(1+$W$10)^(6*(J533+K533)))</f>
        <v>1430.2452154182549</v>
      </c>
      <c r="P533" s="69">
        <f>N533*0.065*O533</f>
        <v>2461589.319275497</v>
      </c>
      <c r="Q533" s="69">
        <f t="shared" si="89"/>
        <v>16410.595461836645</v>
      </c>
      <c r="R533" s="69">
        <f>G533*(1+0.06)^K533</f>
        <v>170875.35391763275</v>
      </c>
      <c r="S533" s="77">
        <f t="shared" si="90"/>
        <v>9.6038399251814066E-2</v>
      </c>
    </row>
    <row r="534" spans="1:19" ht="15.5" x14ac:dyDescent="0.35">
      <c r="A534" s="3" t="s">
        <v>4764</v>
      </c>
      <c r="B534" s="16" t="s">
        <v>4765</v>
      </c>
      <c r="C534" s="17" t="s">
        <v>4767</v>
      </c>
      <c r="D534" s="17" t="str">
        <f t="shared" si="84"/>
        <v>01/06/74</v>
      </c>
      <c r="E534" s="3" t="s">
        <v>3739</v>
      </c>
      <c r="F534" s="6">
        <v>79435.199999999983</v>
      </c>
      <c r="G534" s="6">
        <f>IF(F534=0,$Y$3,F534)</f>
        <v>79435.199999999983</v>
      </c>
      <c r="H534" s="79">
        <f t="shared" si="81"/>
        <v>98</v>
      </c>
      <c r="I534">
        <f t="shared" si="82"/>
        <v>48</v>
      </c>
      <c r="J534">
        <f t="shared" si="83"/>
        <v>0</v>
      </c>
      <c r="K534">
        <f t="shared" si="85"/>
        <v>17</v>
      </c>
      <c r="L534" s="80">
        <f t="shared" si="86"/>
        <v>24</v>
      </c>
      <c r="M534" s="80">
        <f t="shared" si="87"/>
        <v>41</v>
      </c>
      <c r="N534">
        <f t="shared" si="88"/>
        <v>79435.199999999983</v>
      </c>
      <c r="O534" s="87">
        <f>(((1-((1+$W$11)/(1+$W$10))^(6*(J534+K534)))/($W$10-$W$11))*(1+$W$10)^(6*(J534+K534)))</f>
        <v>294.69014083058926</v>
      </c>
      <c r="P534" s="69">
        <f>N534*0.065*O534</f>
        <v>1521570.0678688912</v>
      </c>
      <c r="Q534" s="69">
        <f t="shared" si="89"/>
        <v>10143.800452459274</v>
      </c>
      <c r="R534" s="69">
        <f>G534*(1+0.06)^K534</f>
        <v>213900.94479194397</v>
      </c>
      <c r="S534" s="77">
        <f t="shared" si="90"/>
        <v>4.7422887553516382E-2</v>
      </c>
    </row>
    <row r="535" spans="1:19" ht="15.5" x14ac:dyDescent="0.35">
      <c r="A535" s="3" t="s">
        <v>4768</v>
      </c>
      <c r="B535" s="16" t="s">
        <v>4769</v>
      </c>
      <c r="C535" s="17" t="s">
        <v>4771</v>
      </c>
      <c r="D535" s="17" t="str">
        <f t="shared" si="84"/>
        <v>27/07/89</v>
      </c>
      <c r="E535" s="3" t="s">
        <v>4772</v>
      </c>
      <c r="F535" s="6">
        <v>0</v>
      </c>
      <c r="G535" s="6">
        <f>IF(F535=0,$Y$3,F535)</f>
        <v>15640.21</v>
      </c>
      <c r="H535" s="79">
        <f t="shared" si="81"/>
        <v>14</v>
      </c>
      <c r="I535">
        <f t="shared" si="82"/>
        <v>33</v>
      </c>
      <c r="J535">
        <f t="shared" si="83"/>
        <v>0</v>
      </c>
      <c r="K535">
        <f t="shared" si="85"/>
        <v>32</v>
      </c>
      <c r="L535" s="80">
        <f t="shared" si="86"/>
        <v>8</v>
      </c>
      <c r="M535" s="80">
        <f t="shared" si="87"/>
        <v>40</v>
      </c>
      <c r="N535">
        <f t="shared" si="88"/>
        <v>15640.21</v>
      </c>
      <c r="O535" s="87">
        <f>(((1-((1+$W$11)/(1+$W$10))^(6*(J535+K535)))/($W$10-$W$11))*(1+$W$10)^(6*(J535+K535)))</f>
        <v>1430.2452154182549</v>
      </c>
      <c r="P535" s="69">
        <f>N535*0.065*O535</f>
        <v>1454006.8088413884</v>
      </c>
      <c r="Q535" s="69">
        <f t="shared" si="89"/>
        <v>9693.3787256092564</v>
      </c>
      <c r="R535" s="69">
        <f>G535*(1+0.06)^K535</f>
        <v>100932.32291588989</v>
      </c>
      <c r="S535" s="77">
        <f t="shared" si="90"/>
        <v>9.603839925181408E-2</v>
      </c>
    </row>
    <row r="536" spans="1:19" ht="15.5" x14ac:dyDescent="0.35">
      <c r="A536" s="3" t="s">
        <v>4773</v>
      </c>
      <c r="B536" s="16" t="s">
        <v>4774</v>
      </c>
      <c r="C536" s="17" t="s">
        <v>4776</v>
      </c>
      <c r="D536" s="17" t="str">
        <f t="shared" si="84"/>
        <v>18/10/01</v>
      </c>
      <c r="E536" s="3" t="s">
        <v>4047</v>
      </c>
      <c r="F536" s="6">
        <v>6103.1039999999994</v>
      </c>
      <c r="G536" s="6">
        <f>IF(F536=0,$Y$3,F536)</f>
        <v>6103.1039999999994</v>
      </c>
      <c r="H536" s="79">
        <f t="shared" si="81"/>
        <v>21</v>
      </c>
      <c r="I536">
        <f t="shared" si="82"/>
        <v>21</v>
      </c>
      <c r="J536">
        <f t="shared" si="83"/>
        <v>0</v>
      </c>
      <c r="K536">
        <f t="shared" si="85"/>
        <v>44</v>
      </c>
      <c r="L536" s="80">
        <f t="shared" si="86"/>
        <v>1</v>
      </c>
      <c r="M536" s="80">
        <f t="shared" si="87"/>
        <v>45</v>
      </c>
      <c r="N536">
        <f t="shared" si="88"/>
        <v>6103.1039999999994</v>
      </c>
      <c r="O536" s="87">
        <f>(((1-((1+$W$11)/(1+$W$10))^(6*(J536+K536)))/($W$10-$W$11))*(1+$W$10)^(6*(J536+K536)))</f>
        <v>4200.5189242334509</v>
      </c>
      <c r="P536" s="69">
        <f>N536*0.065*O536</f>
        <v>1666353.2501567164</v>
      </c>
      <c r="Q536" s="69">
        <f t="shared" si="89"/>
        <v>11109.021667711442</v>
      </c>
      <c r="R536" s="69">
        <f>G536*(1+0.06)^K536</f>
        <v>79251.74660320628</v>
      </c>
      <c r="S536" s="77">
        <f t="shared" si="90"/>
        <v>0.14017384024773033</v>
      </c>
    </row>
    <row r="537" spans="1:19" ht="15.5" x14ac:dyDescent="0.35">
      <c r="A537" s="3" t="s">
        <v>4777</v>
      </c>
      <c r="B537" s="16" t="s">
        <v>4778</v>
      </c>
      <c r="C537" s="17" t="s">
        <v>4780</v>
      </c>
      <c r="D537" s="17" t="str">
        <f t="shared" si="84"/>
        <v>29/10/99</v>
      </c>
      <c r="E537" s="3" t="s">
        <v>4047</v>
      </c>
      <c r="F537" s="6">
        <v>11838.064</v>
      </c>
      <c r="G537" s="6">
        <f>IF(F537=0,$Y$3,F537)</f>
        <v>11838.064</v>
      </c>
      <c r="H537" s="79">
        <f t="shared" si="81"/>
        <v>16</v>
      </c>
      <c r="I537">
        <f t="shared" si="82"/>
        <v>23</v>
      </c>
      <c r="J537">
        <f t="shared" si="83"/>
        <v>0</v>
      </c>
      <c r="K537">
        <f t="shared" si="85"/>
        <v>42</v>
      </c>
      <c r="L537" s="80">
        <f t="shared" si="86"/>
        <v>6</v>
      </c>
      <c r="M537" s="80">
        <f t="shared" si="87"/>
        <v>48</v>
      </c>
      <c r="N537">
        <f t="shared" si="88"/>
        <v>11838.064</v>
      </c>
      <c r="O537" s="87">
        <f>(((1-((1+$W$11)/(1+$W$10))^(6*(J537+K537)))/($W$10-$W$11))*(1+$W$10)^(6*(J537+K537)))</f>
        <v>3532.9398561414855</v>
      </c>
      <c r="P537" s="69">
        <f>N537*0.065*O537</f>
        <v>2718505.9281349909</v>
      </c>
      <c r="Q537" s="69">
        <f t="shared" si="89"/>
        <v>18123.372854233272</v>
      </c>
      <c r="R537" s="69">
        <f>G537*(1+0.06)^K537</f>
        <v>136812.89244673442</v>
      </c>
      <c r="S537" s="77">
        <f t="shared" si="90"/>
        <v>0.13246831150280133</v>
      </c>
    </row>
    <row r="538" spans="1:19" ht="15.5" x14ac:dyDescent="0.35">
      <c r="A538" s="3" t="s">
        <v>4781</v>
      </c>
      <c r="B538" s="16" t="s">
        <v>4782</v>
      </c>
      <c r="C538" s="17" t="s">
        <v>4784</v>
      </c>
      <c r="D538" s="17" t="str">
        <f t="shared" si="84"/>
        <v>05/12/99</v>
      </c>
      <c r="E538" s="3" t="s">
        <v>4047</v>
      </c>
      <c r="F538" s="6">
        <v>9015.7279999999992</v>
      </c>
      <c r="G538" s="6">
        <f>IF(F538=0,$Y$3,F538)</f>
        <v>9015.7279999999992</v>
      </c>
      <c r="H538" s="79">
        <f t="shared" si="81"/>
        <v>22</v>
      </c>
      <c r="I538">
        <f t="shared" si="82"/>
        <v>23</v>
      </c>
      <c r="J538">
        <f t="shared" si="83"/>
        <v>0</v>
      </c>
      <c r="K538">
        <f t="shared" si="85"/>
        <v>42</v>
      </c>
      <c r="L538" s="80">
        <f t="shared" si="86"/>
        <v>0</v>
      </c>
      <c r="M538" s="80">
        <f t="shared" si="87"/>
        <v>42</v>
      </c>
      <c r="N538">
        <f t="shared" si="88"/>
        <v>9015.7279999999992</v>
      </c>
      <c r="O538" s="87">
        <f>(((1-((1+$W$11)/(1+$W$10))^(6*(J538+K538)))/($W$10-$W$11))*(1+$W$10)^(6*(J538+K538)))</f>
        <v>3532.9398561414855</v>
      </c>
      <c r="P538" s="69">
        <f>N538*0.065*O538</f>
        <v>2070381.6109164993</v>
      </c>
      <c r="Q538" s="69">
        <f t="shared" si="89"/>
        <v>13802.544072776662</v>
      </c>
      <c r="R538" s="69">
        <f>G538*(1+0.06)^K538</f>
        <v>104195.06307729134</v>
      </c>
      <c r="S538" s="77">
        <f t="shared" si="90"/>
        <v>0.13246831150280131</v>
      </c>
    </row>
    <row r="539" spans="1:19" ht="15.5" x14ac:dyDescent="0.35">
      <c r="A539" s="3" t="s">
        <v>4788</v>
      </c>
      <c r="B539" s="16" t="s">
        <v>4789</v>
      </c>
      <c r="C539" s="17" t="s">
        <v>1673</v>
      </c>
      <c r="D539" s="17" t="str">
        <f t="shared" si="84"/>
        <v>28/11/72</v>
      </c>
      <c r="E539" s="3" t="s">
        <v>4047</v>
      </c>
      <c r="F539" s="6">
        <v>7862.0479999999998</v>
      </c>
      <c r="G539" s="6">
        <f>IF(F539=0,$Y$3,F539)</f>
        <v>7862.0479999999998</v>
      </c>
      <c r="H539" s="79">
        <f t="shared" si="81"/>
        <v>3</v>
      </c>
      <c r="I539">
        <f t="shared" si="82"/>
        <v>50</v>
      </c>
      <c r="J539">
        <f t="shared" si="83"/>
        <v>0</v>
      </c>
      <c r="K539">
        <f t="shared" si="85"/>
        <v>15</v>
      </c>
      <c r="L539" s="80">
        <f t="shared" si="86"/>
        <v>19</v>
      </c>
      <c r="M539" s="80">
        <f t="shared" si="87"/>
        <v>34</v>
      </c>
      <c r="N539">
        <f t="shared" si="88"/>
        <v>7862.0479999999998</v>
      </c>
      <c r="O539" s="87">
        <f>(((1-((1+$W$11)/(1+$W$10))^(6*(J539+K539)))/($W$10-$W$11))*(1+$W$10)^(6*(J539+K539)))</f>
        <v>229.20085400115141</v>
      </c>
      <c r="P539" s="69">
        <f>N539*0.065*O539</f>
        <v>117129.22752687288</v>
      </c>
      <c r="Q539" s="69">
        <f t="shared" si="89"/>
        <v>780.86151684581921</v>
      </c>
      <c r="R539" s="69">
        <f>G539*(1+0.06)^K539</f>
        <v>18841.855548943051</v>
      </c>
      <c r="S539" s="77">
        <f t="shared" si="90"/>
        <v>4.1442920248352201E-2</v>
      </c>
    </row>
    <row r="540" spans="1:19" ht="15.5" x14ac:dyDescent="0.35">
      <c r="A540" s="3" t="s">
        <v>4791</v>
      </c>
      <c r="B540" s="16" t="s">
        <v>4792</v>
      </c>
      <c r="C540" s="17" t="s">
        <v>4794</v>
      </c>
      <c r="D540" s="17" t="str">
        <f t="shared" si="84"/>
        <v>07/04/99</v>
      </c>
      <c r="E540" s="3" t="s">
        <v>4795</v>
      </c>
      <c r="F540" s="6">
        <v>8591.6479999999992</v>
      </c>
      <c r="G540" s="6">
        <f>IF(F540=0,$Y$3,F540)</f>
        <v>8591.6479999999992</v>
      </c>
      <c r="H540" s="79">
        <f t="shared" si="81"/>
        <v>16</v>
      </c>
      <c r="I540">
        <f t="shared" si="82"/>
        <v>23</v>
      </c>
      <c r="J540">
        <f t="shared" si="83"/>
        <v>0</v>
      </c>
      <c r="K540">
        <f t="shared" si="85"/>
        <v>42</v>
      </c>
      <c r="L540" s="80">
        <f t="shared" si="86"/>
        <v>6</v>
      </c>
      <c r="M540" s="80">
        <f t="shared" si="87"/>
        <v>48</v>
      </c>
      <c r="N540">
        <f t="shared" si="88"/>
        <v>8591.6479999999992</v>
      </c>
      <c r="O540" s="87">
        <f>(((1-((1+$W$11)/(1+$W$10))^(6*(J540+K540)))/($W$10-$W$11))*(1+$W$10)^(6*(J540+K540)))</f>
        <v>3532.9398561414855</v>
      </c>
      <c r="P540" s="69">
        <f>N540*0.065*O540</f>
        <v>1972995.4171939881</v>
      </c>
      <c r="Q540" s="69">
        <f t="shared" si="89"/>
        <v>13153.302781293254</v>
      </c>
      <c r="R540" s="69">
        <f>G540*(1+0.06)^K540</f>
        <v>99293.956660835815</v>
      </c>
      <c r="S540" s="77">
        <f t="shared" si="90"/>
        <v>0.13246831150280133</v>
      </c>
    </row>
    <row r="541" spans="1:19" ht="15.5" x14ac:dyDescent="0.35">
      <c r="A541" s="3" t="s">
        <v>4796</v>
      </c>
      <c r="B541" s="16" t="s">
        <v>4797</v>
      </c>
      <c r="C541" s="17" t="s">
        <v>1627</v>
      </c>
      <c r="D541" s="17" t="str">
        <f t="shared" si="84"/>
        <v>20/10/97</v>
      </c>
      <c r="E541" s="3" t="s">
        <v>4799</v>
      </c>
      <c r="F541" s="6">
        <v>8250.56</v>
      </c>
      <c r="G541" s="6">
        <f>IF(F541=0,$Y$3,F541)</f>
        <v>8250.56</v>
      </c>
      <c r="H541" s="79">
        <f t="shared" si="81"/>
        <v>15</v>
      </c>
      <c r="I541">
        <f t="shared" si="82"/>
        <v>25</v>
      </c>
      <c r="J541">
        <f t="shared" si="83"/>
        <v>0</v>
      </c>
      <c r="K541">
        <f t="shared" si="85"/>
        <v>40</v>
      </c>
      <c r="L541" s="80">
        <f t="shared" si="86"/>
        <v>7</v>
      </c>
      <c r="M541" s="80">
        <f t="shared" si="87"/>
        <v>47</v>
      </c>
      <c r="N541">
        <f t="shared" si="88"/>
        <v>8250.56</v>
      </c>
      <c r="O541" s="87">
        <f>(((1-((1+$W$11)/(1+$W$10))^(6*(J541+K541)))/($W$10-$W$11))*(1+$W$10)^(6*(J541+K541)))</f>
        <v>2964.8060935111685</v>
      </c>
      <c r="P541" s="69">
        <f>N541*0.065*O541</f>
        <v>1589985.1865871677</v>
      </c>
      <c r="Q541" s="69">
        <f t="shared" si="89"/>
        <v>10599.901243914452</v>
      </c>
      <c r="R541" s="69">
        <f>G541*(1+0.06)^K541</f>
        <v>84862.932983333696</v>
      </c>
      <c r="S541" s="77">
        <f t="shared" si="90"/>
        <v>0.12490613830182107</v>
      </c>
    </row>
    <row r="542" spans="1:19" ht="15.5" x14ac:dyDescent="0.35">
      <c r="A542" s="3" t="s">
        <v>4800</v>
      </c>
      <c r="B542" s="16" t="s">
        <v>4801</v>
      </c>
      <c r="C542" s="17" t="s">
        <v>4803</v>
      </c>
      <c r="D542" s="17" t="str">
        <f t="shared" si="84"/>
        <v>15/09/00</v>
      </c>
      <c r="E542" s="3" t="s">
        <v>4047</v>
      </c>
      <c r="F542" s="6">
        <v>5602.72</v>
      </c>
      <c r="G542" s="6">
        <f>IF(F542=0,$Y$3,F542)</f>
        <v>5602.72</v>
      </c>
      <c r="H542" s="79">
        <f t="shared" si="81"/>
        <v>15</v>
      </c>
      <c r="I542">
        <f t="shared" si="82"/>
        <v>22</v>
      </c>
      <c r="J542">
        <f t="shared" si="83"/>
        <v>0</v>
      </c>
      <c r="K542">
        <f t="shared" si="85"/>
        <v>43</v>
      </c>
      <c r="L542" s="80">
        <f t="shared" si="86"/>
        <v>7</v>
      </c>
      <c r="M542" s="80">
        <f t="shared" si="87"/>
        <v>50</v>
      </c>
      <c r="N542">
        <f t="shared" si="88"/>
        <v>5602.72</v>
      </c>
      <c r="O542" s="87">
        <f>(((1-((1+$W$11)/(1+$W$10))^(6*(J542+K542)))/($W$10-$W$11))*(1+$W$10)^(6*(J542+K542)))</f>
        <v>3853.3236192812783</v>
      </c>
      <c r="P542" s="69">
        <f>N542*0.065*O542</f>
        <v>1403291.0650342742</v>
      </c>
      <c r="Q542" s="69">
        <f t="shared" si="89"/>
        <v>9355.2737668951613</v>
      </c>
      <c r="R542" s="69">
        <f>G542*(1+0.06)^K542</f>
        <v>68635.867190388395</v>
      </c>
      <c r="S542" s="77">
        <f t="shared" si="90"/>
        <v>0.13630298777962044</v>
      </c>
    </row>
    <row r="543" spans="1:19" ht="15.5" x14ac:dyDescent="0.35">
      <c r="A543" s="3" t="s">
        <v>4804</v>
      </c>
      <c r="B543" s="16" t="s">
        <v>4805</v>
      </c>
      <c r="C543" s="17" t="s">
        <v>1147</v>
      </c>
      <c r="D543" s="17" t="str">
        <f t="shared" si="84"/>
        <v>04/04/89</v>
      </c>
      <c r="E543" s="3" t="s">
        <v>4799</v>
      </c>
      <c r="F543" s="6">
        <v>5982.72</v>
      </c>
      <c r="G543" s="6">
        <f>IF(F543=0,$Y$3,F543)</f>
        <v>5982.72</v>
      </c>
      <c r="H543" s="79">
        <f t="shared" si="81"/>
        <v>8</v>
      </c>
      <c r="I543">
        <f t="shared" si="82"/>
        <v>33</v>
      </c>
      <c r="J543">
        <f t="shared" si="83"/>
        <v>0</v>
      </c>
      <c r="K543">
        <f t="shared" si="85"/>
        <v>32</v>
      </c>
      <c r="L543" s="80">
        <f t="shared" si="86"/>
        <v>14</v>
      </c>
      <c r="M543" s="80">
        <f t="shared" si="87"/>
        <v>46</v>
      </c>
      <c r="N543">
        <f t="shared" si="88"/>
        <v>5982.72</v>
      </c>
      <c r="O543" s="87">
        <f>(((1-((1+$W$11)/(1+$W$10))^(6*(J543+K543)))/($W$10-$W$11))*(1+$W$10)^(6*(J543+K543)))</f>
        <v>1430.2452154182549</v>
      </c>
      <c r="P543" s="69">
        <f>N543*0.065*O543</f>
        <v>556189.18258716166</v>
      </c>
      <c r="Q543" s="69">
        <f t="shared" si="89"/>
        <v>3707.9278839144113</v>
      </c>
      <c r="R543" s="69">
        <f>G543*(1+0.06)^K543</f>
        <v>38608.805569449054</v>
      </c>
      <c r="S543" s="77">
        <f t="shared" si="90"/>
        <v>9.603839925181408E-2</v>
      </c>
    </row>
    <row r="544" spans="1:19" ht="15.5" x14ac:dyDescent="0.35">
      <c r="A544" s="3" t="s">
        <v>4807</v>
      </c>
      <c r="B544" s="16" t="s">
        <v>4808</v>
      </c>
      <c r="C544" s="17" t="s">
        <v>4810</v>
      </c>
      <c r="D544" s="17" t="str">
        <f t="shared" si="84"/>
        <v>11/02/95</v>
      </c>
      <c r="E544" s="3" t="s">
        <v>4799</v>
      </c>
      <c r="F544" s="6">
        <v>7862.0479999999998</v>
      </c>
      <c r="G544" s="6">
        <f>IF(F544=0,$Y$3,F544)</f>
        <v>7862.0479999999998</v>
      </c>
      <c r="H544" s="79">
        <f t="shared" si="81"/>
        <v>13</v>
      </c>
      <c r="I544">
        <f t="shared" si="82"/>
        <v>27</v>
      </c>
      <c r="J544">
        <f t="shared" si="83"/>
        <v>0</v>
      </c>
      <c r="K544">
        <f t="shared" si="85"/>
        <v>38</v>
      </c>
      <c r="L544" s="80">
        <f t="shared" si="86"/>
        <v>9</v>
      </c>
      <c r="M544" s="80">
        <f t="shared" si="87"/>
        <v>47</v>
      </c>
      <c r="N544">
        <f t="shared" si="88"/>
        <v>7862.0479999999998</v>
      </c>
      <c r="O544" s="87">
        <f>(((1-((1+$W$11)/(1+$W$10))^(6*(J544+K544)))/($W$10-$W$11))*(1+$W$10)^(6*(J544+K544)))</f>
        <v>2481.8865373152853</v>
      </c>
      <c r="P544" s="69">
        <f>N544*0.065*O544</f>
        <v>1268326.2206502266</v>
      </c>
      <c r="Q544" s="69">
        <f t="shared" si="89"/>
        <v>8455.5081376681774</v>
      </c>
      <c r="R544" s="69">
        <f>G544*(1+0.06)^K544</f>
        <v>71971.171356483654</v>
      </c>
      <c r="S544" s="77">
        <f t="shared" si="90"/>
        <v>0.11748465362314056</v>
      </c>
    </row>
    <row r="545" spans="1:19" ht="15.5" x14ac:dyDescent="0.35">
      <c r="A545" s="3" t="s">
        <v>4811</v>
      </c>
      <c r="B545" s="16" t="s">
        <v>4812</v>
      </c>
      <c r="C545" s="17" t="s">
        <v>4814</v>
      </c>
      <c r="D545" s="17" t="str">
        <f t="shared" si="84"/>
        <v>02/06/96</v>
      </c>
      <c r="E545" s="3" t="s">
        <v>4815</v>
      </c>
      <c r="F545" s="6">
        <v>0</v>
      </c>
      <c r="G545" s="6">
        <f>IF(F545=0,$Y$3,F545)</f>
        <v>15640.21</v>
      </c>
      <c r="H545" s="79">
        <f t="shared" si="81"/>
        <v>11</v>
      </c>
      <c r="I545">
        <f t="shared" si="82"/>
        <v>26</v>
      </c>
      <c r="J545">
        <f t="shared" si="83"/>
        <v>0</v>
      </c>
      <c r="K545">
        <f t="shared" si="85"/>
        <v>39</v>
      </c>
      <c r="L545" s="80">
        <f t="shared" si="86"/>
        <v>11</v>
      </c>
      <c r="M545" s="80">
        <f t="shared" si="87"/>
        <v>50</v>
      </c>
      <c r="N545">
        <f t="shared" si="88"/>
        <v>15640.21</v>
      </c>
      <c r="O545" s="87">
        <f>(((1-((1+$W$11)/(1+$W$10))^(6*(J545+K545)))/($W$10-$W$11))*(1+$W$10)^(6*(J545+K545)))</f>
        <v>2713.5031944291845</v>
      </c>
      <c r="P545" s="69">
        <f>N545*0.065*O545</f>
        <v>2758584.3867753129</v>
      </c>
      <c r="Q545" s="69">
        <f t="shared" si="89"/>
        <v>18390.562578502086</v>
      </c>
      <c r="R545" s="69">
        <f>G545*(1+0.06)^K545</f>
        <v>151764.89484661919</v>
      </c>
      <c r="S545" s="77">
        <f t="shared" si="90"/>
        <v>0.12117797463694395</v>
      </c>
    </row>
    <row r="546" spans="1:19" ht="15.5" x14ac:dyDescent="0.35">
      <c r="A546" s="3" t="s">
        <v>4816</v>
      </c>
      <c r="B546" s="16" t="s">
        <v>4817</v>
      </c>
      <c r="C546" s="17" t="s">
        <v>4819</v>
      </c>
      <c r="D546" s="17" t="str">
        <f t="shared" si="84"/>
        <v>12/11/88</v>
      </c>
      <c r="E546" s="3" t="s">
        <v>4815</v>
      </c>
      <c r="F546" s="6">
        <v>6639.6639999999998</v>
      </c>
      <c r="G546" s="6">
        <f>IF(F546=0,$Y$3,F546)</f>
        <v>6639.6639999999998</v>
      </c>
      <c r="H546" s="79">
        <f t="shared" si="81"/>
        <v>11</v>
      </c>
      <c r="I546">
        <f t="shared" si="82"/>
        <v>34</v>
      </c>
      <c r="J546">
        <f t="shared" si="83"/>
        <v>0</v>
      </c>
      <c r="K546">
        <f t="shared" si="85"/>
        <v>31</v>
      </c>
      <c r="L546" s="80">
        <f t="shared" si="86"/>
        <v>11</v>
      </c>
      <c r="M546" s="80">
        <f t="shared" si="87"/>
        <v>42</v>
      </c>
      <c r="N546">
        <f t="shared" si="88"/>
        <v>6639.6639999999998</v>
      </c>
      <c r="O546" s="87">
        <f>(((1-((1+$W$11)/(1+$W$10))^(6*(J546+K546)))/($W$10-$W$11))*(1+$W$10)^(6*(J546+K546)))</f>
        <v>1300.6996735984885</v>
      </c>
      <c r="P546" s="69">
        <f>N546*0.065*O546</f>
        <v>561353.57184423634</v>
      </c>
      <c r="Q546" s="69">
        <f t="shared" si="89"/>
        <v>3742.3571456282425</v>
      </c>
      <c r="R546" s="69">
        <f>G546*(1+0.06)^K546</f>
        <v>40422.942669616546</v>
      </c>
      <c r="S546" s="77">
        <f t="shared" si="90"/>
        <v>9.2580027540675403E-2</v>
      </c>
    </row>
    <row r="547" spans="1:19" ht="15.5" x14ac:dyDescent="0.35">
      <c r="A547" s="3" t="s">
        <v>4820</v>
      </c>
      <c r="B547" s="16" t="s">
        <v>4821</v>
      </c>
      <c r="C547" s="17" t="s">
        <v>4823</v>
      </c>
      <c r="D547" s="17" t="str">
        <f t="shared" si="84"/>
        <v>22/03/95</v>
      </c>
      <c r="E547" s="3" t="s">
        <v>4824</v>
      </c>
      <c r="F547" s="6">
        <v>10882.592000000001</v>
      </c>
      <c r="G547" s="6">
        <f>IF(F547=0,$Y$3,F547)</f>
        <v>10882.592000000001</v>
      </c>
      <c r="H547" s="79">
        <f t="shared" si="81"/>
        <v>14</v>
      </c>
      <c r="I547">
        <f t="shared" si="82"/>
        <v>27</v>
      </c>
      <c r="J547">
        <f t="shared" si="83"/>
        <v>0</v>
      </c>
      <c r="K547">
        <f t="shared" si="85"/>
        <v>38</v>
      </c>
      <c r="L547" s="80">
        <f t="shared" si="86"/>
        <v>8</v>
      </c>
      <c r="M547" s="80">
        <f t="shared" si="87"/>
        <v>46</v>
      </c>
      <c r="N547">
        <f t="shared" si="88"/>
        <v>10882.592000000001</v>
      </c>
      <c r="O547" s="87">
        <f>(((1-((1+$W$11)/(1+$W$10))^(6*(J547+K547)))/($W$10-$W$11))*(1+$W$10)^(6*(J547+K547)))</f>
        <v>2481.8865373152853</v>
      </c>
      <c r="P547" s="69">
        <f>N547*0.065*O547</f>
        <v>1755608.3074331768</v>
      </c>
      <c r="Q547" s="69">
        <f t="shared" si="89"/>
        <v>11704.055382887846</v>
      </c>
      <c r="R547" s="69">
        <f>G547*(1+0.06)^K547</f>
        <v>99621.993357799161</v>
      </c>
      <c r="S547" s="77">
        <f t="shared" si="90"/>
        <v>0.11748465362314058</v>
      </c>
    </row>
    <row r="548" spans="1:19" ht="15.5" x14ac:dyDescent="0.35">
      <c r="A548" s="3" t="s">
        <v>4825</v>
      </c>
      <c r="B548" s="16" t="s">
        <v>4826</v>
      </c>
      <c r="C548" s="17" t="s">
        <v>4828</v>
      </c>
      <c r="D548" s="17" t="str">
        <f t="shared" si="84"/>
        <v>30/06/94</v>
      </c>
      <c r="E548" s="3" t="s">
        <v>4824</v>
      </c>
      <c r="F548" s="6">
        <v>13995.552</v>
      </c>
      <c r="G548" s="6">
        <f>IF(F548=0,$Y$3,F548)</f>
        <v>13995.552</v>
      </c>
      <c r="H548" s="79">
        <f t="shared" si="81"/>
        <v>12</v>
      </c>
      <c r="I548">
        <f t="shared" si="82"/>
        <v>28</v>
      </c>
      <c r="J548">
        <f t="shared" si="83"/>
        <v>0</v>
      </c>
      <c r="K548">
        <f t="shared" si="85"/>
        <v>37</v>
      </c>
      <c r="L548" s="80">
        <f t="shared" si="86"/>
        <v>10</v>
      </c>
      <c r="M548" s="80">
        <f t="shared" si="87"/>
        <v>47</v>
      </c>
      <c r="N548">
        <f t="shared" si="88"/>
        <v>13995.552</v>
      </c>
      <c r="O548" s="87">
        <f>(((1-((1+$W$11)/(1+$W$10))^(6*(J548+K548)))/($W$10-$W$11))*(1+$W$10)^(6*(J548+K548)))</f>
        <v>2268.4845089511282</v>
      </c>
      <c r="P548" s="69">
        <f>N548*0.065*O548</f>
        <v>2063665.0389042986</v>
      </c>
      <c r="Q548" s="69">
        <f t="shared" si="89"/>
        <v>13757.766926028657</v>
      </c>
      <c r="R548" s="69">
        <f>G548*(1+0.06)^K548</f>
        <v>120866.80636228115</v>
      </c>
      <c r="S548" s="77">
        <f t="shared" si="90"/>
        <v>0.1138258496281576</v>
      </c>
    </row>
    <row r="549" spans="1:19" ht="15.5" x14ac:dyDescent="0.35">
      <c r="A549" s="3" t="s">
        <v>4829</v>
      </c>
      <c r="B549" s="16" t="s">
        <v>4830</v>
      </c>
      <c r="C549" s="17" t="s">
        <v>4832</v>
      </c>
      <c r="D549" s="17" t="str">
        <f t="shared" si="84"/>
        <v>28/04/89</v>
      </c>
      <c r="E549" s="3" t="s">
        <v>4047</v>
      </c>
      <c r="F549" s="6">
        <v>12247.552</v>
      </c>
      <c r="G549" s="6">
        <f>IF(F549=0,$Y$3,F549)</f>
        <v>12247.552</v>
      </c>
      <c r="H549" s="79">
        <f t="shared" si="81"/>
        <v>13</v>
      </c>
      <c r="I549">
        <f t="shared" si="82"/>
        <v>33</v>
      </c>
      <c r="J549">
        <f t="shared" si="83"/>
        <v>0</v>
      </c>
      <c r="K549">
        <f t="shared" si="85"/>
        <v>32</v>
      </c>
      <c r="L549" s="80">
        <f t="shared" si="86"/>
        <v>9</v>
      </c>
      <c r="M549" s="80">
        <f t="shared" si="87"/>
        <v>41</v>
      </c>
      <c r="N549">
        <f t="shared" si="88"/>
        <v>12247.552</v>
      </c>
      <c r="O549" s="87">
        <f>(((1-((1+$W$11)/(1+$W$10))^(6*(J549+K549)))/($W$10-$W$11))*(1+$W$10)^(6*(J549+K549)))</f>
        <v>1430.2452154182549</v>
      </c>
      <c r="P549" s="69">
        <f>N549*0.065*O549</f>
        <v>1138605.1721581081</v>
      </c>
      <c r="Q549" s="69">
        <f t="shared" si="89"/>
        <v>7590.7011477207207</v>
      </c>
      <c r="R549" s="69">
        <f>G549*(1+0.06)^K549</f>
        <v>79038.188962498141</v>
      </c>
      <c r="S549" s="77">
        <f t="shared" si="90"/>
        <v>9.6038399251814066E-2</v>
      </c>
    </row>
    <row r="550" spans="1:19" ht="15.5" x14ac:dyDescent="0.35">
      <c r="A550" s="3" t="s">
        <v>4833</v>
      </c>
      <c r="B550" s="16" t="s">
        <v>4834</v>
      </c>
      <c r="C550" s="17" t="s">
        <v>4836</v>
      </c>
      <c r="D550" s="17" t="str">
        <f t="shared" si="84"/>
        <v>01/12/77</v>
      </c>
      <c r="E550" s="3" t="s">
        <v>4815</v>
      </c>
      <c r="F550" s="6">
        <v>21182.719999999998</v>
      </c>
      <c r="G550" s="6">
        <f>IF(F550=0,$Y$3,F550)</f>
        <v>21182.719999999998</v>
      </c>
      <c r="H550" s="79">
        <f t="shared" si="81"/>
        <v>0</v>
      </c>
      <c r="I550">
        <f t="shared" si="82"/>
        <v>45</v>
      </c>
      <c r="J550">
        <f t="shared" si="83"/>
        <v>0</v>
      </c>
      <c r="K550">
        <f t="shared" si="85"/>
        <v>20</v>
      </c>
      <c r="L550" s="80">
        <f t="shared" si="86"/>
        <v>22</v>
      </c>
      <c r="M550" s="80">
        <f t="shared" si="87"/>
        <v>42</v>
      </c>
      <c r="N550">
        <f t="shared" si="88"/>
        <v>21182.719999999998</v>
      </c>
      <c r="O550" s="87">
        <f>(((1-((1+$W$11)/(1+$W$10))^(6*(J550+K550)))/($W$10-$W$11))*(1+$W$10)^(6*(J550+K550)))</f>
        <v>418.94609738113263</v>
      </c>
      <c r="P550" s="69">
        <f>N550*0.065*O550</f>
        <v>576837.16193462221</v>
      </c>
      <c r="Q550" s="69">
        <f t="shared" si="89"/>
        <v>3845.5810795641482</v>
      </c>
      <c r="R550" s="69">
        <f>G550*(1+0.06)^K550</f>
        <v>67935.852709952538</v>
      </c>
      <c r="S550" s="77">
        <f t="shared" si="90"/>
        <v>5.6606061838696466E-2</v>
      </c>
    </row>
    <row r="551" spans="1:19" ht="15.5" x14ac:dyDescent="0.35">
      <c r="A551" s="3" t="s">
        <v>4837</v>
      </c>
      <c r="B551" s="16" t="s">
        <v>4838</v>
      </c>
      <c r="C551" s="17" t="s">
        <v>4840</v>
      </c>
      <c r="D551" s="17" t="str">
        <f t="shared" si="84"/>
        <v>11/01/98</v>
      </c>
      <c r="E551" s="3" t="s">
        <v>4824</v>
      </c>
      <c r="F551" s="6">
        <v>7862.0479999999998</v>
      </c>
      <c r="G551" s="6">
        <f>IF(F551=0,$Y$3,F551)</f>
        <v>7862.0479999999998</v>
      </c>
      <c r="H551" s="79">
        <f t="shared" si="81"/>
        <v>15</v>
      </c>
      <c r="I551">
        <f t="shared" si="82"/>
        <v>24</v>
      </c>
      <c r="J551">
        <f t="shared" si="83"/>
        <v>0</v>
      </c>
      <c r="K551">
        <f t="shared" si="85"/>
        <v>41</v>
      </c>
      <c r="L551" s="80">
        <f t="shared" si="86"/>
        <v>7</v>
      </c>
      <c r="M551" s="80">
        <f t="shared" si="87"/>
        <v>48</v>
      </c>
      <c r="N551">
        <f t="shared" si="88"/>
        <v>7862.0479999999998</v>
      </c>
      <c r="O551" s="87">
        <f>(((1-((1+$W$11)/(1+$W$10))^(6*(J551+K551)))/($W$10-$W$11))*(1+$W$10)^(6*(J551+K551)))</f>
        <v>3237.3816560572077</v>
      </c>
      <c r="P551" s="69">
        <f>N551*0.065*O551</f>
        <v>1654409.2483256818</v>
      </c>
      <c r="Q551" s="69">
        <f t="shared" si="89"/>
        <v>11029.394988837879</v>
      </c>
      <c r="R551" s="69">
        <f>G551*(1+0.06)^K551</f>
        <v>85718.816624313724</v>
      </c>
      <c r="S551" s="77">
        <f t="shared" si="90"/>
        <v>0.12866947332202724</v>
      </c>
    </row>
    <row r="552" spans="1:19" ht="15.5" x14ac:dyDescent="0.35">
      <c r="A552" s="3" t="s">
        <v>4841</v>
      </c>
      <c r="B552" s="16" t="s">
        <v>4842</v>
      </c>
      <c r="C552" s="17" t="s">
        <v>4844</v>
      </c>
      <c r="D552" s="17" t="str">
        <f t="shared" si="84"/>
        <v>24/03/93</v>
      </c>
      <c r="E552" s="3" t="s">
        <v>4845</v>
      </c>
      <c r="F552" s="6">
        <v>15887.039999999999</v>
      </c>
      <c r="G552" s="6">
        <f>IF(F552=0,$Y$3,F552)</f>
        <v>15887.039999999999</v>
      </c>
      <c r="H552" s="79">
        <f t="shared" si="81"/>
        <v>15</v>
      </c>
      <c r="I552">
        <f t="shared" si="82"/>
        <v>29</v>
      </c>
      <c r="J552">
        <f t="shared" si="83"/>
        <v>0</v>
      </c>
      <c r="K552">
        <f t="shared" si="85"/>
        <v>36</v>
      </c>
      <c r="L552" s="80">
        <f t="shared" si="86"/>
        <v>7</v>
      </c>
      <c r="M552" s="80">
        <f t="shared" si="87"/>
        <v>43</v>
      </c>
      <c r="N552">
        <f t="shared" si="88"/>
        <v>15887.039999999999</v>
      </c>
      <c r="O552" s="87">
        <f>(((1-((1+$W$11)/(1+$W$10))^(6*(J552+K552)))/($W$10-$W$11))*(1+$W$10)^(6*(J552+K552)))</f>
        <v>2071.9321695914473</v>
      </c>
      <c r="P552" s="69">
        <f>N552*0.065*O552</f>
        <v>2139596.5016130968</v>
      </c>
      <c r="Q552" s="69">
        <f t="shared" si="89"/>
        <v>14263.976677420646</v>
      </c>
      <c r="R552" s="69">
        <f>G552*(1+0.06)^K552</f>
        <v>129435.71841171428</v>
      </c>
      <c r="S552" s="77">
        <f t="shared" si="90"/>
        <v>0.11020124006303439</v>
      </c>
    </row>
    <row r="553" spans="1:19" ht="15.5" x14ac:dyDescent="0.35">
      <c r="A553" s="3" t="s">
        <v>4846</v>
      </c>
      <c r="B553" s="16" t="s">
        <v>4847</v>
      </c>
      <c r="C553" s="17" t="s">
        <v>4849</v>
      </c>
      <c r="D553" s="17" t="str">
        <f t="shared" si="84"/>
        <v>14/12/95</v>
      </c>
      <c r="E553" s="3" t="s">
        <v>4850</v>
      </c>
      <c r="F553" s="6">
        <v>8891.6959999999999</v>
      </c>
      <c r="G553" s="6">
        <f>IF(F553=0,$Y$3,F553)</f>
        <v>8891.6959999999999</v>
      </c>
      <c r="H553" s="79">
        <f t="shared" si="81"/>
        <v>6</v>
      </c>
      <c r="I553">
        <f t="shared" si="82"/>
        <v>27</v>
      </c>
      <c r="J553">
        <f t="shared" si="83"/>
        <v>0</v>
      </c>
      <c r="K553">
        <f t="shared" si="85"/>
        <v>38</v>
      </c>
      <c r="L553" s="80">
        <f t="shared" si="86"/>
        <v>16</v>
      </c>
      <c r="M553" s="80">
        <f t="shared" si="87"/>
        <v>54</v>
      </c>
      <c r="N553">
        <f t="shared" si="88"/>
        <v>8891.6959999999999</v>
      </c>
      <c r="O553" s="87">
        <f>(((1-((1+$W$11)/(1+$W$10))^(6*(J553+K553)))/($W$10-$W$11))*(1+$W$10)^(6*(J553+K553)))</f>
        <v>2481.8865373152853</v>
      </c>
      <c r="P553" s="69">
        <f>N553*0.065*O553</f>
        <v>1434431.7387595112</v>
      </c>
      <c r="Q553" s="69">
        <f t="shared" si="89"/>
        <v>9562.8782583967404</v>
      </c>
      <c r="R553" s="69">
        <f>G553*(1+0.06)^K553</f>
        <v>81396.828977101162</v>
      </c>
      <c r="S553" s="77">
        <f t="shared" si="90"/>
        <v>0.11748465362314056</v>
      </c>
    </row>
    <row r="554" spans="1:19" ht="15.5" x14ac:dyDescent="0.35">
      <c r="A554" s="3" t="s">
        <v>4851</v>
      </c>
      <c r="B554" s="16" t="s">
        <v>4852</v>
      </c>
      <c r="C554" s="17" t="s">
        <v>4854</v>
      </c>
      <c r="D554" s="17" t="str">
        <f t="shared" si="84"/>
        <v>18/02/98</v>
      </c>
      <c r="E554" s="3" t="s">
        <v>4772</v>
      </c>
      <c r="F554" s="6">
        <v>7024.8320000000003</v>
      </c>
      <c r="G554" s="6">
        <f>IF(F554=0,$Y$3,F554)</f>
        <v>7024.8320000000003</v>
      </c>
      <c r="H554" s="79">
        <f t="shared" si="81"/>
        <v>16</v>
      </c>
      <c r="I554">
        <f t="shared" si="82"/>
        <v>24</v>
      </c>
      <c r="J554">
        <f t="shared" si="83"/>
        <v>0</v>
      </c>
      <c r="K554">
        <f t="shared" si="85"/>
        <v>41</v>
      </c>
      <c r="L554" s="80">
        <f t="shared" si="86"/>
        <v>6</v>
      </c>
      <c r="M554" s="80">
        <f t="shared" si="87"/>
        <v>47</v>
      </c>
      <c r="N554">
        <f t="shared" si="88"/>
        <v>7024.8320000000003</v>
      </c>
      <c r="O554" s="87">
        <f>(((1-((1+$W$11)/(1+$W$10))^(6*(J554+K554)))/($W$10-$W$11))*(1+$W$10)^(6*(J554+K554)))</f>
        <v>3237.3816560572077</v>
      </c>
      <c r="P554" s="69">
        <f>N554*0.065*O554</f>
        <v>1478234.0464894385</v>
      </c>
      <c r="Q554" s="69">
        <f t="shared" si="89"/>
        <v>9854.8936432629234</v>
      </c>
      <c r="R554" s="69">
        <f>G554*(1+0.06)^K554</f>
        <v>76590.766938157976</v>
      </c>
      <c r="S554" s="77">
        <f t="shared" si="90"/>
        <v>0.12866947332202724</v>
      </c>
    </row>
    <row r="555" spans="1:19" ht="15.5" x14ac:dyDescent="0.35">
      <c r="A555" s="3" t="s">
        <v>4855</v>
      </c>
      <c r="B555" s="16" t="s">
        <v>4856</v>
      </c>
      <c r="C555" s="17" t="s">
        <v>4858</v>
      </c>
      <c r="D555" s="17" t="str">
        <f t="shared" si="84"/>
        <v>06/12/98</v>
      </c>
      <c r="E555" s="3" t="s">
        <v>4850</v>
      </c>
      <c r="F555" s="6">
        <v>7862.0479999999998</v>
      </c>
      <c r="G555" s="6">
        <f>IF(F555=0,$Y$3,F555)</f>
        <v>7862.0479999999998</v>
      </c>
      <c r="H555" s="79">
        <f t="shared" si="81"/>
        <v>20</v>
      </c>
      <c r="I555">
        <f t="shared" si="82"/>
        <v>24</v>
      </c>
      <c r="J555">
        <f t="shared" si="83"/>
        <v>0</v>
      </c>
      <c r="K555">
        <f t="shared" si="85"/>
        <v>41</v>
      </c>
      <c r="L555" s="80">
        <f t="shared" si="86"/>
        <v>2</v>
      </c>
      <c r="M555" s="80">
        <f t="shared" si="87"/>
        <v>43</v>
      </c>
      <c r="N555">
        <f t="shared" si="88"/>
        <v>7862.0479999999998</v>
      </c>
      <c r="O555" s="87">
        <f>(((1-((1+$W$11)/(1+$W$10))^(6*(J555+K555)))/($W$10-$W$11))*(1+$W$10)^(6*(J555+K555)))</f>
        <v>3237.3816560572077</v>
      </c>
      <c r="P555" s="69">
        <f>N555*0.065*O555</f>
        <v>1654409.2483256818</v>
      </c>
      <c r="Q555" s="69">
        <f t="shared" si="89"/>
        <v>11029.394988837879</v>
      </c>
      <c r="R555" s="69">
        <f>G555*(1+0.06)^K555</f>
        <v>85718.816624313724</v>
      </c>
      <c r="S555" s="77">
        <f t="shared" si="90"/>
        <v>0.12866947332202724</v>
      </c>
    </row>
    <row r="556" spans="1:19" ht="15.5" x14ac:dyDescent="0.35">
      <c r="A556" s="3" t="s">
        <v>4859</v>
      </c>
      <c r="B556" s="16" t="s">
        <v>4860</v>
      </c>
      <c r="C556" s="17" t="s">
        <v>4862</v>
      </c>
      <c r="D556" s="17" t="str">
        <f t="shared" si="84"/>
        <v>10/12/97</v>
      </c>
      <c r="E556" s="3" t="s">
        <v>4863</v>
      </c>
      <c r="F556" s="6">
        <v>7299.3440000000001</v>
      </c>
      <c r="G556" s="6">
        <f>IF(F556=0,$Y$3,F556)</f>
        <v>7299.3440000000001</v>
      </c>
      <c r="H556" s="79">
        <f t="shared" si="81"/>
        <v>16</v>
      </c>
      <c r="I556">
        <f t="shared" si="82"/>
        <v>25</v>
      </c>
      <c r="J556">
        <f t="shared" si="83"/>
        <v>0</v>
      </c>
      <c r="K556">
        <f t="shared" si="85"/>
        <v>40</v>
      </c>
      <c r="L556" s="80">
        <f t="shared" si="86"/>
        <v>6</v>
      </c>
      <c r="M556" s="80">
        <f t="shared" si="87"/>
        <v>46</v>
      </c>
      <c r="N556">
        <f t="shared" si="88"/>
        <v>7299.3440000000001</v>
      </c>
      <c r="O556" s="87">
        <f>(((1-((1+$W$11)/(1+$W$10))^(6*(J556+K556)))/($W$10-$W$11))*(1+$W$10)^(6*(J556+K556)))</f>
        <v>2964.8060935111685</v>
      </c>
      <c r="P556" s="69">
        <f>N556*0.065*O556</f>
        <v>1406674.0720392221</v>
      </c>
      <c r="Q556" s="69">
        <f t="shared" si="89"/>
        <v>9377.8271469281481</v>
      </c>
      <c r="R556" s="69">
        <f>G556*(1+0.06)^K556</f>
        <v>75078.993510052533</v>
      </c>
      <c r="S556" s="77">
        <f t="shared" si="90"/>
        <v>0.12490613830182107</v>
      </c>
    </row>
    <row r="557" spans="1:19" ht="15.5" x14ac:dyDescent="0.35">
      <c r="A557" s="3" t="s">
        <v>4864</v>
      </c>
      <c r="B557" s="16" t="s">
        <v>4865</v>
      </c>
      <c r="C557" s="17" t="s">
        <v>4867</v>
      </c>
      <c r="D557" s="17" t="str">
        <f t="shared" si="84"/>
        <v>15/05/98</v>
      </c>
      <c r="E557" s="3" t="s">
        <v>4863</v>
      </c>
      <c r="F557" s="6">
        <v>8254.2079999999987</v>
      </c>
      <c r="G557" s="6">
        <f>IF(F557=0,$Y$3,F557)</f>
        <v>8254.2079999999987</v>
      </c>
      <c r="H557" s="79">
        <f t="shared" si="81"/>
        <v>16</v>
      </c>
      <c r="I557">
        <f t="shared" si="82"/>
        <v>24</v>
      </c>
      <c r="J557">
        <f t="shared" si="83"/>
        <v>0</v>
      </c>
      <c r="K557">
        <f t="shared" si="85"/>
        <v>41</v>
      </c>
      <c r="L557" s="80">
        <f t="shared" si="86"/>
        <v>6</v>
      </c>
      <c r="M557" s="80">
        <f t="shared" si="87"/>
        <v>47</v>
      </c>
      <c r="N557">
        <f t="shared" si="88"/>
        <v>8254.2079999999987</v>
      </c>
      <c r="O557" s="87">
        <f>(((1-((1+$W$11)/(1+$W$10))^(6*(J557+K557)))/($W$10-$W$11))*(1+$W$10)^(6*(J557+K557)))</f>
        <v>3237.3816560572077</v>
      </c>
      <c r="P557" s="69">
        <f>N557*0.065*O557</f>
        <v>1736931.4016912424</v>
      </c>
      <c r="Q557" s="69">
        <f t="shared" si="89"/>
        <v>11579.542677941616</v>
      </c>
      <c r="R557" s="69">
        <f>G557*(1+0.06)^K557</f>
        <v>89994.482599310417</v>
      </c>
      <c r="S557" s="77">
        <f t="shared" si="90"/>
        <v>0.12866947332202724</v>
      </c>
    </row>
    <row r="558" spans="1:19" ht="15.5" x14ac:dyDescent="0.35">
      <c r="A558" s="3" t="s">
        <v>4868</v>
      </c>
      <c r="B558" s="16" t="s">
        <v>4869</v>
      </c>
      <c r="C558" s="17" t="s">
        <v>4871</v>
      </c>
      <c r="D558" s="17" t="str">
        <f t="shared" si="84"/>
        <v>01/03/87</v>
      </c>
      <c r="E558" s="3" t="s">
        <v>4863</v>
      </c>
      <c r="F558" s="6">
        <v>8591.6479999999992</v>
      </c>
      <c r="G558" s="6">
        <f>IF(F558=0,$Y$3,F558)</f>
        <v>8591.6479999999992</v>
      </c>
      <c r="H558" s="79">
        <f t="shared" si="81"/>
        <v>7</v>
      </c>
      <c r="I558">
        <f t="shared" si="82"/>
        <v>35</v>
      </c>
      <c r="J558">
        <f t="shared" si="83"/>
        <v>0</v>
      </c>
      <c r="K558">
        <f t="shared" si="85"/>
        <v>30</v>
      </c>
      <c r="L558" s="80">
        <f t="shared" si="86"/>
        <v>15</v>
      </c>
      <c r="M558" s="80">
        <f t="shared" si="87"/>
        <v>45</v>
      </c>
      <c r="N558">
        <f t="shared" si="88"/>
        <v>8591.6479999999992</v>
      </c>
      <c r="O558" s="87">
        <f>(((1-((1+$W$11)/(1+$W$10))^(6*(J558+K558)))/($W$10-$W$11))*(1+$W$10)^(6*(J558+K558)))</f>
        <v>1181.6655698699749</v>
      </c>
      <c r="P558" s="69">
        <f>N558*0.065*O558</f>
        <v>659909.5509527449</v>
      </c>
      <c r="Q558" s="69">
        <f t="shared" si="89"/>
        <v>4399.3970063516326</v>
      </c>
      <c r="R558" s="69">
        <f>G558*(1+0.06)^K558</f>
        <v>49346.054448777853</v>
      </c>
      <c r="S558" s="77">
        <f t="shared" si="90"/>
        <v>8.915397706048192E-2</v>
      </c>
    </row>
    <row r="559" spans="1:19" ht="15.5" x14ac:dyDescent="0.35">
      <c r="A559" s="3" t="s">
        <v>4872</v>
      </c>
      <c r="B559" s="16" t="s">
        <v>4873</v>
      </c>
      <c r="C559" s="17" t="s">
        <v>4875</v>
      </c>
      <c r="D559" s="17" t="str">
        <f t="shared" si="84"/>
        <v>04/02/91</v>
      </c>
      <c r="E559" s="3" t="s">
        <v>4863</v>
      </c>
      <c r="F559" s="6">
        <v>7848.3680000000004</v>
      </c>
      <c r="G559" s="6">
        <f>IF(F559=0,$Y$3,F559)</f>
        <v>7848.3680000000004</v>
      </c>
      <c r="H559" s="79">
        <f t="shared" si="81"/>
        <v>15</v>
      </c>
      <c r="I559">
        <f t="shared" si="82"/>
        <v>31</v>
      </c>
      <c r="J559">
        <f t="shared" si="83"/>
        <v>0</v>
      </c>
      <c r="K559">
        <f t="shared" si="85"/>
        <v>34</v>
      </c>
      <c r="L559" s="80">
        <f t="shared" si="86"/>
        <v>7</v>
      </c>
      <c r="M559" s="80">
        <f t="shared" si="87"/>
        <v>41</v>
      </c>
      <c r="N559">
        <f t="shared" si="88"/>
        <v>7848.3680000000004</v>
      </c>
      <c r="O559" s="87">
        <f>(((1-((1+$W$11)/(1+$W$10))^(6*(J559+K559)))/($W$10-$W$11))*(1+$W$10)^(6*(J559+K559)))</f>
        <v>1724.4052908394829</v>
      </c>
      <c r="P559" s="69">
        <f>N559*0.065*O559</f>
        <v>879694.87473759393</v>
      </c>
      <c r="Q559" s="69">
        <f t="shared" si="89"/>
        <v>5864.6324982506258</v>
      </c>
      <c r="R559" s="69">
        <f>G559*(1+0.06)^K559</f>
        <v>56908.714741515934</v>
      </c>
      <c r="S559" s="77">
        <f t="shared" si="90"/>
        <v>0.10305332891259747</v>
      </c>
    </row>
    <row r="560" spans="1:19" ht="15.5" x14ac:dyDescent="0.35">
      <c r="A560" s="3" t="s">
        <v>4876</v>
      </c>
      <c r="B560" s="16" t="s">
        <v>4877</v>
      </c>
      <c r="C560" s="17" t="s">
        <v>4879</v>
      </c>
      <c r="D560" s="17" t="str">
        <f t="shared" si="84"/>
        <v>04/12/83</v>
      </c>
      <c r="E560" s="3" t="s">
        <v>3873</v>
      </c>
      <c r="F560" s="6">
        <v>17623.792000000001</v>
      </c>
      <c r="G560" s="6">
        <f>IF(F560=0,$Y$3,F560)</f>
        <v>17623.792000000001</v>
      </c>
      <c r="H560" s="79">
        <f t="shared" si="81"/>
        <v>2</v>
      </c>
      <c r="I560">
        <f t="shared" si="82"/>
        <v>39</v>
      </c>
      <c r="J560">
        <f t="shared" si="83"/>
        <v>0</v>
      </c>
      <c r="K560">
        <f t="shared" si="85"/>
        <v>26</v>
      </c>
      <c r="L560" s="80">
        <f t="shared" si="86"/>
        <v>20</v>
      </c>
      <c r="M560" s="80">
        <f t="shared" si="87"/>
        <v>46</v>
      </c>
      <c r="N560">
        <f t="shared" si="88"/>
        <v>17623.792000000001</v>
      </c>
      <c r="O560" s="87">
        <f>(((1-((1+$W$11)/(1+$W$10))^(6*(J560+K560)))/($W$10-$W$11))*(1+$W$10)^(6*(J560+K560)))</f>
        <v>795.44548998043808</v>
      </c>
      <c r="P560" s="69">
        <f>N560*0.065*O560</f>
        <v>911219.78107896622</v>
      </c>
      <c r="Q560" s="69">
        <f t="shared" si="89"/>
        <v>6074.7985405264417</v>
      </c>
      <c r="R560" s="69">
        <f>G560*(1+0.06)^K560</f>
        <v>80177.379066988506</v>
      </c>
      <c r="S560" s="77">
        <f t="shared" si="90"/>
        <v>7.5766988285447992E-2</v>
      </c>
    </row>
    <row r="561" spans="1:19" ht="15.5" x14ac:dyDescent="0.35">
      <c r="A561" s="3" t="s">
        <v>4880</v>
      </c>
      <c r="B561" s="16" t="s">
        <v>4881</v>
      </c>
      <c r="C561" s="17" t="s">
        <v>4883</v>
      </c>
      <c r="D561" s="17" t="str">
        <f t="shared" si="84"/>
        <v>14/04/01</v>
      </c>
      <c r="E561" s="3" t="s">
        <v>3873</v>
      </c>
      <c r="F561" s="6">
        <v>8339.9359999999997</v>
      </c>
      <c r="G561" s="6">
        <f>IF(F561=0,$Y$3,F561)</f>
        <v>8339.9359999999997</v>
      </c>
      <c r="H561" s="79">
        <f t="shared" si="81"/>
        <v>16</v>
      </c>
      <c r="I561">
        <f t="shared" si="82"/>
        <v>21</v>
      </c>
      <c r="J561">
        <f t="shared" si="83"/>
        <v>0</v>
      </c>
      <c r="K561">
        <f t="shared" si="85"/>
        <v>44</v>
      </c>
      <c r="L561" s="80">
        <f t="shared" si="86"/>
        <v>6</v>
      </c>
      <c r="M561" s="80">
        <f t="shared" si="87"/>
        <v>50</v>
      </c>
      <c r="N561">
        <f t="shared" si="88"/>
        <v>8339.9359999999997</v>
      </c>
      <c r="O561" s="87">
        <f>(((1-((1+$W$11)/(1+$W$10))^(6*(J561+K561)))/($W$10-$W$11))*(1+$W$10)^(6*(J561+K561)))</f>
        <v>4200.5189242334509</v>
      </c>
      <c r="P561" s="69">
        <f>N561*0.065*O561</f>
        <v>2277083.8346682289</v>
      </c>
      <c r="Q561" s="69">
        <f t="shared" si="89"/>
        <v>15180.558897788193</v>
      </c>
      <c r="R561" s="69">
        <f>G561*(1+0.06)^K561</f>
        <v>108298.0880809106</v>
      </c>
      <c r="S561" s="77">
        <f t="shared" si="90"/>
        <v>0.14017384024773036</v>
      </c>
    </row>
    <row r="562" spans="1:19" ht="15.5" x14ac:dyDescent="0.35">
      <c r="A562" s="3" t="s">
        <v>4884</v>
      </c>
      <c r="B562" s="16" t="s">
        <v>4885</v>
      </c>
      <c r="C562" s="17" t="s">
        <v>4887</v>
      </c>
      <c r="D562" s="17" t="str">
        <f t="shared" si="84"/>
        <v>08/06/96</v>
      </c>
      <c r="E562" s="3" t="s">
        <v>3873</v>
      </c>
      <c r="F562" s="6">
        <v>8254.2079999999987</v>
      </c>
      <c r="G562" s="6">
        <f>IF(F562=0,$Y$3,F562)</f>
        <v>8254.2079999999987</v>
      </c>
      <c r="H562" s="79">
        <f t="shared" si="81"/>
        <v>11</v>
      </c>
      <c r="I562">
        <f t="shared" si="82"/>
        <v>26</v>
      </c>
      <c r="J562">
        <f t="shared" si="83"/>
        <v>0</v>
      </c>
      <c r="K562">
        <f t="shared" si="85"/>
        <v>39</v>
      </c>
      <c r="L562" s="80">
        <f t="shared" si="86"/>
        <v>11</v>
      </c>
      <c r="M562" s="80">
        <f t="shared" si="87"/>
        <v>50</v>
      </c>
      <c r="N562">
        <f t="shared" si="88"/>
        <v>8254.2079999999987</v>
      </c>
      <c r="O562" s="87">
        <f>(((1-((1+$W$11)/(1+$W$10))^(6*(J562+K562)))/($W$10-$W$11))*(1+$W$10)^(6*(J562+K562)))</f>
        <v>2713.5031944291845</v>
      </c>
      <c r="P562" s="69">
        <f>N562*0.065*O562</f>
        <v>1455858.2854063904</v>
      </c>
      <c r="Q562" s="69">
        <f t="shared" si="89"/>
        <v>9705.7219027092688</v>
      </c>
      <c r="R562" s="69">
        <f>G562*(1+0.06)^K562</f>
        <v>80094.769134309754</v>
      </c>
      <c r="S562" s="77">
        <f t="shared" si="90"/>
        <v>0.12117797463694395</v>
      </c>
    </row>
    <row r="563" spans="1:19" ht="15.5" x14ac:dyDescent="0.35">
      <c r="A563" s="3" t="s">
        <v>4892</v>
      </c>
      <c r="B563" s="16" t="s">
        <v>4893</v>
      </c>
      <c r="C563" s="17" t="s">
        <v>4895</v>
      </c>
      <c r="D563" s="17" t="str">
        <f t="shared" si="84"/>
        <v>08/11/89</v>
      </c>
      <c r="E563" s="3" t="s">
        <v>4896</v>
      </c>
      <c r="F563" s="6">
        <v>12709.632</v>
      </c>
      <c r="G563" s="6">
        <f>IF(F563=0,$Y$3,F563)</f>
        <v>12709.632</v>
      </c>
      <c r="H563" s="79">
        <f t="shared" si="81"/>
        <v>8</v>
      </c>
      <c r="I563">
        <f t="shared" si="82"/>
        <v>33</v>
      </c>
      <c r="J563">
        <f t="shared" si="83"/>
        <v>0</v>
      </c>
      <c r="K563">
        <f t="shared" si="85"/>
        <v>32</v>
      </c>
      <c r="L563" s="80">
        <f t="shared" si="86"/>
        <v>14</v>
      </c>
      <c r="M563" s="80">
        <f t="shared" si="87"/>
        <v>46</v>
      </c>
      <c r="N563">
        <f t="shared" si="88"/>
        <v>12709.632</v>
      </c>
      <c r="O563" s="87">
        <f>(((1-((1+$W$11)/(1+$W$10))^(6*(J563+K563)))/($W$10-$W$11))*(1+$W$10)^(6*(J563+K563)))</f>
        <v>1430.2452154182549</v>
      </c>
      <c r="P563" s="69">
        <f>N563*0.065*O563</f>
        <v>1181562.8732522386</v>
      </c>
      <c r="Q563" s="69">
        <f t="shared" si="89"/>
        <v>7877.0858216815905</v>
      </c>
      <c r="R563" s="69">
        <f>G563*(1+0.06)^K563</f>
        <v>82020.169880463713</v>
      </c>
      <c r="S563" s="77">
        <f t="shared" si="90"/>
        <v>9.603839925181408E-2</v>
      </c>
    </row>
    <row r="564" spans="1:19" ht="15.5" x14ac:dyDescent="0.35">
      <c r="A564" s="3" t="s">
        <v>4897</v>
      </c>
      <c r="B564" s="16" t="s">
        <v>4898</v>
      </c>
      <c r="C564" s="17" t="s">
        <v>1631</v>
      </c>
      <c r="D564" s="17" t="str">
        <f t="shared" si="84"/>
        <v>19/08/97</v>
      </c>
      <c r="E564" s="3" t="s">
        <v>4896</v>
      </c>
      <c r="F564" s="6">
        <v>12250.288</v>
      </c>
      <c r="G564" s="6">
        <f>IF(F564=0,$Y$3,F564)</f>
        <v>12250.288</v>
      </c>
      <c r="H564" s="79">
        <f t="shared" si="81"/>
        <v>12</v>
      </c>
      <c r="I564">
        <f t="shared" si="82"/>
        <v>25</v>
      </c>
      <c r="J564">
        <f t="shared" si="83"/>
        <v>0</v>
      </c>
      <c r="K564">
        <f t="shared" si="85"/>
        <v>40</v>
      </c>
      <c r="L564" s="80">
        <f t="shared" si="86"/>
        <v>10</v>
      </c>
      <c r="M564" s="80">
        <f t="shared" si="87"/>
        <v>50</v>
      </c>
      <c r="N564">
        <f t="shared" si="88"/>
        <v>12250.288</v>
      </c>
      <c r="O564" s="87">
        <f>(((1-((1+$W$11)/(1+$W$10))^(6*(J564+K564)))/($W$10-$W$11))*(1+$W$10)^(6*(J564+K564)))</f>
        <v>2964.8060935111685</v>
      </c>
      <c r="P564" s="69">
        <f>N564*0.065*O564</f>
        <v>2360782.3531283387</v>
      </c>
      <c r="Q564" s="69">
        <f t="shared" si="89"/>
        <v>15738.549020855591</v>
      </c>
      <c r="R564" s="69">
        <f>G564*(1+0.06)^K564</f>
        <v>126003.00701655852</v>
      </c>
      <c r="S564" s="77">
        <f t="shared" si="90"/>
        <v>0.12490613830182108</v>
      </c>
    </row>
    <row r="565" spans="1:19" ht="15.5" x14ac:dyDescent="0.35">
      <c r="A565" s="3" t="s">
        <v>4900</v>
      </c>
      <c r="B565" s="16" t="s">
        <v>4901</v>
      </c>
      <c r="C565" s="17" t="s">
        <v>4903</v>
      </c>
      <c r="D565" s="17" t="str">
        <f t="shared" si="84"/>
        <v>06/12/99</v>
      </c>
      <c r="E565" s="3" t="s">
        <v>4896</v>
      </c>
      <c r="F565" s="6">
        <v>0</v>
      </c>
      <c r="G565" s="6">
        <f>IF(F565=0,$Y$3,F565)</f>
        <v>15640.21</v>
      </c>
      <c r="H565" s="79">
        <f t="shared" si="81"/>
        <v>18</v>
      </c>
      <c r="I565">
        <f t="shared" si="82"/>
        <v>23</v>
      </c>
      <c r="J565">
        <f t="shared" si="83"/>
        <v>0</v>
      </c>
      <c r="K565">
        <f t="shared" si="85"/>
        <v>42</v>
      </c>
      <c r="L565" s="80">
        <f t="shared" si="86"/>
        <v>4</v>
      </c>
      <c r="M565" s="80">
        <f t="shared" si="87"/>
        <v>46</v>
      </c>
      <c r="N565">
        <f t="shared" si="88"/>
        <v>15640.21</v>
      </c>
      <c r="O565" s="87">
        <f>(((1-((1+$W$11)/(1+$W$10))^(6*(J565+K565)))/($W$10-$W$11))*(1+$W$10)^(6*(J565+K565)))</f>
        <v>3532.9398561414855</v>
      </c>
      <c r="P565" s="69">
        <f>N565*0.065*O565</f>
        <v>3591634.8823824706</v>
      </c>
      <c r="Q565" s="69">
        <f t="shared" si="89"/>
        <v>23944.232549216471</v>
      </c>
      <c r="R565" s="69">
        <f>G565*(1+0.06)^K565</f>
        <v>180754.41800064099</v>
      </c>
      <c r="S565" s="77">
        <f t="shared" si="90"/>
        <v>0.13246831150280133</v>
      </c>
    </row>
    <row r="566" spans="1:19" ht="15.5" x14ac:dyDescent="0.35">
      <c r="A566" s="3" t="s">
        <v>4904</v>
      </c>
      <c r="B566" s="16" t="s">
        <v>4905</v>
      </c>
      <c r="C566" s="17" t="s">
        <v>4907</v>
      </c>
      <c r="D566" s="17" t="str">
        <f t="shared" si="84"/>
        <v>17/05/82</v>
      </c>
      <c r="E566" s="3" t="s">
        <v>4908</v>
      </c>
      <c r="F566" s="6">
        <v>0</v>
      </c>
      <c r="G566" s="6">
        <f>IF(F566=0,$Y$3,F566)</f>
        <v>15640.21</v>
      </c>
      <c r="H566" s="79">
        <f t="shared" si="81"/>
        <v>3</v>
      </c>
      <c r="I566">
        <f t="shared" si="82"/>
        <v>40</v>
      </c>
      <c r="J566">
        <f t="shared" si="83"/>
        <v>0</v>
      </c>
      <c r="K566">
        <f t="shared" si="85"/>
        <v>25</v>
      </c>
      <c r="L566" s="80">
        <f t="shared" si="86"/>
        <v>19</v>
      </c>
      <c r="M566" s="80">
        <f t="shared" si="87"/>
        <v>44</v>
      </c>
      <c r="N566">
        <f t="shared" si="88"/>
        <v>15640.21</v>
      </c>
      <c r="O566" s="87">
        <f>(((1-((1+$W$11)/(1+$W$10))^(6*(J566+K566)))/($W$10-$W$11))*(1+$W$10)^(6*(J566+K566)))</f>
        <v>718.04386069822795</v>
      </c>
      <c r="P566" s="69">
        <f>N566*0.065*O566</f>
        <v>729973.19008451712</v>
      </c>
      <c r="Q566" s="69">
        <f t="shared" si="89"/>
        <v>4866.4879338967812</v>
      </c>
      <c r="R566" s="69">
        <f>G566*(1+0.06)^K566</f>
        <v>67125.759349639295</v>
      </c>
      <c r="S566" s="77">
        <f t="shared" si="90"/>
        <v>7.2498069013247318E-2</v>
      </c>
    </row>
    <row r="567" spans="1:19" ht="15.5" x14ac:dyDescent="0.35">
      <c r="A567" s="3" t="s">
        <v>4914</v>
      </c>
      <c r="B567" s="16" t="s">
        <v>4915</v>
      </c>
      <c r="C567" s="17" t="s">
        <v>4917</v>
      </c>
      <c r="D567" s="17" t="str">
        <f t="shared" si="84"/>
        <v>24/11/93</v>
      </c>
      <c r="E567" s="3" t="s">
        <v>4918</v>
      </c>
      <c r="F567" s="6">
        <v>18926.736000000001</v>
      </c>
      <c r="G567" s="6">
        <f>IF(F567=0,$Y$3,F567)</f>
        <v>18926.736000000001</v>
      </c>
      <c r="H567" s="79">
        <f t="shared" si="81"/>
        <v>9</v>
      </c>
      <c r="I567">
        <f t="shared" si="82"/>
        <v>29</v>
      </c>
      <c r="J567">
        <f t="shared" si="83"/>
        <v>0</v>
      </c>
      <c r="K567">
        <f t="shared" si="85"/>
        <v>36</v>
      </c>
      <c r="L567" s="80">
        <f t="shared" si="86"/>
        <v>13</v>
      </c>
      <c r="M567" s="80">
        <f t="shared" si="87"/>
        <v>49</v>
      </c>
      <c r="N567">
        <f t="shared" si="88"/>
        <v>18926.736000000001</v>
      </c>
      <c r="O567" s="87">
        <f>(((1-((1+$W$11)/(1+$W$10))^(6*(J567+K567)))/($W$10-$W$11))*(1+$W$10)^(6*(J567+K567)))</f>
        <v>2071.9321695914473</v>
      </c>
      <c r="P567" s="69">
        <f>N567*0.065*O567</f>
        <v>2548969.3569446956</v>
      </c>
      <c r="Q567" s="69">
        <f t="shared" si="89"/>
        <v>16993.12904629797</v>
      </c>
      <c r="R567" s="69">
        <f>G567*(1+0.06)^K567</f>
        <v>154200.88772665366</v>
      </c>
      <c r="S567" s="77">
        <f t="shared" si="90"/>
        <v>0.11020124006303438</v>
      </c>
    </row>
    <row r="568" spans="1:19" ht="15.5" x14ac:dyDescent="0.35">
      <c r="A568" s="3" t="s">
        <v>4919</v>
      </c>
      <c r="B568" s="16" t="s">
        <v>4920</v>
      </c>
      <c r="C568" s="17" t="s">
        <v>4922</v>
      </c>
      <c r="D568" s="17" t="str">
        <f t="shared" si="84"/>
        <v>20/06/91</v>
      </c>
      <c r="E568" s="3" t="s">
        <v>4923</v>
      </c>
      <c r="F568" s="6">
        <v>12709.632</v>
      </c>
      <c r="G568" s="6">
        <f>IF(F568=0,$Y$3,F568)</f>
        <v>12709.632</v>
      </c>
      <c r="H568" s="79">
        <f t="shared" si="81"/>
        <v>9</v>
      </c>
      <c r="I568">
        <f t="shared" si="82"/>
        <v>31</v>
      </c>
      <c r="J568">
        <f t="shared" si="83"/>
        <v>0</v>
      </c>
      <c r="K568">
        <f t="shared" si="85"/>
        <v>34</v>
      </c>
      <c r="L568" s="80">
        <f t="shared" si="86"/>
        <v>13</v>
      </c>
      <c r="M568" s="80">
        <f t="shared" si="87"/>
        <v>47</v>
      </c>
      <c r="N568">
        <f t="shared" si="88"/>
        <v>12709.632</v>
      </c>
      <c r="O568" s="87">
        <f>(((1-((1+$W$11)/(1+$W$10))^(6*(J568+K568)))/($W$10-$W$11))*(1+$W$10)^(6*(J568+K568)))</f>
        <v>1724.4052908394829</v>
      </c>
      <c r="P568" s="69">
        <f>N568*0.065*O568</f>
        <v>1424576.183252482</v>
      </c>
      <c r="Q568" s="69">
        <f t="shared" si="89"/>
        <v>9497.1745550165469</v>
      </c>
      <c r="R568" s="69">
        <f>G568*(1+0.06)^K568</f>
        <v>92157.86287768904</v>
      </c>
      <c r="S568" s="77">
        <f t="shared" si="90"/>
        <v>0.1030533289125975</v>
      </c>
    </row>
    <row r="569" spans="1:19" ht="15.5" x14ac:dyDescent="0.35">
      <c r="A569" s="3" t="s">
        <v>4924</v>
      </c>
      <c r="B569" s="16" t="s">
        <v>4925</v>
      </c>
      <c r="C569" s="17" t="s">
        <v>4927</v>
      </c>
      <c r="D569" s="17" t="str">
        <f t="shared" si="84"/>
        <v>10/12/95</v>
      </c>
      <c r="E569" s="3" t="s">
        <v>4923</v>
      </c>
      <c r="F569" s="6">
        <v>8322.9119999999984</v>
      </c>
      <c r="G569" s="6">
        <f>IF(F569=0,$Y$3,F569)</f>
        <v>8322.9119999999984</v>
      </c>
      <c r="H569" s="79">
        <f t="shared" si="81"/>
        <v>15</v>
      </c>
      <c r="I569">
        <f t="shared" si="82"/>
        <v>27</v>
      </c>
      <c r="J569">
        <f t="shared" si="83"/>
        <v>0</v>
      </c>
      <c r="K569">
        <f t="shared" si="85"/>
        <v>38</v>
      </c>
      <c r="L569" s="80">
        <f t="shared" si="86"/>
        <v>7</v>
      </c>
      <c r="M569" s="80">
        <f t="shared" si="87"/>
        <v>45</v>
      </c>
      <c r="N569">
        <f t="shared" si="88"/>
        <v>8322.9119999999984</v>
      </c>
      <c r="O569" s="87">
        <f>(((1-((1+$W$11)/(1+$W$10))^(6*(J569+K569)))/($W$10-$W$11))*(1+$W$10)^(6*(J569+K569)))</f>
        <v>2481.8865373152853</v>
      </c>
      <c r="P569" s="69">
        <f>N569*0.065*O569</f>
        <v>1342674.010863889</v>
      </c>
      <c r="Q569" s="69">
        <f t="shared" si="89"/>
        <v>8951.160072425926</v>
      </c>
      <c r="R569" s="69">
        <f>G569*(1+0.06)^K569</f>
        <v>76190.036710146509</v>
      </c>
      <c r="S569" s="77">
        <f t="shared" si="90"/>
        <v>0.11748465362314056</v>
      </c>
    </row>
    <row r="570" spans="1:19" ht="15.5" x14ac:dyDescent="0.35">
      <c r="A570" s="3" t="s">
        <v>4928</v>
      </c>
      <c r="B570" s="16" t="s">
        <v>4929</v>
      </c>
      <c r="C570" s="17" t="s">
        <v>4931</v>
      </c>
      <c r="D570" s="17" t="str">
        <f t="shared" si="84"/>
        <v>19/10/94</v>
      </c>
      <c r="E570" s="3" t="s">
        <v>4932</v>
      </c>
      <c r="F570" s="6">
        <v>30153.455999999998</v>
      </c>
      <c r="G570" s="6">
        <f>IF(F570=0,$Y$3,F570)</f>
        <v>30153.455999999998</v>
      </c>
      <c r="H570" s="79">
        <f t="shared" si="81"/>
        <v>10</v>
      </c>
      <c r="I570">
        <f t="shared" si="82"/>
        <v>28</v>
      </c>
      <c r="J570">
        <f t="shared" si="83"/>
        <v>0</v>
      </c>
      <c r="K570">
        <f t="shared" si="85"/>
        <v>37</v>
      </c>
      <c r="L570" s="80">
        <f t="shared" si="86"/>
        <v>12</v>
      </c>
      <c r="M570" s="80">
        <f t="shared" si="87"/>
        <v>49</v>
      </c>
      <c r="N570">
        <f t="shared" si="88"/>
        <v>30153.455999999998</v>
      </c>
      <c r="O570" s="87">
        <f>(((1-((1+$W$11)/(1+$W$10))^(6*(J570+K570)))/($W$10-$W$11))*(1+$W$10)^(6*(J570+K570)))</f>
        <v>2268.4845089511282</v>
      </c>
      <c r="P570" s="69">
        <f>N570*0.065*O570</f>
        <v>4446172.1087770639</v>
      </c>
      <c r="Q570" s="69">
        <f t="shared" si="89"/>
        <v>29641.147391847091</v>
      </c>
      <c r="R570" s="69">
        <f>G570*(1+0.06)^K570</f>
        <v>260407.8729803272</v>
      </c>
      <c r="S570" s="77">
        <f t="shared" si="90"/>
        <v>0.11382584962815762</v>
      </c>
    </row>
    <row r="571" spans="1:19" ht="15.5" x14ac:dyDescent="0.35">
      <c r="A571" s="3" t="s">
        <v>4933</v>
      </c>
      <c r="B571" s="16" t="s">
        <v>4934</v>
      </c>
      <c r="C571" s="17" t="s">
        <v>3927</v>
      </c>
      <c r="D571" s="17" t="str">
        <f t="shared" si="84"/>
        <v>24/11/92</v>
      </c>
      <c r="E571" s="3" t="s">
        <v>4923</v>
      </c>
      <c r="F571" s="6">
        <v>7862.0479999999998</v>
      </c>
      <c r="G571" s="6">
        <f>IF(F571=0,$Y$3,F571)</f>
        <v>7862.0479999999998</v>
      </c>
      <c r="H571" s="79">
        <f t="shared" si="81"/>
        <v>11</v>
      </c>
      <c r="I571">
        <f t="shared" si="82"/>
        <v>30</v>
      </c>
      <c r="J571">
        <f t="shared" si="83"/>
        <v>0</v>
      </c>
      <c r="K571">
        <f t="shared" si="85"/>
        <v>35</v>
      </c>
      <c r="L571" s="80">
        <f t="shared" si="86"/>
        <v>11</v>
      </c>
      <c r="M571" s="80">
        <f t="shared" si="87"/>
        <v>46</v>
      </c>
      <c r="N571">
        <f t="shared" si="88"/>
        <v>7862.0479999999998</v>
      </c>
      <c r="O571" s="87">
        <f>(((1-((1+$W$11)/(1+$W$10))^(6*(J571+K571)))/($W$10-$W$11))*(1+$W$10)^(6*(J571+K571)))</f>
        <v>1890.963685662718</v>
      </c>
      <c r="P571" s="69">
        <f>N571*0.065*O571</f>
        <v>966345.07209091808</v>
      </c>
      <c r="Q571" s="69">
        <f t="shared" si="89"/>
        <v>6442.3004806061208</v>
      </c>
      <c r="R571" s="69">
        <f>G571*(1+0.06)^K571</f>
        <v>60428.383293325729</v>
      </c>
      <c r="S571" s="77">
        <f t="shared" si="90"/>
        <v>0.10661050535366</v>
      </c>
    </row>
    <row r="572" spans="1:19" ht="15.5" x14ac:dyDescent="0.35">
      <c r="A572" s="3" t="s">
        <v>4936</v>
      </c>
      <c r="B572" s="16" t="s">
        <v>4937</v>
      </c>
      <c r="C572" s="17" t="s">
        <v>4939</v>
      </c>
      <c r="D572" s="17" t="str">
        <f t="shared" si="84"/>
        <v>22/04/82</v>
      </c>
      <c r="E572" s="3" t="s">
        <v>4940</v>
      </c>
      <c r="F572" s="6">
        <v>10591.359999999999</v>
      </c>
      <c r="G572" s="6">
        <f>IF(F572=0,$Y$3,F572)</f>
        <v>10591.359999999999</v>
      </c>
      <c r="H572" s="79">
        <f t="shared" si="81"/>
        <v>0</v>
      </c>
      <c r="I572">
        <f t="shared" si="82"/>
        <v>40</v>
      </c>
      <c r="J572">
        <f t="shared" si="83"/>
        <v>0</v>
      </c>
      <c r="K572">
        <f t="shared" si="85"/>
        <v>25</v>
      </c>
      <c r="L572" s="80">
        <f t="shared" si="86"/>
        <v>22</v>
      </c>
      <c r="M572" s="80">
        <f t="shared" si="87"/>
        <v>47</v>
      </c>
      <c r="N572">
        <f t="shared" si="88"/>
        <v>10591.359999999999</v>
      </c>
      <c r="O572" s="87">
        <f>(((1-((1+$W$11)/(1+$W$10))^(6*(J572+K572)))/($W$10-$W$11))*(1+$W$10)^(6*(J572+K572)))</f>
        <v>718.04386069822795</v>
      </c>
      <c r="P572" s="69">
        <f>N572*0.065*O572</f>
        <v>494328.96658891084</v>
      </c>
      <c r="Q572" s="69">
        <f t="shared" si="89"/>
        <v>3295.5264439260723</v>
      </c>
      <c r="R572" s="69">
        <f>G572*(1+0.06)^K572</f>
        <v>45456.747866262383</v>
      </c>
      <c r="S572" s="77">
        <f t="shared" si="90"/>
        <v>7.2498069013247304E-2</v>
      </c>
    </row>
    <row r="573" spans="1:19" ht="15.5" x14ac:dyDescent="0.35">
      <c r="A573" s="3" t="s">
        <v>4941</v>
      </c>
      <c r="B573" s="16" t="s">
        <v>4942</v>
      </c>
      <c r="C573" s="17" t="s">
        <v>4944</v>
      </c>
      <c r="D573" s="17" t="str">
        <f t="shared" si="84"/>
        <v>07/11/84</v>
      </c>
      <c r="E573" s="3" t="s">
        <v>4940</v>
      </c>
      <c r="F573" s="6">
        <v>6643.92</v>
      </c>
      <c r="G573" s="6">
        <f>IF(F573=0,$Y$3,F573)</f>
        <v>6643.92</v>
      </c>
      <c r="H573" s="79">
        <f t="shared" si="81"/>
        <v>6</v>
      </c>
      <c r="I573">
        <f t="shared" si="82"/>
        <v>38</v>
      </c>
      <c r="J573">
        <f t="shared" si="83"/>
        <v>0</v>
      </c>
      <c r="K573">
        <f t="shared" si="85"/>
        <v>27</v>
      </c>
      <c r="L573" s="80">
        <f t="shared" si="86"/>
        <v>16</v>
      </c>
      <c r="M573" s="80">
        <f t="shared" si="87"/>
        <v>43</v>
      </c>
      <c r="N573">
        <f t="shared" si="88"/>
        <v>6643.92</v>
      </c>
      <c r="O573" s="87">
        <f>(((1-((1+$W$11)/(1+$W$10))^(6*(J573+K573)))/($W$10-$W$11))*(1+$W$10)^(6*(J573+K573)))</f>
        <v>879.8935468544031</v>
      </c>
      <c r="P573" s="69">
        <f>N573*0.065*O573</f>
        <v>379986.2516980989</v>
      </c>
      <c r="Q573" s="69">
        <f t="shared" si="89"/>
        <v>2533.2416779873261</v>
      </c>
      <c r="R573" s="69">
        <f>G573*(1+0.06)^K573</f>
        <v>32039.280642360689</v>
      </c>
      <c r="S573" s="77">
        <f t="shared" si="90"/>
        <v>7.9066746418707173E-2</v>
      </c>
    </row>
    <row r="574" spans="1:19" ht="15.5" x14ac:dyDescent="0.35">
      <c r="A574" s="3" t="s">
        <v>4945</v>
      </c>
      <c r="B574" s="16" t="s">
        <v>4946</v>
      </c>
      <c r="C574" s="17" t="s">
        <v>4948</v>
      </c>
      <c r="D574" s="17" t="str">
        <f t="shared" si="84"/>
        <v>07/06/92</v>
      </c>
      <c r="E574" s="3" t="s">
        <v>4923</v>
      </c>
      <c r="F574" s="6">
        <v>13897.359999999999</v>
      </c>
      <c r="G574" s="6">
        <f>IF(F574=0,$Y$3,F574)</f>
        <v>13897.359999999999</v>
      </c>
      <c r="H574" s="79">
        <f t="shared" si="81"/>
        <v>10</v>
      </c>
      <c r="I574">
        <f t="shared" si="82"/>
        <v>30</v>
      </c>
      <c r="J574">
        <f t="shared" si="83"/>
        <v>0</v>
      </c>
      <c r="K574">
        <f t="shared" si="85"/>
        <v>35</v>
      </c>
      <c r="L574" s="80">
        <f t="shared" si="86"/>
        <v>12</v>
      </c>
      <c r="M574" s="80">
        <f t="shared" si="87"/>
        <v>47</v>
      </c>
      <c r="N574">
        <f t="shared" si="88"/>
        <v>13897.359999999999</v>
      </c>
      <c r="O574" s="87">
        <f>(((1-((1+$W$11)/(1+$W$10))^(6*(J574+K574)))/($W$10-$W$11))*(1+$W$10)^(6*(J574+K574)))</f>
        <v>1890.963685662718</v>
      </c>
      <c r="P574" s="69">
        <f>N574*0.065*O574</f>
        <v>1708161.2006278059</v>
      </c>
      <c r="Q574" s="69">
        <f t="shared" si="89"/>
        <v>11387.741337518706</v>
      </c>
      <c r="R574" s="69">
        <f>G574*(1+0.06)^K574</f>
        <v>106816.31514400996</v>
      </c>
      <c r="S574" s="77">
        <f t="shared" si="90"/>
        <v>0.10661050535365998</v>
      </c>
    </row>
    <row r="575" spans="1:19" ht="15.5" x14ac:dyDescent="0.35">
      <c r="A575" s="3" t="s">
        <v>4949</v>
      </c>
      <c r="B575" s="16" t="s">
        <v>4950</v>
      </c>
      <c r="C575" s="17" t="s">
        <v>1382</v>
      </c>
      <c r="D575" s="17" t="str">
        <f t="shared" si="84"/>
        <v>22/10/93</v>
      </c>
      <c r="E575" s="3" t="s">
        <v>4952</v>
      </c>
      <c r="F575" s="6">
        <v>8473.0879999999997</v>
      </c>
      <c r="G575" s="6">
        <f>IF(F575=0,$Y$3,F575)</f>
        <v>8473.0879999999997</v>
      </c>
      <c r="H575" s="79">
        <f t="shared" si="81"/>
        <v>12</v>
      </c>
      <c r="I575">
        <f t="shared" si="82"/>
        <v>29</v>
      </c>
      <c r="J575">
        <f t="shared" si="83"/>
        <v>0</v>
      </c>
      <c r="K575">
        <f t="shared" si="85"/>
        <v>36</v>
      </c>
      <c r="L575" s="80">
        <f t="shared" si="86"/>
        <v>10</v>
      </c>
      <c r="M575" s="80">
        <f t="shared" si="87"/>
        <v>46</v>
      </c>
      <c r="N575">
        <f t="shared" si="88"/>
        <v>8473.0879999999997</v>
      </c>
      <c r="O575" s="87">
        <f>(((1-((1+$W$11)/(1+$W$10))^(6*(J575+K575)))/($W$10-$W$11))*(1+$W$10)^(6*(J575+K575)))</f>
        <v>2071.9321695914473</v>
      </c>
      <c r="P575" s="69">
        <f>N575*0.065*O575</f>
        <v>1141118.1341936516</v>
      </c>
      <c r="Q575" s="69">
        <f t="shared" si="89"/>
        <v>7607.4542279576772</v>
      </c>
      <c r="R575" s="69">
        <f>G575*(1+0.06)^K575</f>
        <v>69032.383152914277</v>
      </c>
      <c r="S575" s="77">
        <f t="shared" si="90"/>
        <v>0.11020124006303439</v>
      </c>
    </row>
    <row r="576" spans="1:19" ht="15.5" x14ac:dyDescent="0.35">
      <c r="A576" s="3" t="s">
        <v>4953</v>
      </c>
      <c r="B576" s="16" t="s">
        <v>4954</v>
      </c>
      <c r="C576" s="17" t="s">
        <v>4956</v>
      </c>
      <c r="D576" s="17" t="str">
        <f t="shared" si="84"/>
        <v>21/09/82</v>
      </c>
      <c r="E576" s="3" t="s">
        <v>4957</v>
      </c>
      <c r="F576" s="6">
        <v>7445.8720000000003</v>
      </c>
      <c r="G576" s="6">
        <f>IF(F576=0,$Y$3,F576)</f>
        <v>7445.8720000000003</v>
      </c>
      <c r="H576" s="79">
        <f t="shared" si="81"/>
        <v>7</v>
      </c>
      <c r="I576">
        <f t="shared" si="82"/>
        <v>40</v>
      </c>
      <c r="J576">
        <f t="shared" si="83"/>
        <v>0</v>
      </c>
      <c r="K576">
        <f t="shared" si="85"/>
        <v>25</v>
      </c>
      <c r="L576" s="80">
        <f t="shared" si="86"/>
        <v>15</v>
      </c>
      <c r="M576" s="80">
        <f t="shared" si="87"/>
        <v>40</v>
      </c>
      <c r="N576">
        <f t="shared" si="88"/>
        <v>7445.8720000000003</v>
      </c>
      <c r="O576" s="87">
        <f>(((1-((1+$W$11)/(1+$W$10))^(6*(J576+K576)))/($W$10-$W$11))*(1+$W$10)^(6*(J576+K576)))</f>
        <v>718.04386069822795</v>
      </c>
      <c r="P576" s="69">
        <f>N576*0.065*O576</f>
        <v>347520.07401441433</v>
      </c>
      <c r="Q576" s="69">
        <f t="shared" si="89"/>
        <v>2316.800493429429</v>
      </c>
      <c r="R576" s="69">
        <f>G576*(1+0.06)^K576</f>
        <v>31956.720019757886</v>
      </c>
      <c r="S576" s="77">
        <f t="shared" si="90"/>
        <v>7.2498069013247304E-2</v>
      </c>
    </row>
    <row r="577" spans="1:19" ht="15.5" x14ac:dyDescent="0.35">
      <c r="A577" s="3" t="s">
        <v>4958</v>
      </c>
      <c r="B577" s="16" t="s">
        <v>4959</v>
      </c>
      <c r="C577" s="17" t="s">
        <v>4961</v>
      </c>
      <c r="D577" s="17" t="str">
        <f t="shared" si="84"/>
        <v>30/12/77</v>
      </c>
      <c r="E577" s="3" t="s">
        <v>4962</v>
      </c>
      <c r="F577" s="6">
        <v>22241.856</v>
      </c>
      <c r="G577" s="6">
        <f>IF(F577=0,$Y$3,F577)</f>
        <v>22241.856</v>
      </c>
      <c r="H577" s="79">
        <f t="shared" si="81"/>
        <v>98</v>
      </c>
      <c r="I577">
        <f t="shared" si="82"/>
        <v>45</v>
      </c>
      <c r="J577">
        <f t="shared" si="83"/>
        <v>0</v>
      </c>
      <c r="K577">
        <f t="shared" si="85"/>
        <v>20</v>
      </c>
      <c r="L577" s="80">
        <f t="shared" si="86"/>
        <v>24</v>
      </c>
      <c r="M577" s="80">
        <f t="shared" si="87"/>
        <v>44</v>
      </c>
      <c r="N577">
        <f t="shared" si="88"/>
        <v>22241.856</v>
      </c>
      <c r="O577" s="87">
        <f>(((1-((1+$W$11)/(1+$W$10))^(6*(J577+K577)))/($W$10-$W$11))*(1+$W$10)^(6*(J577+K577)))</f>
        <v>418.94609738113263</v>
      </c>
      <c r="P577" s="69">
        <f>N577*0.065*O577</f>
        <v>605679.02003135334</v>
      </c>
      <c r="Q577" s="69">
        <f t="shared" si="89"/>
        <v>4037.8601335423555</v>
      </c>
      <c r="R577" s="69">
        <f>G577*(1+0.06)^K577</f>
        <v>71332.645345450161</v>
      </c>
      <c r="S577" s="77">
        <f t="shared" si="90"/>
        <v>5.6606061838696466E-2</v>
      </c>
    </row>
    <row r="578" spans="1:19" ht="15.5" x14ac:dyDescent="0.35">
      <c r="A578" s="3" t="s">
        <v>4963</v>
      </c>
      <c r="B578" s="16" t="s">
        <v>4964</v>
      </c>
      <c r="C578" s="17" t="s">
        <v>4966</v>
      </c>
      <c r="D578" s="17" t="str">
        <f t="shared" si="84"/>
        <v>05/01/99</v>
      </c>
      <c r="E578" s="3" t="s">
        <v>4967</v>
      </c>
      <c r="F578" s="6">
        <v>0</v>
      </c>
      <c r="G578" s="6">
        <f>IF(F578=0,$Y$3,F578)</f>
        <v>15640.21</v>
      </c>
      <c r="H578" s="79">
        <f t="shared" ref="H578:H641" si="91">_xlfn.NUMBERVALUE(MID(B578,3,2))</f>
        <v>18</v>
      </c>
      <c r="I578">
        <f t="shared" ref="I578:I641" si="92">2022-YEAR(D578)</f>
        <v>23</v>
      </c>
      <c r="J578">
        <f t="shared" ref="J578:J641" si="93">2022-YEAR(E578)</f>
        <v>0</v>
      </c>
      <c r="K578">
        <f t="shared" si="85"/>
        <v>42</v>
      </c>
      <c r="L578" s="80">
        <f t="shared" si="86"/>
        <v>4</v>
      </c>
      <c r="M578" s="80">
        <f t="shared" si="87"/>
        <v>46</v>
      </c>
      <c r="N578">
        <f t="shared" si="88"/>
        <v>15640.21</v>
      </c>
      <c r="O578" s="87">
        <f>(((1-((1+$W$11)/(1+$W$10))^(6*(J578+K578)))/($W$10-$W$11))*(1+$W$10)^(6*(J578+K578)))</f>
        <v>3532.9398561414855</v>
      </c>
      <c r="P578" s="69">
        <f>N578*0.065*O578</f>
        <v>3591634.8823824706</v>
      </c>
      <c r="Q578" s="69">
        <f t="shared" si="89"/>
        <v>23944.232549216471</v>
      </c>
      <c r="R578" s="69">
        <f>G578*(1+0.06)^K578</f>
        <v>180754.41800064099</v>
      </c>
      <c r="S578" s="77">
        <f t="shared" si="90"/>
        <v>0.13246831150280133</v>
      </c>
    </row>
    <row r="579" spans="1:19" ht="15.5" x14ac:dyDescent="0.35">
      <c r="A579" s="3" t="s">
        <v>4968</v>
      </c>
      <c r="B579" s="16" t="s">
        <v>4969</v>
      </c>
      <c r="C579" s="17" t="s">
        <v>4722</v>
      </c>
      <c r="D579" s="17" t="str">
        <f t="shared" ref="D579:D642" si="94">_xlfn.CONCAT(MID(C579,5,2),"/",MID(C579,3,2),"/",MID(C579,1,2))</f>
        <v>26/08/97</v>
      </c>
      <c r="E579" s="3" t="s">
        <v>4971</v>
      </c>
      <c r="F579" s="6">
        <v>12709.632</v>
      </c>
      <c r="G579" s="6">
        <f>IF(F579=0,$Y$3,F579)</f>
        <v>12709.632</v>
      </c>
      <c r="H579" s="79">
        <f t="shared" si="91"/>
        <v>13</v>
      </c>
      <c r="I579">
        <f t="shared" si="92"/>
        <v>25</v>
      </c>
      <c r="J579">
        <f t="shared" si="93"/>
        <v>0</v>
      </c>
      <c r="K579">
        <f t="shared" ref="K579:K642" si="95">65-I579</f>
        <v>40</v>
      </c>
      <c r="L579" s="80">
        <f t="shared" ref="L579:L642" si="96">IF(H579&gt;22,122-H579,22-H579)</f>
        <v>9</v>
      </c>
      <c r="M579" s="80">
        <f t="shared" ref="M579:M642" si="97">L579+K579</f>
        <v>49</v>
      </c>
      <c r="N579">
        <f t="shared" ref="N579:N642" si="98">G579*(1+0.06)^-J579</f>
        <v>12709.632</v>
      </c>
      <c r="O579" s="87">
        <f>(((1-((1+$W$11)/(1+$W$10))^(6*(J579+K579)))/($W$10-$W$11))*(1+$W$10)^(6*(J579+K579)))</f>
        <v>2964.8060935111685</v>
      </c>
      <c r="P579" s="69">
        <f>N579*0.065*O579</f>
        <v>2449303.6359924949</v>
      </c>
      <c r="Q579" s="69">
        <f t="shared" ref="Q579:Q642" si="99">P579/150</f>
        <v>16328.690906616632</v>
      </c>
      <c r="R579" s="69">
        <f>G579*(1+0.06)^K579</f>
        <v>130727.68983666968</v>
      </c>
      <c r="S579" s="77">
        <f t="shared" si="90"/>
        <v>0.12490613830182107</v>
      </c>
    </row>
    <row r="580" spans="1:19" ht="15.5" x14ac:dyDescent="0.35">
      <c r="A580" s="3" t="s">
        <v>4972</v>
      </c>
      <c r="B580" s="16" t="s">
        <v>4973</v>
      </c>
      <c r="C580" s="17" t="s">
        <v>4975</v>
      </c>
      <c r="D580" s="17" t="str">
        <f t="shared" si="94"/>
        <v>06/10/92</v>
      </c>
      <c r="E580" s="3" t="s">
        <v>4976</v>
      </c>
      <c r="F580" s="6">
        <v>6887.7279999999992</v>
      </c>
      <c r="G580" s="6">
        <f>IF(F580=0,$Y$3,F580)</f>
        <v>6887.7279999999992</v>
      </c>
      <c r="H580" s="79">
        <f t="shared" si="91"/>
        <v>11</v>
      </c>
      <c r="I580">
        <f t="shared" si="92"/>
        <v>30</v>
      </c>
      <c r="J580">
        <f t="shared" si="93"/>
        <v>0</v>
      </c>
      <c r="K580">
        <f t="shared" si="95"/>
        <v>35</v>
      </c>
      <c r="L580" s="80">
        <f t="shared" si="96"/>
        <v>11</v>
      </c>
      <c r="M580" s="80">
        <f t="shared" si="97"/>
        <v>46</v>
      </c>
      <c r="N580">
        <f t="shared" si="98"/>
        <v>6887.7279999999992</v>
      </c>
      <c r="O580" s="87">
        <f>(((1-((1+$W$11)/(1+$W$10))^(6*(J580+K580)))/($W$10-$W$11))*(1+$W$10)^(6*(J580+K580)))</f>
        <v>1890.963685662718</v>
      </c>
      <c r="P580" s="69">
        <f>N580*0.065*O580</f>
        <v>846588.82910694962</v>
      </c>
      <c r="Q580" s="69">
        <f t="shared" si="99"/>
        <v>5643.9255273796643</v>
      </c>
      <c r="R580" s="69">
        <f>G580*(1+0.06)^K580</f>
        <v>52939.675209839952</v>
      </c>
      <c r="S580" s="77">
        <f t="shared" si="90"/>
        <v>0.10661050535366001</v>
      </c>
    </row>
    <row r="581" spans="1:19" ht="15.5" x14ac:dyDescent="0.35">
      <c r="A581" s="3" t="s">
        <v>4977</v>
      </c>
      <c r="B581" s="16" t="s">
        <v>4978</v>
      </c>
      <c r="C581" s="17" t="s">
        <v>4980</v>
      </c>
      <c r="D581" s="17" t="str">
        <f t="shared" si="94"/>
        <v>28/05/73</v>
      </c>
      <c r="E581" s="3" t="s">
        <v>4962</v>
      </c>
      <c r="F581" s="6">
        <v>17158.063999999998</v>
      </c>
      <c r="G581" s="6">
        <f>IF(F581=0,$Y$3,F581)</f>
        <v>17158.063999999998</v>
      </c>
      <c r="H581" s="79">
        <f t="shared" si="91"/>
        <v>98</v>
      </c>
      <c r="I581">
        <f t="shared" si="92"/>
        <v>49</v>
      </c>
      <c r="J581">
        <f t="shared" si="93"/>
        <v>0</v>
      </c>
      <c r="K581">
        <f t="shared" si="95"/>
        <v>16</v>
      </c>
      <c r="L581" s="80">
        <f t="shared" si="96"/>
        <v>24</v>
      </c>
      <c r="M581" s="80">
        <f t="shared" si="97"/>
        <v>40</v>
      </c>
      <c r="N581">
        <f t="shared" si="98"/>
        <v>17158.063999999998</v>
      </c>
      <c r="O581" s="87">
        <f>(((1-((1+$W$11)/(1+$W$10))^(6*(J581+K581)))/($W$10-$W$11))*(1+$W$10)^(6*(J581+K581)))</f>
        <v>260.39894339844835</v>
      </c>
      <c r="P581" s="69">
        <f>N581*0.065*O581</f>
        <v>290416.21286359202</v>
      </c>
      <c r="Q581" s="69">
        <f t="shared" si="99"/>
        <v>1936.1080857572802</v>
      </c>
      <c r="R581" s="69">
        <f>G581*(1+0.06)^K581</f>
        <v>43587.516788344597</v>
      </c>
      <c r="S581" s="77">
        <f t="shared" ref="S581:S644" si="100">Q581/R581</f>
        <v>4.4418866418997283E-2</v>
      </c>
    </row>
    <row r="582" spans="1:19" ht="15.5" x14ac:dyDescent="0.35">
      <c r="A582" s="3" t="s">
        <v>4981</v>
      </c>
      <c r="B582" s="16" t="s">
        <v>4982</v>
      </c>
      <c r="C582" s="17" t="s">
        <v>1081</v>
      </c>
      <c r="D582" s="17" t="str">
        <f t="shared" si="94"/>
        <v>16/03/89</v>
      </c>
      <c r="E582" s="3" t="s">
        <v>4962</v>
      </c>
      <c r="F582" s="6">
        <v>21182.719999999998</v>
      </c>
      <c r="G582" s="6">
        <f>IF(F582=0,$Y$3,F582)</f>
        <v>21182.719999999998</v>
      </c>
      <c r="H582" s="79">
        <f t="shared" si="91"/>
        <v>19</v>
      </c>
      <c r="I582">
        <f t="shared" si="92"/>
        <v>33</v>
      </c>
      <c r="J582">
        <f t="shared" si="93"/>
        <v>0</v>
      </c>
      <c r="K582">
        <f t="shared" si="95"/>
        <v>32</v>
      </c>
      <c r="L582" s="80">
        <f t="shared" si="96"/>
        <v>3</v>
      </c>
      <c r="M582" s="80">
        <f t="shared" si="97"/>
        <v>35</v>
      </c>
      <c r="N582">
        <f t="shared" si="98"/>
        <v>21182.719999999998</v>
      </c>
      <c r="O582" s="87">
        <f>(((1-((1+$W$11)/(1+$W$10))^(6*(J582+K582)))/($W$10-$W$11))*(1+$W$10)^(6*(J582+K582)))</f>
        <v>1430.2452154182549</v>
      </c>
      <c r="P582" s="69">
        <f>N582*0.065*O582</f>
        <v>1969271.4554203972</v>
      </c>
      <c r="Q582" s="69">
        <f t="shared" si="99"/>
        <v>13128.476369469316</v>
      </c>
      <c r="R582" s="69">
        <f>G582*(1+0.06)^K582</f>
        <v>136700.28313410617</v>
      </c>
      <c r="S582" s="77">
        <f t="shared" si="100"/>
        <v>9.603839925181408E-2</v>
      </c>
    </row>
    <row r="583" spans="1:19" ht="15.5" x14ac:dyDescent="0.35">
      <c r="A583" s="3" t="s">
        <v>4984</v>
      </c>
      <c r="B583" s="16" t="s">
        <v>4985</v>
      </c>
      <c r="C583" s="17" t="s">
        <v>4252</v>
      </c>
      <c r="D583" s="17" t="str">
        <f t="shared" si="94"/>
        <v>02/07/99</v>
      </c>
      <c r="E583" s="3" t="s">
        <v>4962</v>
      </c>
      <c r="F583" s="6">
        <v>13505.199999999999</v>
      </c>
      <c r="G583" s="6">
        <f>IF(F583=0,$Y$3,F583)</f>
        <v>13505.199999999999</v>
      </c>
      <c r="H583" s="79">
        <f t="shared" si="91"/>
        <v>17</v>
      </c>
      <c r="I583">
        <f t="shared" si="92"/>
        <v>23</v>
      </c>
      <c r="J583">
        <f t="shared" si="93"/>
        <v>0</v>
      </c>
      <c r="K583">
        <f t="shared" si="95"/>
        <v>42</v>
      </c>
      <c r="L583" s="80">
        <f t="shared" si="96"/>
        <v>5</v>
      </c>
      <c r="M583" s="80">
        <f t="shared" si="97"/>
        <v>47</v>
      </c>
      <c r="N583">
        <f t="shared" si="98"/>
        <v>13505.199999999999</v>
      </c>
      <c r="O583" s="87">
        <f>(((1-((1+$W$11)/(1+$W$10))^(6*(J583+K583)))/($W$10-$W$11))*(1+$W$10)^(6*(J583+K583)))</f>
        <v>3532.9398561414855</v>
      </c>
      <c r="P583" s="69">
        <f>N583*0.065*O583</f>
        <v>3101348.8574355291</v>
      </c>
      <c r="Q583" s="69">
        <f t="shared" si="99"/>
        <v>20675.659049570193</v>
      </c>
      <c r="R583" s="69">
        <f>G583*(1+0.06)^K583</f>
        <v>156080.03767099397</v>
      </c>
      <c r="S583" s="77">
        <f t="shared" si="100"/>
        <v>0.13246831150280131</v>
      </c>
    </row>
    <row r="584" spans="1:19" ht="15.5" x14ac:dyDescent="0.35">
      <c r="A584" s="3" t="s">
        <v>4987</v>
      </c>
      <c r="B584" s="16" t="s">
        <v>4988</v>
      </c>
      <c r="C584" s="17" t="s">
        <v>4990</v>
      </c>
      <c r="D584" s="17" t="str">
        <f t="shared" si="94"/>
        <v>15/10/91</v>
      </c>
      <c r="E584" s="3" t="s">
        <v>4991</v>
      </c>
      <c r="F584" s="6">
        <v>7577.2</v>
      </c>
      <c r="G584" s="6">
        <f>IF(F584=0,$Y$3,F584)</f>
        <v>7577.2</v>
      </c>
      <c r="H584" s="79">
        <f t="shared" si="91"/>
        <v>10</v>
      </c>
      <c r="I584">
        <f t="shared" si="92"/>
        <v>31</v>
      </c>
      <c r="J584">
        <f t="shared" si="93"/>
        <v>0</v>
      </c>
      <c r="K584">
        <f t="shared" si="95"/>
        <v>34</v>
      </c>
      <c r="L584" s="80">
        <f t="shared" si="96"/>
        <v>12</v>
      </c>
      <c r="M584" s="80">
        <f t="shared" si="97"/>
        <v>46</v>
      </c>
      <c r="N584">
        <f t="shared" si="98"/>
        <v>7577.2</v>
      </c>
      <c r="O584" s="87">
        <f>(((1-((1+$W$11)/(1+$W$10))^(6*(J584+K584)))/($W$10-$W$11))*(1+$W$10)^(6*(J584+K584)))</f>
        <v>1724.4052908394829</v>
      </c>
      <c r="P584" s="69">
        <f>N584*0.065*O584</f>
        <v>849300.64503368048</v>
      </c>
      <c r="Q584" s="69">
        <f t="shared" si="99"/>
        <v>5662.0043002245366</v>
      </c>
      <c r="R584" s="69">
        <f>G584*(1+0.06)^K584</f>
        <v>54942.468719536919</v>
      </c>
      <c r="S584" s="77">
        <f t="shared" si="100"/>
        <v>0.10305332891259748</v>
      </c>
    </row>
    <row r="585" spans="1:19" ht="15.5" x14ac:dyDescent="0.35">
      <c r="A585" s="3" t="s">
        <v>4992</v>
      </c>
      <c r="B585" s="16" t="s">
        <v>4993</v>
      </c>
      <c r="C585" s="17" t="s">
        <v>4995</v>
      </c>
      <c r="D585" s="17" t="str">
        <f t="shared" si="94"/>
        <v>23/06/98</v>
      </c>
      <c r="E585" s="3" t="s">
        <v>4962</v>
      </c>
      <c r="F585" s="6">
        <v>9259.5359999999982</v>
      </c>
      <c r="G585" s="6">
        <f>IF(F585=0,$Y$3,F585)</f>
        <v>9259.5359999999982</v>
      </c>
      <c r="H585" s="79">
        <f t="shared" si="91"/>
        <v>13</v>
      </c>
      <c r="I585">
        <f t="shared" si="92"/>
        <v>24</v>
      </c>
      <c r="J585">
        <f t="shared" si="93"/>
        <v>0</v>
      </c>
      <c r="K585">
        <f t="shared" si="95"/>
        <v>41</v>
      </c>
      <c r="L585" s="80">
        <f t="shared" si="96"/>
        <v>9</v>
      </c>
      <c r="M585" s="80">
        <f t="shared" si="97"/>
        <v>50</v>
      </c>
      <c r="N585">
        <f t="shared" si="98"/>
        <v>9259.5359999999982</v>
      </c>
      <c r="O585" s="87">
        <f>(((1-((1+$W$11)/(1+$W$10))^(6*(J585+K585)))/($W$10-$W$11))*(1+$W$10)^(6*(J585+K585)))</f>
        <v>3237.3816560572077</v>
      </c>
      <c r="P585" s="69">
        <f>N585*0.065*O585</f>
        <v>1948482.3793500864</v>
      </c>
      <c r="Q585" s="69">
        <f t="shared" si="99"/>
        <v>12989.882529000577</v>
      </c>
      <c r="R585" s="69">
        <f>G585*(1+0.06)^K585</f>
        <v>100955.43405614304</v>
      </c>
      <c r="S585" s="77">
        <f t="shared" si="100"/>
        <v>0.12866947332202724</v>
      </c>
    </row>
    <row r="586" spans="1:19" ht="15.5" x14ac:dyDescent="0.35">
      <c r="A586" s="3" t="s">
        <v>4996</v>
      </c>
      <c r="B586" s="16" t="s">
        <v>4997</v>
      </c>
      <c r="C586" s="17" t="s">
        <v>4999</v>
      </c>
      <c r="D586" s="17" t="str">
        <f t="shared" si="94"/>
        <v>10/08/89</v>
      </c>
      <c r="E586" s="3" t="s">
        <v>4991</v>
      </c>
      <c r="F586" s="6">
        <v>10126.544</v>
      </c>
      <c r="G586" s="6">
        <f>IF(F586=0,$Y$3,F586)</f>
        <v>10126.544</v>
      </c>
      <c r="H586" s="79">
        <f t="shared" si="91"/>
        <v>7</v>
      </c>
      <c r="I586">
        <f t="shared" si="92"/>
        <v>33</v>
      </c>
      <c r="J586">
        <f t="shared" si="93"/>
        <v>0</v>
      </c>
      <c r="K586">
        <f t="shared" si="95"/>
        <v>32</v>
      </c>
      <c r="L586" s="80">
        <f t="shared" si="96"/>
        <v>15</v>
      </c>
      <c r="M586" s="80">
        <f t="shared" si="97"/>
        <v>47</v>
      </c>
      <c r="N586">
        <f t="shared" si="98"/>
        <v>10126.544</v>
      </c>
      <c r="O586" s="87">
        <f>(((1-((1+$W$11)/(1+$W$10))^(6*(J586+K586)))/($W$10-$W$11))*(1+$W$10)^(6*(J586+K586)))</f>
        <v>1430.2452154182549</v>
      </c>
      <c r="P586" s="69">
        <f>N586*0.065*O586</f>
        <v>941423.67180695839</v>
      </c>
      <c r="Q586" s="69">
        <f t="shared" si="99"/>
        <v>6276.1578120463892</v>
      </c>
      <c r="R586" s="69">
        <f>G586*(1+0.06)^K586</f>
        <v>65350.504183125879</v>
      </c>
      <c r="S586" s="77">
        <f t="shared" si="100"/>
        <v>9.603839925181408E-2</v>
      </c>
    </row>
    <row r="587" spans="1:19" ht="15.5" x14ac:dyDescent="0.35">
      <c r="A587" s="3" t="s">
        <v>5000</v>
      </c>
      <c r="B587" s="16" t="s">
        <v>5001</v>
      </c>
      <c r="C587" s="17" t="s">
        <v>5003</v>
      </c>
      <c r="D587" s="17" t="str">
        <f t="shared" si="94"/>
        <v>04/10/97</v>
      </c>
      <c r="E587" s="3" t="s">
        <v>4991</v>
      </c>
      <c r="F587" s="6">
        <v>9627.0720000000001</v>
      </c>
      <c r="G587" s="6">
        <f>IF(F587=0,$Y$3,F587)</f>
        <v>9627.0720000000001</v>
      </c>
      <c r="H587" s="79">
        <f t="shared" si="91"/>
        <v>17</v>
      </c>
      <c r="I587">
        <f t="shared" si="92"/>
        <v>25</v>
      </c>
      <c r="J587">
        <f t="shared" si="93"/>
        <v>0</v>
      </c>
      <c r="K587">
        <f t="shared" si="95"/>
        <v>40</v>
      </c>
      <c r="L587" s="80">
        <f t="shared" si="96"/>
        <v>5</v>
      </c>
      <c r="M587" s="80">
        <f t="shared" si="97"/>
        <v>45</v>
      </c>
      <c r="N587">
        <f t="shared" si="98"/>
        <v>9627.0720000000001</v>
      </c>
      <c r="O587" s="87">
        <f>(((1-((1+$W$11)/(1+$W$10))^(6*(J587+K587)))/($W$10-$W$11))*(1+$W$10)^(6*(J587+K587)))</f>
        <v>2964.8060935111685</v>
      </c>
      <c r="P587" s="69">
        <f>N587*0.065*O587</f>
        <v>1855256.1123375988</v>
      </c>
      <c r="Q587" s="69">
        <f t="shared" si="99"/>
        <v>12368.374082250659</v>
      </c>
      <c r="R587" s="69">
        <f>G587*(1+0.06)^K587</f>
        <v>99021.347152402785</v>
      </c>
      <c r="S587" s="77">
        <f t="shared" si="100"/>
        <v>0.12490613830182108</v>
      </c>
    </row>
    <row r="588" spans="1:19" ht="15.5" x14ac:dyDescent="0.35">
      <c r="A588" s="3" t="s">
        <v>5004</v>
      </c>
      <c r="B588" s="16" t="s">
        <v>5005</v>
      </c>
      <c r="C588" s="17" t="s">
        <v>5007</v>
      </c>
      <c r="D588" s="17" t="str">
        <f t="shared" si="94"/>
        <v>10/05/93</v>
      </c>
      <c r="E588" s="3" t="s">
        <v>5008</v>
      </c>
      <c r="F588" s="6">
        <v>8013.7439999999997</v>
      </c>
      <c r="G588" s="6">
        <f>IF(F588=0,$Y$3,F588)</f>
        <v>8013.7439999999997</v>
      </c>
      <c r="H588" s="79">
        <f t="shared" si="91"/>
        <v>10</v>
      </c>
      <c r="I588">
        <f t="shared" si="92"/>
        <v>29</v>
      </c>
      <c r="J588">
        <f t="shared" si="93"/>
        <v>0</v>
      </c>
      <c r="K588">
        <f t="shared" si="95"/>
        <v>36</v>
      </c>
      <c r="L588" s="80">
        <f t="shared" si="96"/>
        <v>12</v>
      </c>
      <c r="M588" s="80">
        <f t="shared" si="97"/>
        <v>48</v>
      </c>
      <c r="N588">
        <f t="shared" si="98"/>
        <v>8013.7439999999997</v>
      </c>
      <c r="O588" s="87">
        <f>(((1-((1+$W$11)/(1+$W$10))^(6*(J588+K588)))/($W$10-$W$11))*(1+$W$10)^(6*(J588+K588)))</f>
        <v>2071.9321695914473</v>
      </c>
      <c r="P588" s="69">
        <f>N588*0.065*O588</f>
        <v>1079255.7095105788</v>
      </c>
      <c r="Q588" s="69">
        <f t="shared" si="99"/>
        <v>7195.0380634038584</v>
      </c>
      <c r="R588" s="69">
        <f>G588*(1+0.06)^K588</f>
        <v>65289.991830294683</v>
      </c>
      <c r="S588" s="77">
        <f t="shared" si="100"/>
        <v>0.11020124006303439</v>
      </c>
    </row>
    <row r="589" spans="1:19" ht="15.5" x14ac:dyDescent="0.35">
      <c r="A589" s="3" t="s">
        <v>5009</v>
      </c>
      <c r="B589" s="16" t="s">
        <v>5010</v>
      </c>
      <c r="C589" s="17" t="s">
        <v>5012</v>
      </c>
      <c r="D589" s="17" t="str">
        <f t="shared" si="94"/>
        <v>30/11/00</v>
      </c>
      <c r="E589" s="3" t="s">
        <v>5008</v>
      </c>
      <c r="F589" s="6">
        <v>7862.0479999999998</v>
      </c>
      <c r="G589" s="6">
        <f>IF(F589=0,$Y$3,F589)</f>
        <v>7862.0479999999998</v>
      </c>
      <c r="H589" s="79">
        <f t="shared" si="91"/>
        <v>22</v>
      </c>
      <c r="I589">
        <f t="shared" si="92"/>
        <v>22</v>
      </c>
      <c r="J589">
        <f t="shared" si="93"/>
        <v>0</v>
      </c>
      <c r="K589">
        <f t="shared" si="95"/>
        <v>43</v>
      </c>
      <c r="L589" s="80">
        <f t="shared" si="96"/>
        <v>0</v>
      </c>
      <c r="M589" s="80">
        <f t="shared" si="97"/>
        <v>43</v>
      </c>
      <c r="N589">
        <f t="shared" si="98"/>
        <v>7862.0479999999998</v>
      </c>
      <c r="O589" s="87">
        <f>(((1-((1+$W$11)/(1+$W$10))^(6*(J589+K589)))/($W$10-$W$11))*(1+$W$10)^(6*(J589+K589)))</f>
        <v>3853.3236192812783</v>
      </c>
      <c r="P589" s="69">
        <f>N589*0.065*O589</f>
        <v>1969175.9915310037</v>
      </c>
      <c r="Q589" s="69">
        <f t="shared" si="99"/>
        <v>13127.839943540024</v>
      </c>
      <c r="R589" s="69">
        <f>G589*(1+0.06)^K589</f>
        <v>96313.662359078939</v>
      </c>
      <c r="S589" s="77">
        <f t="shared" si="100"/>
        <v>0.13630298777962044</v>
      </c>
    </row>
    <row r="590" spans="1:19" ht="15.5" x14ac:dyDescent="0.35">
      <c r="A590" s="3" t="s">
        <v>5013</v>
      </c>
      <c r="B590" s="16" t="s">
        <v>5014</v>
      </c>
      <c r="C590" s="17" t="s">
        <v>5016</v>
      </c>
      <c r="D590" s="17" t="str">
        <f t="shared" si="94"/>
        <v>15/10/94</v>
      </c>
      <c r="E590" s="3" t="s">
        <v>5017</v>
      </c>
      <c r="F590" s="6">
        <v>11455.632</v>
      </c>
      <c r="G590" s="6">
        <f>IF(F590=0,$Y$3,F590)</f>
        <v>11455.632</v>
      </c>
      <c r="H590" s="79">
        <f t="shared" si="91"/>
        <v>18</v>
      </c>
      <c r="I590">
        <f t="shared" si="92"/>
        <v>28</v>
      </c>
      <c r="J590">
        <f t="shared" si="93"/>
        <v>0</v>
      </c>
      <c r="K590">
        <f t="shared" si="95"/>
        <v>37</v>
      </c>
      <c r="L590" s="80">
        <f t="shared" si="96"/>
        <v>4</v>
      </c>
      <c r="M590" s="80">
        <f t="shared" si="97"/>
        <v>41</v>
      </c>
      <c r="N590">
        <f t="shared" si="98"/>
        <v>11455.632</v>
      </c>
      <c r="O590" s="87">
        <f>(((1-((1+$W$11)/(1+$W$10))^(6*(J590+K590)))/($W$10-$W$11))*(1+$W$10)^(6*(J590+K590)))</f>
        <v>2268.4845089511282</v>
      </c>
      <c r="P590" s="69">
        <f>N590*0.065*O590</f>
        <v>1689150.0425959141</v>
      </c>
      <c r="Q590" s="69">
        <f t="shared" si="99"/>
        <v>11261.00028397276</v>
      </c>
      <c r="R590" s="69">
        <f>G590*(1+0.06)^K590</f>
        <v>98931.835964851649</v>
      </c>
      <c r="S590" s="77">
        <f t="shared" si="100"/>
        <v>0.11382584962815763</v>
      </c>
    </row>
    <row r="591" spans="1:19" ht="15.5" x14ac:dyDescent="0.35">
      <c r="A591" s="3" t="s">
        <v>5022</v>
      </c>
      <c r="B591" s="16" t="s">
        <v>5023</v>
      </c>
      <c r="C591" s="17" t="s">
        <v>5025</v>
      </c>
      <c r="D591" s="17" t="str">
        <f t="shared" si="94"/>
        <v>08/07/84</v>
      </c>
      <c r="E591" s="3" t="s">
        <v>5026</v>
      </c>
      <c r="F591" s="6">
        <v>9532.2240000000002</v>
      </c>
      <c r="G591" s="6">
        <f>IF(F591=0,$Y$3,F591)</f>
        <v>9532.2240000000002</v>
      </c>
      <c r="H591" s="79">
        <f t="shared" si="91"/>
        <v>6</v>
      </c>
      <c r="I591">
        <f t="shared" si="92"/>
        <v>38</v>
      </c>
      <c r="J591">
        <f t="shared" si="93"/>
        <v>0</v>
      </c>
      <c r="K591">
        <f t="shared" si="95"/>
        <v>27</v>
      </c>
      <c r="L591" s="80">
        <f t="shared" si="96"/>
        <v>16</v>
      </c>
      <c r="M591" s="80">
        <f t="shared" si="97"/>
        <v>43</v>
      </c>
      <c r="N591">
        <f t="shared" si="98"/>
        <v>9532.2240000000002</v>
      </c>
      <c r="O591" s="87">
        <f>(((1-((1+$W$11)/(1+$W$10))^(6*(J591+K591)))/($W$10-$W$11))*(1+$W$10)^(6*(J591+K591)))</f>
        <v>879.8935468544031</v>
      </c>
      <c r="P591" s="69">
        <f>N591*0.065*O591</f>
        <v>545177.25501009333</v>
      </c>
      <c r="Q591" s="69">
        <f t="shared" si="99"/>
        <v>3634.5150334006221</v>
      </c>
      <c r="R591" s="69">
        <f>G591*(1+0.06)^K591</f>
        <v>45967.681712279191</v>
      </c>
      <c r="S591" s="77">
        <f t="shared" si="100"/>
        <v>7.9066746418707173E-2</v>
      </c>
    </row>
    <row r="592" spans="1:19" ht="15.5" x14ac:dyDescent="0.35">
      <c r="A592" s="3" t="s">
        <v>5027</v>
      </c>
      <c r="B592" s="16" t="s">
        <v>5028</v>
      </c>
      <c r="C592" s="17" t="s">
        <v>5030</v>
      </c>
      <c r="D592" s="17" t="str">
        <f t="shared" si="94"/>
        <v>14/05/84</v>
      </c>
      <c r="E592" s="3" t="s">
        <v>5026</v>
      </c>
      <c r="F592" s="6">
        <v>23300.991999999998</v>
      </c>
      <c r="G592" s="6">
        <f>IF(F592=0,$Y$3,F592)</f>
        <v>23300.991999999998</v>
      </c>
      <c r="H592" s="79">
        <f t="shared" si="91"/>
        <v>6</v>
      </c>
      <c r="I592">
        <f t="shared" si="92"/>
        <v>38</v>
      </c>
      <c r="J592">
        <f t="shared" si="93"/>
        <v>0</v>
      </c>
      <c r="K592">
        <f t="shared" si="95"/>
        <v>27</v>
      </c>
      <c r="L592" s="80">
        <f t="shared" si="96"/>
        <v>16</v>
      </c>
      <c r="M592" s="80">
        <f t="shared" si="97"/>
        <v>43</v>
      </c>
      <c r="N592">
        <f t="shared" si="98"/>
        <v>23300.991999999998</v>
      </c>
      <c r="O592" s="87">
        <f>(((1-((1+$W$11)/(1+$W$10))^(6*(J592+K592)))/($W$10-$W$11))*(1+$W$10)^(6*(J592+K592)))</f>
        <v>879.8935468544031</v>
      </c>
      <c r="P592" s="69">
        <f>N592*0.065*O592</f>
        <v>1332655.5122468947</v>
      </c>
      <c r="Q592" s="69">
        <f t="shared" si="99"/>
        <v>8884.3700816459641</v>
      </c>
      <c r="R592" s="69">
        <f>G592*(1+0.06)^K592</f>
        <v>112365.44418557135</v>
      </c>
      <c r="S592" s="77">
        <f t="shared" si="100"/>
        <v>7.9066746418707173E-2</v>
      </c>
    </row>
    <row r="593" spans="1:19" ht="15.5" x14ac:dyDescent="0.35">
      <c r="A593" s="3" t="s">
        <v>5031</v>
      </c>
      <c r="B593" s="16" t="s">
        <v>5032</v>
      </c>
      <c r="C593" s="17" t="s">
        <v>5034</v>
      </c>
      <c r="D593" s="17" t="str">
        <f t="shared" si="94"/>
        <v>10/11/86</v>
      </c>
      <c r="E593" s="3" t="s">
        <v>5026</v>
      </c>
      <c r="F593" s="6">
        <v>29126.239999999998</v>
      </c>
      <c r="G593" s="6">
        <f>IF(F593=0,$Y$3,F593)</f>
        <v>29126.239999999998</v>
      </c>
      <c r="H593" s="79">
        <f t="shared" si="91"/>
        <v>22</v>
      </c>
      <c r="I593">
        <f t="shared" si="92"/>
        <v>36</v>
      </c>
      <c r="J593">
        <f t="shared" si="93"/>
        <v>0</v>
      </c>
      <c r="K593">
        <f t="shared" si="95"/>
        <v>29</v>
      </c>
      <c r="L593" s="80">
        <f t="shared" si="96"/>
        <v>0</v>
      </c>
      <c r="M593" s="80">
        <f t="shared" si="97"/>
        <v>29</v>
      </c>
      <c r="N593">
        <f t="shared" si="98"/>
        <v>29126.239999999998</v>
      </c>
      <c r="O593" s="87">
        <f>(((1-((1+$W$11)/(1+$W$10))^(6*(J593+K593)))/($W$10-$W$11))*(1+$W$10)^(6*(J593+K593)))</f>
        <v>1072.3399666941964</v>
      </c>
      <c r="P593" s="69">
        <f>N593*0.065*O593</f>
        <v>2030160.0300492661</v>
      </c>
      <c r="Q593" s="69">
        <f t="shared" si="99"/>
        <v>13534.40020032844</v>
      </c>
      <c r="R593" s="69">
        <f>G593*(1+0.06)^K593</f>
        <v>157817.26635863498</v>
      </c>
      <c r="S593" s="77">
        <f t="shared" si="100"/>
        <v>8.5759945743654711E-2</v>
      </c>
    </row>
    <row r="594" spans="1:19" ht="15.5" x14ac:dyDescent="0.35">
      <c r="A594" s="3" t="s">
        <v>5035</v>
      </c>
      <c r="B594" s="16" t="s">
        <v>5036</v>
      </c>
      <c r="C594" s="17" t="s">
        <v>5038</v>
      </c>
      <c r="D594" s="17" t="str">
        <f t="shared" si="94"/>
        <v>19/11/93</v>
      </c>
      <c r="E594" s="3" t="s">
        <v>5039</v>
      </c>
      <c r="F594" s="6">
        <v>7445.8720000000003</v>
      </c>
      <c r="G594" s="6">
        <f>IF(F594=0,$Y$3,F594)</f>
        <v>7445.8720000000003</v>
      </c>
      <c r="H594" s="79">
        <f t="shared" si="91"/>
        <v>17</v>
      </c>
      <c r="I594">
        <f t="shared" si="92"/>
        <v>29</v>
      </c>
      <c r="J594">
        <f t="shared" si="93"/>
        <v>0</v>
      </c>
      <c r="K594">
        <f t="shared" si="95"/>
        <v>36</v>
      </c>
      <c r="L594" s="80">
        <f t="shared" si="96"/>
        <v>5</v>
      </c>
      <c r="M594" s="80">
        <f t="shared" si="97"/>
        <v>41</v>
      </c>
      <c r="N594">
        <f t="shared" si="98"/>
        <v>7445.8720000000003</v>
      </c>
      <c r="O594" s="87">
        <f>(((1-((1+$W$11)/(1+$W$10))^(6*(J594+K594)))/($W$10-$W$11))*(1+$W$10)^(6*(J594+K594)))</f>
        <v>2071.9321695914473</v>
      </c>
      <c r="P594" s="69">
        <f>N594*0.065*O594</f>
        <v>1002777.2122849136</v>
      </c>
      <c r="Q594" s="69">
        <f t="shared" si="99"/>
        <v>6685.1814152327579</v>
      </c>
      <c r="R594" s="69">
        <f>G594*(1+0.06)^K594</f>
        <v>60663.395542635248</v>
      </c>
      <c r="S594" s="77">
        <f t="shared" si="100"/>
        <v>0.1102012400630344</v>
      </c>
    </row>
    <row r="595" spans="1:19" ht="15.5" x14ac:dyDescent="0.35">
      <c r="A595" s="3" t="s">
        <v>5040</v>
      </c>
      <c r="B595" s="16" t="s">
        <v>5041</v>
      </c>
      <c r="C595" s="17" t="s">
        <v>5043</v>
      </c>
      <c r="D595" s="17" t="str">
        <f t="shared" si="94"/>
        <v>16/03/92</v>
      </c>
      <c r="E595" s="3" t="s">
        <v>5026</v>
      </c>
      <c r="F595" s="6">
        <v>0</v>
      </c>
      <c r="G595" s="6">
        <f>IF(F595=0,$Y$3,F595)</f>
        <v>15640.21</v>
      </c>
      <c r="H595" s="79">
        <f t="shared" si="91"/>
        <v>8</v>
      </c>
      <c r="I595">
        <f t="shared" si="92"/>
        <v>30</v>
      </c>
      <c r="J595">
        <f t="shared" si="93"/>
        <v>0</v>
      </c>
      <c r="K595">
        <f t="shared" si="95"/>
        <v>35</v>
      </c>
      <c r="L595" s="80">
        <f t="shared" si="96"/>
        <v>14</v>
      </c>
      <c r="M595" s="80">
        <f t="shared" si="97"/>
        <v>49</v>
      </c>
      <c r="N595">
        <f t="shared" si="98"/>
        <v>15640.21</v>
      </c>
      <c r="O595" s="87">
        <f>(((1-((1+$W$11)/(1+$W$10))^(6*(J595+K595)))/($W$10-$W$11))*(1+$W$10)^(6*(J595+K595)))</f>
        <v>1890.963685662718</v>
      </c>
      <c r="P595" s="69">
        <f>N595*0.065*O595</f>
        <v>1922379.4944990284</v>
      </c>
      <c r="Q595" s="69">
        <f t="shared" si="99"/>
        <v>12815.863296660189</v>
      </c>
      <c r="R595" s="69">
        <f>G595*(1+0.06)^K595</f>
        <v>120212.01150999154</v>
      </c>
      <c r="S595" s="77">
        <f t="shared" si="100"/>
        <v>0.10661050535365998</v>
      </c>
    </row>
    <row r="596" spans="1:19" ht="15.5" x14ac:dyDescent="0.35">
      <c r="A596" s="3" t="s">
        <v>5044</v>
      </c>
      <c r="B596" s="16" t="s">
        <v>5045</v>
      </c>
      <c r="C596" s="17" t="s">
        <v>5047</v>
      </c>
      <c r="D596" s="17" t="str">
        <f t="shared" si="94"/>
        <v>04/12/90</v>
      </c>
      <c r="E596" s="3" t="s">
        <v>5026</v>
      </c>
      <c r="F596" s="6">
        <v>5602.72</v>
      </c>
      <c r="G596" s="6">
        <f>IF(F596=0,$Y$3,F596)</f>
        <v>5602.72</v>
      </c>
      <c r="H596" s="79">
        <f t="shared" si="91"/>
        <v>11</v>
      </c>
      <c r="I596">
        <f t="shared" si="92"/>
        <v>32</v>
      </c>
      <c r="J596">
        <f t="shared" si="93"/>
        <v>0</v>
      </c>
      <c r="K596">
        <f t="shared" si="95"/>
        <v>33</v>
      </c>
      <c r="L596" s="80">
        <f t="shared" si="96"/>
        <v>11</v>
      </c>
      <c r="M596" s="80">
        <f t="shared" si="97"/>
        <v>44</v>
      </c>
      <c r="N596">
        <f t="shared" si="98"/>
        <v>5602.72</v>
      </c>
      <c r="O596" s="87">
        <f>(((1-((1+$W$11)/(1+$W$10))^(6*(J596+K596)))/($W$10-$W$11))*(1+$W$10)^(6*(J596+K596)))</f>
        <v>1571.1687390454781</v>
      </c>
      <c r="P596" s="69">
        <f>N596*0.065*O596</f>
        <v>572183.20364561724</v>
      </c>
      <c r="Q596" s="69">
        <f t="shared" si="99"/>
        <v>3814.5546909707814</v>
      </c>
      <c r="R596" s="69">
        <f>G596*(1+0.06)^K596</f>
        <v>38325.909748152582</v>
      </c>
      <c r="S596" s="77">
        <f t="shared" si="100"/>
        <v>9.9529397111171092E-2</v>
      </c>
    </row>
    <row r="597" spans="1:19" ht="15.5" x14ac:dyDescent="0.35">
      <c r="A597" s="3" t="s">
        <v>5048</v>
      </c>
      <c r="B597" s="16" t="s">
        <v>5049</v>
      </c>
      <c r="C597" s="17" t="s">
        <v>5051</v>
      </c>
      <c r="D597" s="17" t="str">
        <f t="shared" si="94"/>
        <v>26/04/90</v>
      </c>
      <c r="E597" s="3" t="s">
        <v>5026</v>
      </c>
      <c r="F597" s="6">
        <v>9612.1759999999995</v>
      </c>
      <c r="G597" s="6">
        <f>IF(F597=0,$Y$3,F597)</f>
        <v>9612.1759999999995</v>
      </c>
      <c r="H597" s="79">
        <f t="shared" si="91"/>
        <v>12</v>
      </c>
      <c r="I597">
        <f t="shared" si="92"/>
        <v>32</v>
      </c>
      <c r="J597">
        <f t="shared" si="93"/>
        <v>0</v>
      </c>
      <c r="K597">
        <f t="shared" si="95"/>
        <v>33</v>
      </c>
      <c r="L597" s="80">
        <f t="shared" si="96"/>
        <v>10</v>
      </c>
      <c r="M597" s="80">
        <f t="shared" si="97"/>
        <v>43</v>
      </c>
      <c r="N597">
        <f t="shared" si="98"/>
        <v>9612.1759999999995</v>
      </c>
      <c r="O597" s="87">
        <f>(((1-((1+$W$11)/(1+$W$10))^(6*(J597+K597)))/($W$10-$W$11))*(1+$W$10)^(6*(J597+K597)))</f>
        <v>1571.1687390454781</v>
      </c>
      <c r="P597" s="69">
        <f>N597*0.065*O597</f>
        <v>981652.77895120846</v>
      </c>
      <c r="Q597" s="69">
        <f t="shared" si="99"/>
        <v>6544.3518596747226</v>
      </c>
      <c r="R597" s="69">
        <f>G597*(1+0.06)^K597</f>
        <v>65752.953897278159</v>
      </c>
      <c r="S597" s="77">
        <f t="shared" si="100"/>
        <v>9.9529397111171092E-2</v>
      </c>
    </row>
    <row r="598" spans="1:19" ht="15.5" x14ac:dyDescent="0.35">
      <c r="A598" s="3" t="s">
        <v>5052</v>
      </c>
      <c r="B598" s="16" t="s">
        <v>5053</v>
      </c>
      <c r="C598" s="17" t="s">
        <v>1630</v>
      </c>
      <c r="D598" s="17" t="str">
        <f t="shared" si="94"/>
        <v>30/03/93</v>
      </c>
      <c r="E598" s="3" t="s">
        <v>5055</v>
      </c>
      <c r="F598" s="6">
        <v>7862.0479999999998</v>
      </c>
      <c r="G598" s="6">
        <f>IF(F598=0,$Y$3,F598)</f>
        <v>7862.0479999999998</v>
      </c>
      <c r="H598" s="79">
        <f t="shared" si="91"/>
        <v>15</v>
      </c>
      <c r="I598">
        <f t="shared" si="92"/>
        <v>29</v>
      </c>
      <c r="J598">
        <f t="shared" si="93"/>
        <v>0</v>
      </c>
      <c r="K598">
        <f t="shared" si="95"/>
        <v>36</v>
      </c>
      <c r="L598" s="80">
        <f t="shared" si="96"/>
        <v>7</v>
      </c>
      <c r="M598" s="80">
        <f t="shared" si="97"/>
        <v>43</v>
      </c>
      <c r="N598">
        <f t="shared" si="98"/>
        <v>7862.0479999999998</v>
      </c>
      <c r="O598" s="87">
        <f>(((1-((1+$W$11)/(1+$W$10))^(6*(J598+K598)))/($W$10-$W$11))*(1+$W$10)^(6*(J598+K598)))</f>
        <v>2071.9321695914473</v>
      </c>
      <c r="P598" s="69">
        <f>N598*0.065*O598</f>
        <v>1058825.9610546865</v>
      </c>
      <c r="Q598" s="69">
        <f t="shared" si="99"/>
        <v>7058.8397403645768</v>
      </c>
      <c r="R598" s="69">
        <f>G598*(1+0.06)^K598</f>
        <v>64054.086290925276</v>
      </c>
      <c r="S598" s="77">
        <f t="shared" si="100"/>
        <v>0.11020124006303439</v>
      </c>
    </row>
    <row r="599" spans="1:19" ht="15.5" x14ac:dyDescent="0.35">
      <c r="A599" s="3" t="s">
        <v>5056</v>
      </c>
      <c r="B599" s="16" t="s">
        <v>5057</v>
      </c>
      <c r="C599" s="17" t="s">
        <v>5059</v>
      </c>
      <c r="D599" s="17" t="str">
        <f t="shared" si="94"/>
        <v>04/12/86</v>
      </c>
      <c r="E599" s="3" t="s">
        <v>5039</v>
      </c>
      <c r="F599" s="6">
        <v>17558.432000000001</v>
      </c>
      <c r="G599" s="6">
        <f>IF(F599=0,$Y$3,F599)</f>
        <v>17558.432000000001</v>
      </c>
      <c r="H599" s="79">
        <f t="shared" si="91"/>
        <v>17</v>
      </c>
      <c r="I599">
        <f t="shared" si="92"/>
        <v>36</v>
      </c>
      <c r="J599">
        <f t="shared" si="93"/>
        <v>0</v>
      </c>
      <c r="K599">
        <f t="shared" si="95"/>
        <v>29</v>
      </c>
      <c r="L599" s="80">
        <f t="shared" si="96"/>
        <v>5</v>
      </c>
      <c r="M599" s="80">
        <f t="shared" si="97"/>
        <v>34</v>
      </c>
      <c r="N599">
        <f t="shared" si="98"/>
        <v>17558.432000000001</v>
      </c>
      <c r="O599" s="87">
        <f>(((1-((1+$W$11)/(1+$W$10))^(6*(J599+K599)))/($W$10-$W$11))*(1+$W$10)^(6*(J599+K599)))</f>
        <v>1072.3399666941964</v>
      </c>
      <c r="P599" s="69">
        <f>N599*0.065*O599</f>
        <v>1223859.5450953504</v>
      </c>
      <c r="Q599" s="69">
        <f t="shared" si="99"/>
        <v>8159.0636339690027</v>
      </c>
      <c r="R599" s="69">
        <f>G599*(1+0.06)^K599</f>
        <v>95138.395473771423</v>
      </c>
      <c r="S599" s="77">
        <f t="shared" si="100"/>
        <v>8.5759945743654711E-2</v>
      </c>
    </row>
    <row r="600" spans="1:19" ht="15.5" x14ac:dyDescent="0.35">
      <c r="A600" s="3" t="s">
        <v>5060</v>
      </c>
      <c r="B600" s="16" t="s">
        <v>5061</v>
      </c>
      <c r="C600" s="17" t="s">
        <v>5063</v>
      </c>
      <c r="D600" s="17" t="str">
        <f t="shared" si="94"/>
        <v>04/05/02</v>
      </c>
      <c r="E600" s="3" t="s">
        <v>5026</v>
      </c>
      <c r="F600" s="6">
        <v>11781.52</v>
      </c>
      <c r="G600" s="6">
        <f>IF(F600=0,$Y$3,F600)</f>
        <v>11781.52</v>
      </c>
      <c r="H600" s="79">
        <f t="shared" si="91"/>
        <v>17</v>
      </c>
      <c r="I600">
        <f t="shared" si="92"/>
        <v>20</v>
      </c>
      <c r="J600">
        <f t="shared" si="93"/>
        <v>0</v>
      </c>
      <c r="K600">
        <f t="shared" si="95"/>
        <v>45</v>
      </c>
      <c r="L600" s="80">
        <f t="shared" si="96"/>
        <v>5</v>
      </c>
      <c r="M600" s="80">
        <f t="shared" si="97"/>
        <v>50</v>
      </c>
      <c r="N600">
        <f t="shared" si="98"/>
        <v>11781.52</v>
      </c>
      <c r="O600" s="87">
        <f>(((1-((1+$W$11)/(1+$W$10))^(6*(J600+K600)))/($W$10-$W$11))*(1+$W$10)^(6*(J600+K600)))</f>
        <v>4576.6656596284247</v>
      </c>
      <c r="P600" s="69">
        <f>N600*0.065*O600</f>
        <v>3504805.0701446561</v>
      </c>
      <c r="Q600" s="69">
        <f t="shared" si="99"/>
        <v>23365.367134297707</v>
      </c>
      <c r="R600" s="69">
        <f>G600*(1+0.06)^K600</f>
        <v>162168.03775571307</v>
      </c>
      <c r="S600" s="77">
        <f t="shared" si="100"/>
        <v>0.1440812101919545</v>
      </c>
    </row>
    <row r="601" spans="1:19" ht="15.5" x14ac:dyDescent="0.35">
      <c r="A601" s="3" t="s">
        <v>5069</v>
      </c>
      <c r="B601" s="16" t="s">
        <v>5070</v>
      </c>
      <c r="C601" s="17" t="s">
        <v>5072</v>
      </c>
      <c r="D601" s="17" t="str">
        <f t="shared" si="94"/>
        <v>03/05/88</v>
      </c>
      <c r="E601" s="3" t="s">
        <v>3952</v>
      </c>
      <c r="F601" s="6">
        <v>7862.0479999999998</v>
      </c>
      <c r="G601" s="6">
        <f>IF(F601=0,$Y$3,F601)</f>
        <v>7862.0479999999998</v>
      </c>
      <c r="H601" s="79">
        <f t="shared" si="91"/>
        <v>6</v>
      </c>
      <c r="I601">
        <f t="shared" si="92"/>
        <v>34</v>
      </c>
      <c r="J601">
        <f t="shared" si="93"/>
        <v>0</v>
      </c>
      <c r="K601">
        <f t="shared" si="95"/>
        <v>31</v>
      </c>
      <c r="L601" s="80">
        <f t="shared" si="96"/>
        <v>16</v>
      </c>
      <c r="M601" s="80">
        <f t="shared" si="97"/>
        <v>47</v>
      </c>
      <c r="N601">
        <f t="shared" si="98"/>
        <v>7862.0479999999998</v>
      </c>
      <c r="O601" s="87">
        <f>(((1-((1+$W$11)/(1+$W$10))^(6*(J601+K601)))/($W$10-$W$11))*(1+$W$10)^(6*(J601+K601)))</f>
        <v>1300.6996735984885</v>
      </c>
      <c r="P601" s="69">
        <f>N601*0.065*O601</f>
        <v>664700.61238201719</v>
      </c>
      <c r="Q601" s="69">
        <f t="shared" si="99"/>
        <v>4431.3374158801143</v>
      </c>
      <c r="R601" s="69">
        <f>G601*(1+0.06)^K601</f>
        <v>47864.939486361574</v>
      </c>
      <c r="S601" s="77">
        <f t="shared" si="100"/>
        <v>9.2580027540675361E-2</v>
      </c>
    </row>
    <row r="602" spans="1:19" ht="15.5" x14ac:dyDescent="0.35">
      <c r="A602" s="3" t="s">
        <v>5073</v>
      </c>
      <c r="B602" s="16" t="s">
        <v>5074</v>
      </c>
      <c r="C602" s="17" t="s">
        <v>5076</v>
      </c>
      <c r="D602" s="17" t="str">
        <f t="shared" si="94"/>
        <v>16/05/96</v>
      </c>
      <c r="E602" s="3" t="s">
        <v>5077</v>
      </c>
      <c r="F602" s="6">
        <v>7510.6239999999998</v>
      </c>
      <c r="G602" s="6">
        <f>IF(F602=0,$Y$3,F602)</f>
        <v>7510.6239999999998</v>
      </c>
      <c r="H602" s="79">
        <f t="shared" si="91"/>
        <v>11</v>
      </c>
      <c r="I602">
        <f t="shared" si="92"/>
        <v>26</v>
      </c>
      <c r="J602">
        <f t="shared" si="93"/>
        <v>0</v>
      </c>
      <c r="K602">
        <f t="shared" si="95"/>
        <v>39</v>
      </c>
      <c r="L602" s="80">
        <f t="shared" si="96"/>
        <v>11</v>
      </c>
      <c r="M602" s="80">
        <f t="shared" si="97"/>
        <v>50</v>
      </c>
      <c r="N602">
        <f t="shared" si="98"/>
        <v>7510.6239999999998</v>
      </c>
      <c r="O602" s="87">
        <f>(((1-((1+$W$11)/(1+$W$10))^(6*(J602+K602)))/($W$10-$W$11))*(1+$W$10)^(6*(J602+K602)))</f>
        <v>2713.5031944291845</v>
      </c>
      <c r="P602" s="69">
        <f>N602*0.065*O602</f>
        <v>1324706.6440501725</v>
      </c>
      <c r="Q602" s="69">
        <f t="shared" si="99"/>
        <v>8831.3776270011494</v>
      </c>
      <c r="R602" s="69">
        <f>G602*(1+0.06)^K602</f>
        <v>72879.396222460855</v>
      </c>
      <c r="S602" s="77">
        <f t="shared" si="100"/>
        <v>0.12117797463694394</v>
      </c>
    </row>
    <row r="603" spans="1:19" ht="15.5" x14ac:dyDescent="0.35">
      <c r="A603" s="3" t="s">
        <v>5078</v>
      </c>
      <c r="B603" s="16" t="s">
        <v>5079</v>
      </c>
      <c r="C603" s="17" t="s">
        <v>5081</v>
      </c>
      <c r="D603" s="17" t="str">
        <f t="shared" si="94"/>
        <v>29/03/96</v>
      </c>
      <c r="E603" s="3" t="s">
        <v>5082</v>
      </c>
      <c r="F603" s="6">
        <v>8049.311999999999</v>
      </c>
      <c r="G603" s="6">
        <f>IF(F603=0,$Y$3,F603)</f>
        <v>8049.311999999999</v>
      </c>
      <c r="H603" s="79">
        <f t="shared" si="91"/>
        <v>12</v>
      </c>
      <c r="I603">
        <f t="shared" si="92"/>
        <v>26</v>
      </c>
      <c r="J603">
        <f t="shared" si="93"/>
        <v>0</v>
      </c>
      <c r="K603">
        <f t="shared" si="95"/>
        <v>39</v>
      </c>
      <c r="L603" s="80">
        <f t="shared" si="96"/>
        <v>10</v>
      </c>
      <c r="M603" s="80">
        <f t="shared" si="97"/>
        <v>49</v>
      </c>
      <c r="N603">
        <f t="shared" si="98"/>
        <v>8049.311999999999</v>
      </c>
      <c r="O603" s="87">
        <f>(((1-((1+$W$11)/(1+$W$10))^(6*(J603+K603)))/($W$10-$W$11))*(1+$W$10)^(6*(J603+K603)))</f>
        <v>2713.5031944291845</v>
      </c>
      <c r="P603" s="69">
        <f>N603*0.065*O603</f>
        <v>1419719.1986222158</v>
      </c>
      <c r="Q603" s="69">
        <f t="shared" si="99"/>
        <v>9464.7946574814378</v>
      </c>
      <c r="R603" s="69">
        <f>G603*(1+0.06)^K603</f>
        <v>78106.559264078285</v>
      </c>
      <c r="S603" s="77">
        <f t="shared" si="100"/>
        <v>0.12117797463694395</v>
      </c>
    </row>
    <row r="604" spans="1:19" ht="15.5" x14ac:dyDescent="0.35">
      <c r="A604" s="3" t="s">
        <v>5083</v>
      </c>
      <c r="B604" s="16" t="s">
        <v>5084</v>
      </c>
      <c r="C604" s="17" t="s">
        <v>5086</v>
      </c>
      <c r="D604" s="17" t="str">
        <f t="shared" si="94"/>
        <v>16/05/95</v>
      </c>
      <c r="E604" s="3" t="s">
        <v>5087</v>
      </c>
      <c r="F604" s="6">
        <v>9532.2240000000002</v>
      </c>
      <c r="G604" s="6">
        <f>IF(F604=0,$Y$3,F604)</f>
        <v>9532.2240000000002</v>
      </c>
      <c r="H604" s="79">
        <f t="shared" si="91"/>
        <v>16</v>
      </c>
      <c r="I604">
        <f t="shared" si="92"/>
        <v>27</v>
      </c>
      <c r="J604">
        <f t="shared" si="93"/>
        <v>0</v>
      </c>
      <c r="K604">
        <f t="shared" si="95"/>
        <v>38</v>
      </c>
      <c r="L604" s="80">
        <f t="shared" si="96"/>
        <v>6</v>
      </c>
      <c r="M604" s="80">
        <f t="shared" si="97"/>
        <v>44</v>
      </c>
      <c r="N604">
        <f t="shared" si="98"/>
        <v>9532.2240000000002</v>
      </c>
      <c r="O604" s="87">
        <f>(((1-((1+$W$11)/(1+$W$10))^(6*(J604+K604)))/($W$10-$W$11))*(1+$W$10)^(6*(J604+K604)))</f>
        <v>2481.8865373152853</v>
      </c>
      <c r="P604" s="69">
        <f>N604*0.065*O604</f>
        <v>1537763.3970577877</v>
      </c>
      <c r="Q604" s="69">
        <f t="shared" si="99"/>
        <v>10251.755980385251</v>
      </c>
      <c r="R604" s="69">
        <f>G604*(1+0.06)^K604</f>
        <v>87260.383924441325</v>
      </c>
      <c r="S604" s="77">
        <f t="shared" si="100"/>
        <v>0.11748465362314055</v>
      </c>
    </row>
    <row r="605" spans="1:19" ht="15.5" x14ac:dyDescent="0.35">
      <c r="A605" s="3" t="s">
        <v>5088</v>
      </c>
      <c r="B605" s="16" t="s">
        <v>5089</v>
      </c>
      <c r="C605" s="17" t="s">
        <v>5091</v>
      </c>
      <c r="D605" s="17" t="str">
        <f t="shared" si="94"/>
        <v>03/10/97</v>
      </c>
      <c r="E605" s="3" t="s">
        <v>5087</v>
      </c>
      <c r="F605" s="6">
        <v>6526.8799999999992</v>
      </c>
      <c r="G605" s="6">
        <f>IF(F605=0,$Y$3,F605)</f>
        <v>6526.8799999999992</v>
      </c>
      <c r="H605" s="79">
        <f t="shared" si="91"/>
        <v>12</v>
      </c>
      <c r="I605">
        <f t="shared" si="92"/>
        <v>25</v>
      </c>
      <c r="J605">
        <f t="shared" si="93"/>
        <v>0</v>
      </c>
      <c r="K605">
        <f t="shared" si="95"/>
        <v>40</v>
      </c>
      <c r="L605" s="80">
        <f t="shared" si="96"/>
        <v>10</v>
      </c>
      <c r="M605" s="80">
        <f t="shared" si="97"/>
        <v>50</v>
      </c>
      <c r="N605">
        <f t="shared" si="98"/>
        <v>6526.8799999999992</v>
      </c>
      <c r="O605" s="87">
        <f>(((1-((1+$W$11)/(1+$W$10))^(6*(J605+K605)))/($W$10-$W$11))*(1+$W$10)^(6*(J605+K605)))</f>
        <v>2964.8060935111685</v>
      </c>
      <c r="P605" s="69">
        <f>N605*0.065*O605</f>
        <v>1257810.6837150513</v>
      </c>
      <c r="Q605" s="69">
        <f t="shared" si="99"/>
        <v>8385.4045581003411</v>
      </c>
      <c r="R605" s="69">
        <f>G605*(1+0.06)^K605</f>
        <v>67133.646689468471</v>
      </c>
      <c r="S605" s="77">
        <f t="shared" si="100"/>
        <v>0.12490613830182107</v>
      </c>
    </row>
    <row r="606" spans="1:19" ht="15.5" x14ac:dyDescent="0.35">
      <c r="A606" s="3" t="s">
        <v>5092</v>
      </c>
      <c r="B606" s="16" t="s">
        <v>5093</v>
      </c>
      <c r="C606" s="17" t="s">
        <v>5095</v>
      </c>
      <c r="D606" s="17" t="str">
        <f t="shared" si="94"/>
        <v>12/01/93</v>
      </c>
      <c r="E606" s="3" t="s">
        <v>5096</v>
      </c>
      <c r="F606" s="6">
        <v>10591.359999999999</v>
      </c>
      <c r="G606" s="6">
        <f>IF(F606=0,$Y$3,F606)</f>
        <v>10591.359999999999</v>
      </c>
      <c r="H606" s="79">
        <f t="shared" si="91"/>
        <v>9</v>
      </c>
      <c r="I606">
        <f t="shared" si="92"/>
        <v>29</v>
      </c>
      <c r="J606">
        <f t="shared" si="93"/>
        <v>0</v>
      </c>
      <c r="K606">
        <f t="shared" si="95"/>
        <v>36</v>
      </c>
      <c r="L606" s="80">
        <f t="shared" si="96"/>
        <v>13</v>
      </c>
      <c r="M606" s="80">
        <f t="shared" si="97"/>
        <v>49</v>
      </c>
      <c r="N606">
        <f t="shared" si="98"/>
        <v>10591.359999999999</v>
      </c>
      <c r="O606" s="87">
        <f>(((1-((1+$W$11)/(1+$W$10))^(6*(J606+K606)))/($W$10-$W$11))*(1+$W$10)^(6*(J606+K606)))</f>
        <v>2071.9321695914473</v>
      </c>
      <c r="P606" s="69">
        <f>N606*0.065*O606</f>
        <v>1426397.6677420645</v>
      </c>
      <c r="Q606" s="69">
        <f t="shared" si="99"/>
        <v>9509.3177849470958</v>
      </c>
      <c r="R606" s="69">
        <f>G606*(1+0.06)^K606</f>
        <v>86290.47894114285</v>
      </c>
      <c r="S606" s="77">
        <f t="shared" si="100"/>
        <v>0.11020124006303438</v>
      </c>
    </row>
    <row r="607" spans="1:19" ht="15.5" x14ac:dyDescent="0.35">
      <c r="A607" s="3" t="s">
        <v>5097</v>
      </c>
      <c r="B607" s="16" t="s">
        <v>5098</v>
      </c>
      <c r="C607" s="17" t="s">
        <v>5100</v>
      </c>
      <c r="D607" s="17" t="str">
        <f t="shared" si="94"/>
        <v>11/08/94</v>
      </c>
      <c r="E607" s="3" t="s">
        <v>5077</v>
      </c>
      <c r="F607" s="6">
        <v>7862.0479999999998</v>
      </c>
      <c r="G607" s="6">
        <f>IF(F607=0,$Y$3,F607)</f>
        <v>7862.0479999999998</v>
      </c>
      <c r="H607" s="79">
        <f t="shared" si="91"/>
        <v>12</v>
      </c>
      <c r="I607">
        <f t="shared" si="92"/>
        <v>28</v>
      </c>
      <c r="J607">
        <f t="shared" si="93"/>
        <v>0</v>
      </c>
      <c r="K607">
        <f t="shared" si="95"/>
        <v>37</v>
      </c>
      <c r="L607" s="80">
        <f t="shared" si="96"/>
        <v>10</v>
      </c>
      <c r="M607" s="80">
        <f t="shared" si="97"/>
        <v>47</v>
      </c>
      <c r="N607">
        <f t="shared" si="98"/>
        <v>7862.0479999999998</v>
      </c>
      <c r="O607" s="87">
        <f>(((1-((1+$W$11)/(1+$W$10))^(6*(J607+K607)))/($W$10-$W$11))*(1+$W$10)^(6*(J607+K607)))</f>
        <v>2268.4845089511282</v>
      </c>
      <c r="P607" s="69">
        <f>N607*0.065*O607</f>
        <v>1159270.716280963</v>
      </c>
      <c r="Q607" s="69">
        <f t="shared" si="99"/>
        <v>7728.4714418730873</v>
      </c>
      <c r="R607" s="69">
        <f>G607*(1+0.06)^K607</f>
        <v>67897.331468380798</v>
      </c>
      <c r="S607" s="77">
        <f t="shared" si="100"/>
        <v>0.11382584962815762</v>
      </c>
    </row>
    <row r="608" spans="1:19" ht="15.5" x14ac:dyDescent="0.35">
      <c r="A608" s="3" t="s">
        <v>5101</v>
      </c>
      <c r="B608" s="16" t="s">
        <v>5102</v>
      </c>
      <c r="C608" s="17" t="s">
        <v>5104</v>
      </c>
      <c r="D608" s="17" t="str">
        <f t="shared" si="94"/>
        <v>27/11/91</v>
      </c>
      <c r="E608" s="3" t="s">
        <v>5105</v>
      </c>
      <c r="F608" s="6">
        <v>26478.399999999998</v>
      </c>
      <c r="G608" s="6">
        <f>IF(F608=0,$Y$3,F608)</f>
        <v>26478.399999999998</v>
      </c>
      <c r="H608" s="79">
        <f t="shared" si="91"/>
        <v>14</v>
      </c>
      <c r="I608">
        <f t="shared" si="92"/>
        <v>31</v>
      </c>
      <c r="J608">
        <f t="shared" si="93"/>
        <v>0</v>
      </c>
      <c r="K608">
        <f t="shared" si="95"/>
        <v>34</v>
      </c>
      <c r="L608" s="80">
        <f t="shared" si="96"/>
        <v>8</v>
      </c>
      <c r="M608" s="80">
        <f t="shared" si="97"/>
        <v>42</v>
      </c>
      <c r="N608">
        <f t="shared" si="98"/>
        <v>26478.399999999998</v>
      </c>
      <c r="O608" s="87">
        <f>(((1-((1+$W$11)/(1+$W$10))^(6*(J608+K608)))/($W$10-$W$11))*(1+$W$10)^(6*(J608+K608)))</f>
        <v>1724.4052908394829</v>
      </c>
      <c r="P608" s="69">
        <f>N608*0.065*O608</f>
        <v>2967867.0484426706</v>
      </c>
      <c r="Q608" s="69">
        <f t="shared" si="99"/>
        <v>19785.780322951137</v>
      </c>
      <c r="R608" s="69">
        <f>G608*(1+0.06)^K608</f>
        <v>191995.54766185218</v>
      </c>
      <c r="S608" s="77">
        <f t="shared" si="100"/>
        <v>0.10305332891259747</v>
      </c>
    </row>
    <row r="609" spans="1:19" ht="15.5" x14ac:dyDescent="0.35">
      <c r="A609" s="3" t="s">
        <v>5106</v>
      </c>
      <c r="B609" s="16" t="s">
        <v>5107</v>
      </c>
      <c r="C609" s="17" t="s">
        <v>1535</v>
      </c>
      <c r="D609" s="17" t="str">
        <f t="shared" si="94"/>
        <v>04/02/92</v>
      </c>
      <c r="E609" s="3" t="s">
        <v>5105</v>
      </c>
      <c r="F609" s="6">
        <v>7445.8720000000003</v>
      </c>
      <c r="G609" s="6">
        <f>IF(F609=0,$Y$3,F609)</f>
        <v>7445.8720000000003</v>
      </c>
      <c r="H609" s="79">
        <f t="shared" si="91"/>
        <v>8</v>
      </c>
      <c r="I609">
        <f t="shared" si="92"/>
        <v>30</v>
      </c>
      <c r="J609">
        <f t="shared" si="93"/>
        <v>0</v>
      </c>
      <c r="K609">
        <f t="shared" si="95"/>
        <v>35</v>
      </c>
      <c r="L609" s="80">
        <f t="shared" si="96"/>
        <v>14</v>
      </c>
      <c r="M609" s="80">
        <f t="shared" si="97"/>
        <v>49</v>
      </c>
      <c r="N609">
        <f t="shared" si="98"/>
        <v>7445.8720000000003</v>
      </c>
      <c r="O609" s="87">
        <f>(((1-((1+$W$11)/(1+$W$10))^(6*(J609+K609)))/($W$10-$W$11))*(1+$W$10)^(6*(J609+K609)))</f>
        <v>1890.963685662718</v>
      </c>
      <c r="P609" s="69">
        <f>N609*0.065*O609</f>
        <v>915191.78140603425</v>
      </c>
      <c r="Q609" s="69">
        <f t="shared" si="99"/>
        <v>6101.2785427068948</v>
      </c>
      <c r="R609" s="69">
        <f>G609*(1+0.06)^K609</f>
        <v>57229.618436448349</v>
      </c>
      <c r="S609" s="77">
        <f t="shared" si="100"/>
        <v>0.10661050535365998</v>
      </c>
    </row>
    <row r="610" spans="1:19" ht="15.5" x14ac:dyDescent="0.35">
      <c r="A610" s="3" t="s">
        <v>5109</v>
      </c>
      <c r="B610" s="16" t="s">
        <v>5110</v>
      </c>
      <c r="C610" s="17" t="s">
        <v>5112</v>
      </c>
      <c r="D610" s="17" t="str">
        <f t="shared" si="94"/>
        <v>08/06/91</v>
      </c>
      <c r="E610" s="3" t="s">
        <v>5105</v>
      </c>
      <c r="F610" s="6">
        <v>8388.271999999999</v>
      </c>
      <c r="G610" s="6">
        <f>IF(F610=0,$Y$3,F610)</f>
        <v>8388.271999999999</v>
      </c>
      <c r="H610" s="79">
        <f t="shared" si="91"/>
        <v>10</v>
      </c>
      <c r="I610">
        <f t="shared" si="92"/>
        <v>31</v>
      </c>
      <c r="J610">
        <f t="shared" si="93"/>
        <v>0</v>
      </c>
      <c r="K610">
        <f t="shared" si="95"/>
        <v>34</v>
      </c>
      <c r="L610" s="80">
        <f t="shared" si="96"/>
        <v>12</v>
      </c>
      <c r="M610" s="80">
        <f t="shared" si="97"/>
        <v>46</v>
      </c>
      <c r="N610">
        <f t="shared" si="98"/>
        <v>8388.271999999999</v>
      </c>
      <c r="O610" s="87">
        <f>(((1-((1+$W$11)/(1+$W$10))^(6*(J610+K610)))/($W$10-$W$11))*(1+$W$10)^(6*(J610+K610)))</f>
        <v>1724.4052908394829</v>
      </c>
      <c r="P610" s="69">
        <f>N610*0.065*O610</f>
        <v>940210.74015704484</v>
      </c>
      <c r="Q610" s="69">
        <f t="shared" si="99"/>
        <v>6268.071601046966</v>
      </c>
      <c r="R610" s="69">
        <f>G610*(1+0.06)^K610</f>
        <v>60823.572292003293</v>
      </c>
      <c r="S610" s="77">
        <f t="shared" si="100"/>
        <v>0.10305332891259748</v>
      </c>
    </row>
    <row r="611" spans="1:19" ht="15.5" x14ac:dyDescent="0.35">
      <c r="A611" s="3" t="s">
        <v>5113</v>
      </c>
      <c r="B611" s="16" t="s">
        <v>5114</v>
      </c>
      <c r="C611" s="17" t="s">
        <v>5116</v>
      </c>
      <c r="D611" s="17" t="str">
        <f t="shared" si="94"/>
        <v>27/05/96</v>
      </c>
      <c r="E611" s="3" t="s">
        <v>5117</v>
      </c>
      <c r="F611" s="6">
        <v>5741.6480000000001</v>
      </c>
      <c r="G611" s="6">
        <f>IF(F611=0,$Y$3,F611)</f>
        <v>5741.6480000000001</v>
      </c>
      <c r="H611" s="79">
        <f t="shared" si="91"/>
        <v>11</v>
      </c>
      <c r="I611">
        <f t="shared" si="92"/>
        <v>26</v>
      </c>
      <c r="J611">
        <f t="shared" si="93"/>
        <v>0</v>
      </c>
      <c r="K611">
        <f t="shared" si="95"/>
        <v>39</v>
      </c>
      <c r="L611" s="80">
        <f t="shared" si="96"/>
        <v>11</v>
      </c>
      <c r="M611" s="80">
        <f t="shared" si="97"/>
        <v>50</v>
      </c>
      <c r="N611">
        <f t="shared" si="98"/>
        <v>5741.6480000000001</v>
      </c>
      <c r="O611" s="87">
        <f>(((1-((1+$W$11)/(1+$W$10))^(6*(J611+K611)))/($W$10-$W$11))*(1+$W$10)^(6*(J611+K611)))</f>
        <v>2713.5031944291845</v>
      </c>
      <c r="P611" s="69">
        <f>N611*0.065*O611</f>
        <v>1012698.7123037161</v>
      </c>
      <c r="Q611" s="69">
        <f t="shared" si="99"/>
        <v>6751.3247486914406</v>
      </c>
      <c r="R611" s="69">
        <f>G611*(1+0.06)^K611</f>
        <v>55714.124360625683</v>
      </c>
      <c r="S611" s="77">
        <f t="shared" si="100"/>
        <v>0.12117797463694396</v>
      </c>
    </row>
    <row r="612" spans="1:19" ht="15.5" x14ac:dyDescent="0.35">
      <c r="A612" s="3" t="s">
        <v>5118</v>
      </c>
      <c r="B612" s="16" t="s">
        <v>5119</v>
      </c>
      <c r="C612" s="17" t="s">
        <v>5121</v>
      </c>
      <c r="D612" s="17" t="str">
        <f t="shared" si="94"/>
        <v>06/01/88</v>
      </c>
      <c r="E612" s="3" t="s">
        <v>5122</v>
      </c>
      <c r="F612" s="6">
        <v>61429.887999999999</v>
      </c>
      <c r="G612" s="6">
        <f>IF(F612=0,$Y$3,F612)</f>
        <v>61429.887999999999</v>
      </c>
      <c r="H612" s="79">
        <f t="shared" si="91"/>
        <v>21</v>
      </c>
      <c r="I612">
        <f t="shared" si="92"/>
        <v>34</v>
      </c>
      <c r="J612">
        <f t="shared" si="93"/>
        <v>0</v>
      </c>
      <c r="K612">
        <f t="shared" si="95"/>
        <v>31</v>
      </c>
      <c r="L612" s="80">
        <f t="shared" si="96"/>
        <v>1</v>
      </c>
      <c r="M612" s="80">
        <f t="shared" si="97"/>
        <v>32</v>
      </c>
      <c r="N612">
        <f t="shared" si="98"/>
        <v>61429.887999999999</v>
      </c>
      <c r="O612" s="87">
        <f>(((1-((1+$W$11)/(1+$W$10))^(6*(J612+K612)))/($W$10-$W$11))*(1+$W$10)^(6*(J612+K612)))</f>
        <v>1300.6996735984885</v>
      </c>
      <c r="P612" s="69">
        <f>N612*0.065*O612</f>
        <v>5193619.2926014606</v>
      </c>
      <c r="Q612" s="69">
        <f t="shared" si="99"/>
        <v>34624.128617343071</v>
      </c>
      <c r="R612" s="69">
        <f>G612*(1+0.06)^K612</f>
        <v>373991.34064991324</v>
      </c>
      <c r="S612" s="77">
        <f t="shared" si="100"/>
        <v>9.2580027540675361E-2</v>
      </c>
    </row>
    <row r="613" spans="1:19" ht="15.5" x14ac:dyDescent="0.35">
      <c r="A613" s="3" t="s">
        <v>5123</v>
      </c>
      <c r="B613" s="16" t="s">
        <v>5124</v>
      </c>
      <c r="C613" s="17" t="s">
        <v>5126</v>
      </c>
      <c r="D613" s="17" t="str">
        <f t="shared" si="94"/>
        <v>23/11/99</v>
      </c>
      <c r="E613" s="3" t="s">
        <v>4316</v>
      </c>
      <c r="F613" s="6">
        <v>7862.0479999999998</v>
      </c>
      <c r="G613" s="6">
        <f>IF(F613=0,$Y$3,F613)</f>
        <v>7862.0479999999998</v>
      </c>
      <c r="H613" s="79">
        <f t="shared" si="91"/>
        <v>14</v>
      </c>
      <c r="I613">
        <f t="shared" si="92"/>
        <v>23</v>
      </c>
      <c r="J613">
        <f t="shared" si="93"/>
        <v>0</v>
      </c>
      <c r="K613">
        <f t="shared" si="95"/>
        <v>42</v>
      </c>
      <c r="L613" s="80">
        <f t="shared" si="96"/>
        <v>8</v>
      </c>
      <c r="M613" s="80">
        <f t="shared" si="97"/>
        <v>50</v>
      </c>
      <c r="N613">
        <f t="shared" si="98"/>
        <v>7862.0479999999998</v>
      </c>
      <c r="O613" s="87">
        <f>(((1-((1+$W$11)/(1+$W$10))^(6*(J613+K613)))/($W$10-$W$11))*(1+$W$10)^(6*(J613+K613)))</f>
        <v>3532.9398561414855</v>
      </c>
      <c r="P613" s="69">
        <f>N613*0.065*O613</f>
        <v>1805449.2774563346</v>
      </c>
      <c r="Q613" s="69">
        <f t="shared" si="99"/>
        <v>12036.328516375565</v>
      </c>
      <c r="R613" s="69">
        <f>G613*(1+0.06)^K613</f>
        <v>90861.945621772567</v>
      </c>
      <c r="S613" s="77">
        <f t="shared" si="100"/>
        <v>0.13246831150280133</v>
      </c>
    </row>
    <row r="614" spans="1:19" ht="15.5" x14ac:dyDescent="0.35">
      <c r="A614" s="3" t="s">
        <v>5127</v>
      </c>
      <c r="B614" s="16" t="s">
        <v>5128</v>
      </c>
      <c r="C614" s="17" t="s">
        <v>1533</v>
      </c>
      <c r="D614" s="17" t="str">
        <f t="shared" si="94"/>
        <v>14/12/87</v>
      </c>
      <c r="E614" s="3" t="s">
        <v>3952</v>
      </c>
      <c r="F614" s="6">
        <v>48483.743999999992</v>
      </c>
      <c r="G614" s="6">
        <f>IF(F614=0,$Y$3,F614)</f>
        <v>48483.743999999992</v>
      </c>
      <c r="H614" s="79">
        <f t="shared" si="91"/>
        <v>17</v>
      </c>
      <c r="I614">
        <f t="shared" si="92"/>
        <v>35</v>
      </c>
      <c r="J614">
        <f t="shared" si="93"/>
        <v>0</v>
      </c>
      <c r="K614">
        <f t="shared" si="95"/>
        <v>30</v>
      </c>
      <c r="L614" s="80">
        <f t="shared" si="96"/>
        <v>5</v>
      </c>
      <c r="M614" s="80">
        <f t="shared" si="97"/>
        <v>35</v>
      </c>
      <c r="N614">
        <f t="shared" si="98"/>
        <v>48483.743999999992</v>
      </c>
      <c r="O614" s="87">
        <f>(((1-((1+$W$11)/(1+$W$10))^(6*(J614+K614)))/($W$10-$W$11))*(1+$W$10)^(6*(J614+K614)))</f>
        <v>1181.6655698699749</v>
      </c>
      <c r="P614" s="69">
        <f>N614*0.065*O614</f>
        <v>3723952.1139073484</v>
      </c>
      <c r="Q614" s="69">
        <f t="shared" si="99"/>
        <v>24826.347426048989</v>
      </c>
      <c r="R614" s="69">
        <f>G614*(1+0.06)^K614</f>
        <v>278465.95569378615</v>
      </c>
      <c r="S614" s="77">
        <f t="shared" si="100"/>
        <v>8.9153977060481934E-2</v>
      </c>
    </row>
    <row r="615" spans="1:19" ht="15.5" x14ac:dyDescent="0.35">
      <c r="A615" s="3" t="s">
        <v>5130</v>
      </c>
      <c r="B615" s="16" t="s">
        <v>5131</v>
      </c>
      <c r="C615" s="17" t="s">
        <v>5133</v>
      </c>
      <c r="D615" s="17" t="str">
        <f t="shared" si="94"/>
        <v>12/05/02</v>
      </c>
      <c r="E615" s="3" t="s">
        <v>4316</v>
      </c>
      <c r="F615" s="6">
        <v>5602.72</v>
      </c>
      <c r="G615" s="6">
        <f>IF(F615=0,$Y$3,F615)</f>
        <v>5602.72</v>
      </c>
      <c r="H615" s="79">
        <f t="shared" si="91"/>
        <v>17</v>
      </c>
      <c r="I615">
        <f t="shared" si="92"/>
        <v>20</v>
      </c>
      <c r="J615">
        <f t="shared" si="93"/>
        <v>0</v>
      </c>
      <c r="K615">
        <f t="shared" si="95"/>
        <v>45</v>
      </c>
      <c r="L615" s="80">
        <f t="shared" si="96"/>
        <v>5</v>
      </c>
      <c r="M615" s="80">
        <f t="shared" si="97"/>
        <v>50</v>
      </c>
      <c r="N615">
        <f t="shared" si="98"/>
        <v>5602.72</v>
      </c>
      <c r="O615" s="87">
        <f>(((1-((1+$W$11)/(1+$W$10))^(6*(J615+K615)))/($W$10-$W$11))*(1+$W$10)^(6*(J615+K615)))</f>
        <v>4576.6656596284247</v>
      </c>
      <c r="P615" s="69">
        <f>N615*0.065*O615</f>
        <v>1666715.454593369</v>
      </c>
      <c r="Q615" s="69">
        <f t="shared" si="99"/>
        <v>11111.436363955794</v>
      </c>
      <c r="R615" s="69">
        <f>G615*(1+0.06)^K615</f>
        <v>77119.260375120415</v>
      </c>
      <c r="S615" s="77">
        <f t="shared" si="100"/>
        <v>0.14408121019195452</v>
      </c>
    </row>
    <row r="616" spans="1:19" ht="15.5" x14ac:dyDescent="0.35">
      <c r="A616" s="3" t="s">
        <v>5139</v>
      </c>
      <c r="B616" s="16" t="s">
        <v>5140</v>
      </c>
      <c r="C616" s="17" t="s">
        <v>5142</v>
      </c>
      <c r="D616" s="17" t="str">
        <f t="shared" si="94"/>
        <v>14/06/97</v>
      </c>
      <c r="E616" s="3" t="s">
        <v>5138</v>
      </c>
      <c r="F616" s="6">
        <v>12709.632</v>
      </c>
      <c r="G616" s="6">
        <f>IF(F616=0,$Y$3,F616)</f>
        <v>12709.632</v>
      </c>
      <c r="H616" s="79">
        <f t="shared" si="91"/>
        <v>13</v>
      </c>
      <c r="I616">
        <f t="shared" si="92"/>
        <v>25</v>
      </c>
      <c r="J616">
        <f t="shared" si="93"/>
        <v>0</v>
      </c>
      <c r="K616">
        <f t="shared" si="95"/>
        <v>40</v>
      </c>
      <c r="L616" s="80">
        <f t="shared" si="96"/>
        <v>9</v>
      </c>
      <c r="M616" s="80">
        <f t="shared" si="97"/>
        <v>49</v>
      </c>
      <c r="N616">
        <f t="shared" si="98"/>
        <v>12709.632</v>
      </c>
      <c r="O616" s="87">
        <f>(((1-((1+$W$11)/(1+$W$10))^(6*(J616+K616)))/($W$10-$W$11))*(1+$W$10)^(6*(J616+K616)))</f>
        <v>2964.8060935111685</v>
      </c>
      <c r="P616" s="69">
        <f>N616*0.065*O616</f>
        <v>2449303.6359924949</v>
      </c>
      <c r="Q616" s="69">
        <f t="shared" si="99"/>
        <v>16328.690906616632</v>
      </c>
      <c r="R616" s="69">
        <f>G616*(1+0.06)^K616</f>
        <v>130727.68983666968</v>
      </c>
      <c r="S616" s="77">
        <f t="shared" si="100"/>
        <v>0.12490613830182107</v>
      </c>
    </row>
    <row r="617" spans="1:19" ht="15.5" x14ac:dyDescent="0.35">
      <c r="A617" s="3" t="s">
        <v>5143</v>
      </c>
      <c r="B617" s="16" t="s">
        <v>5144</v>
      </c>
      <c r="C617" s="17" t="s">
        <v>5146</v>
      </c>
      <c r="D617" s="17" t="str">
        <f t="shared" si="94"/>
        <v>27/01/99</v>
      </c>
      <c r="E617" s="3" t="s">
        <v>5147</v>
      </c>
      <c r="F617" s="6">
        <v>5602.72</v>
      </c>
      <c r="G617" s="6">
        <f>IF(F617=0,$Y$3,F617)</f>
        <v>5602.72</v>
      </c>
      <c r="H617" s="79">
        <f t="shared" si="91"/>
        <v>17</v>
      </c>
      <c r="I617">
        <f t="shared" si="92"/>
        <v>23</v>
      </c>
      <c r="J617">
        <f t="shared" si="93"/>
        <v>0</v>
      </c>
      <c r="K617">
        <f t="shared" si="95"/>
        <v>42</v>
      </c>
      <c r="L617" s="80">
        <f t="shared" si="96"/>
        <v>5</v>
      </c>
      <c r="M617" s="80">
        <f t="shared" si="97"/>
        <v>47</v>
      </c>
      <c r="N617">
        <f t="shared" si="98"/>
        <v>5602.72</v>
      </c>
      <c r="O617" s="87">
        <f>(((1-((1+$W$11)/(1+$W$10))^(6*(J617+K617)))/($W$10-$W$11))*(1+$W$10)^(6*(J617+K617)))</f>
        <v>3532.9398561414855</v>
      </c>
      <c r="P617" s="69">
        <f>N617*0.065*O617</f>
        <v>1286614.7314020665</v>
      </c>
      <c r="Q617" s="69">
        <f t="shared" si="99"/>
        <v>8577.4315426804442</v>
      </c>
      <c r="R617" s="69">
        <f>G617*(1+0.06)^K617</f>
        <v>64750.818104139995</v>
      </c>
      <c r="S617" s="77">
        <f t="shared" si="100"/>
        <v>0.13246831150280133</v>
      </c>
    </row>
    <row r="618" spans="1:19" ht="15.5" x14ac:dyDescent="0.35">
      <c r="A618" s="3" t="s">
        <v>5148</v>
      </c>
      <c r="B618" s="16" t="s">
        <v>5149</v>
      </c>
      <c r="C618" s="17" t="s">
        <v>5151</v>
      </c>
      <c r="D618" s="17" t="str">
        <f t="shared" si="94"/>
        <v>09/09/88</v>
      </c>
      <c r="E618" s="3" t="s">
        <v>5105</v>
      </c>
      <c r="F618" s="6">
        <v>9105.7119999999995</v>
      </c>
      <c r="G618" s="6">
        <f>IF(F618=0,$Y$3,F618)</f>
        <v>9105.7119999999995</v>
      </c>
      <c r="H618" s="79">
        <f t="shared" si="91"/>
        <v>13</v>
      </c>
      <c r="I618">
        <f t="shared" si="92"/>
        <v>34</v>
      </c>
      <c r="J618">
        <f t="shared" si="93"/>
        <v>0</v>
      </c>
      <c r="K618">
        <f t="shared" si="95"/>
        <v>31</v>
      </c>
      <c r="L618" s="80">
        <f t="shared" si="96"/>
        <v>9</v>
      </c>
      <c r="M618" s="80">
        <f t="shared" si="97"/>
        <v>40</v>
      </c>
      <c r="N618">
        <f t="shared" si="98"/>
        <v>9105.7119999999995</v>
      </c>
      <c r="O618" s="87">
        <f>(((1-((1+$W$11)/(1+$W$10))^(6*(J618+K618)))/($W$10-$W$11))*(1+$W$10)^(6*(J618+K618)))</f>
        <v>1300.6996735984885</v>
      </c>
      <c r="P618" s="69">
        <f>N618*0.065*O618</f>
        <v>769846.78070831951</v>
      </c>
      <c r="Q618" s="69">
        <f t="shared" si="99"/>
        <v>5132.311871388797</v>
      </c>
      <c r="R618" s="69">
        <f>G618*(1+0.06)^K618</f>
        <v>55436.491084795773</v>
      </c>
      <c r="S618" s="77">
        <f t="shared" si="100"/>
        <v>9.2580027540675361E-2</v>
      </c>
    </row>
    <row r="619" spans="1:19" ht="15.5" x14ac:dyDescent="0.35">
      <c r="A619" s="3" t="s">
        <v>5152</v>
      </c>
      <c r="B619" s="16" t="s">
        <v>5153</v>
      </c>
      <c r="C619" s="17" t="s">
        <v>5155</v>
      </c>
      <c r="D619" s="17" t="str">
        <f t="shared" si="94"/>
        <v>09/04/96</v>
      </c>
      <c r="E619" s="3" t="s">
        <v>5156</v>
      </c>
      <c r="F619" s="6">
        <v>7862.0479999999998</v>
      </c>
      <c r="G619" s="6">
        <f>IF(F619=0,$Y$3,F619)</f>
        <v>7862.0479999999998</v>
      </c>
      <c r="H619" s="79">
        <f t="shared" si="91"/>
        <v>11</v>
      </c>
      <c r="I619">
        <f t="shared" si="92"/>
        <v>26</v>
      </c>
      <c r="J619">
        <f t="shared" si="93"/>
        <v>0</v>
      </c>
      <c r="K619">
        <f t="shared" si="95"/>
        <v>39</v>
      </c>
      <c r="L619" s="80">
        <f t="shared" si="96"/>
        <v>11</v>
      </c>
      <c r="M619" s="80">
        <f t="shared" si="97"/>
        <v>50</v>
      </c>
      <c r="N619">
        <f t="shared" si="98"/>
        <v>7862.0479999999998</v>
      </c>
      <c r="O619" s="87">
        <f>(((1-((1+$W$11)/(1+$W$10))^(6*(J619+K619)))/($W$10-$W$11))*(1+$W$10)^(6*(J619+K619)))</f>
        <v>2713.5031944291845</v>
      </c>
      <c r="P619" s="69">
        <f>N619*0.065*O619</f>
        <v>1386690.0035791127</v>
      </c>
      <c r="Q619" s="69">
        <f t="shared" si="99"/>
        <v>9244.6000238607521</v>
      </c>
      <c r="R619" s="69">
        <f>G619*(1+0.06)^K619</f>
        <v>76289.441637872675</v>
      </c>
      <c r="S619" s="77">
        <f t="shared" si="100"/>
        <v>0.12117797463694396</v>
      </c>
    </row>
    <row r="620" spans="1:19" ht="15.5" x14ac:dyDescent="0.35">
      <c r="A620" s="3" t="s">
        <v>5157</v>
      </c>
      <c r="B620" s="16" t="s">
        <v>5158</v>
      </c>
      <c r="C620" s="17" t="s">
        <v>5160</v>
      </c>
      <c r="D620" s="17" t="str">
        <f t="shared" si="94"/>
        <v>07/04/91</v>
      </c>
      <c r="E620" s="3" t="s">
        <v>5156</v>
      </c>
      <c r="F620" s="6">
        <v>8473.0879999999997</v>
      </c>
      <c r="G620" s="6">
        <f>IF(F620=0,$Y$3,F620)</f>
        <v>8473.0879999999997</v>
      </c>
      <c r="H620" s="79">
        <f t="shared" si="91"/>
        <v>7</v>
      </c>
      <c r="I620">
        <f t="shared" si="92"/>
        <v>31</v>
      </c>
      <c r="J620">
        <f t="shared" si="93"/>
        <v>0</v>
      </c>
      <c r="K620">
        <f t="shared" si="95"/>
        <v>34</v>
      </c>
      <c r="L620" s="80">
        <f t="shared" si="96"/>
        <v>15</v>
      </c>
      <c r="M620" s="80">
        <f t="shared" si="97"/>
        <v>49</v>
      </c>
      <c r="N620">
        <f t="shared" si="98"/>
        <v>8473.0879999999997</v>
      </c>
      <c r="O620" s="87">
        <f>(((1-((1+$W$11)/(1+$W$10))^(6*(J620+K620)))/($W$10-$W$11))*(1+$W$10)^(6*(J620+K620)))</f>
        <v>1724.4052908394829</v>
      </c>
      <c r="P620" s="69">
        <f>N620*0.065*O620</f>
        <v>949717.45550165453</v>
      </c>
      <c r="Q620" s="69">
        <f t="shared" si="99"/>
        <v>6331.4497033443631</v>
      </c>
      <c r="R620" s="69">
        <f>G620*(1+0.06)^K620</f>
        <v>61438.575251792696</v>
      </c>
      <c r="S620" s="77">
        <f t="shared" si="100"/>
        <v>0.10305332891259746</v>
      </c>
    </row>
    <row r="621" spans="1:19" ht="15.5" x14ac:dyDescent="0.35">
      <c r="A621" s="3" t="s">
        <v>5161</v>
      </c>
      <c r="B621" s="16" t="s">
        <v>5162</v>
      </c>
      <c r="C621" s="17" t="s">
        <v>5164</v>
      </c>
      <c r="D621" s="17" t="str">
        <f t="shared" si="94"/>
        <v>13/05/95</v>
      </c>
      <c r="E621" s="3" t="s">
        <v>5165</v>
      </c>
      <c r="F621" s="6">
        <v>6990.1759999999995</v>
      </c>
      <c r="G621" s="6">
        <f>IF(F621=0,$Y$3,F621)</f>
        <v>6990.1759999999995</v>
      </c>
      <c r="H621" s="79">
        <f t="shared" si="91"/>
        <v>16</v>
      </c>
      <c r="I621">
        <f t="shared" si="92"/>
        <v>27</v>
      </c>
      <c r="J621">
        <f t="shared" si="93"/>
        <v>0</v>
      </c>
      <c r="K621">
        <f t="shared" si="95"/>
        <v>38</v>
      </c>
      <c r="L621" s="80">
        <f t="shared" si="96"/>
        <v>6</v>
      </c>
      <c r="M621" s="80">
        <f t="shared" si="97"/>
        <v>44</v>
      </c>
      <c r="N621">
        <f t="shared" si="98"/>
        <v>6990.1759999999995</v>
      </c>
      <c r="O621" s="87">
        <f>(((1-((1+$W$11)/(1+$W$10))^(6*(J621+K621)))/($W$10-$W$11))*(1+$W$10)^(6*(J621+K621)))</f>
        <v>2481.8865373152853</v>
      </c>
      <c r="P621" s="69">
        <f>N621*0.065*O621</f>
        <v>1127673.5410111865</v>
      </c>
      <c r="Q621" s="69">
        <f t="shared" si="99"/>
        <v>7517.8236067412436</v>
      </c>
      <c r="R621" s="69">
        <f>G621*(1+0.06)^K621</f>
        <v>63989.835054171563</v>
      </c>
      <c r="S621" s="77">
        <f t="shared" si="100"/>
        <v>0.11748465362314056</v>
      </c>
    </row>
    <row r="622" spans="1:19" ht="15.5" x14ac:dyDescent="0.35">
      <c r="A622" s="3" t="s">
        <v>5166</v>
      </c>
      <c r="B622" s="16" t="s">
        <v>5167</v>
      </c>
      <c r="C622" s="17" t="s">
        <v>1649</v>
      </c>
      <c r="D622" s="17" t="str">
        <f t="shared" si="94"/>
        <v>22/11/96</v>
      </c>
      <c r="E622" s="3" t="s">
        <v>5156</v>
      </c>
      <c r="F622" s="6">
        <v>7862.0479999999998</v>
      </c>
      <c r="G622" s="6">
        <f>IF(F622=0,$Y$3,F622)</f>
        <v>7862.0479999999998</v>
      </c>
      <c r="H622" s="79">
        <f t="shared" si="91"/>
        <v>15</v>
      </c>
      <c r="I622">
        <f t="shared" si="92"/>
        <v>26</v>
      </c>
      <c r="J622">
        <f t="shared" si="93"/>
        <v>0</v>
      </c>
      <c r="K622">
        <f t="shared" si="95"/>
        <v>39</v>
      </c>
      <c r="L622" s="80">
        <f t="shared" si="96"/>
        <v>7</v>
      </c>
      <c r="M622" s="80">
        <f t="shared" si="97"/>
        <v>46</v>
      </c>
      <c r="N622">
        <f t="shared" si="98"/>
        <v>7862.0479999999998</v>
      </c>
      <c r="O622" s="87">
        <f>(((1-((1+$W$11)/(1+$W$10))^(6*(J622+K622)))/($W$10-$W$11))*(1+$W$10)^(6*(J622+K622)))</f>
        <v>2713.5031944291845</v>
      </c>
      <c r="P622" s="69">
        <f>N622*0.065*O622</f>
        <v>1386690.0035791127</v>
      </c>
      <c r="Q622" s="69">
        <f t="shared" si="99"/>
        <v>9244.6000238607521</v>
      </c>
      <c r="R622" s="69">
        <f>G622*(1+0.06)^K622</f>
        <v>76289.441637872675</v>
      </c>
      <c r="S622" s="77">
        <f t="shared" si="100"/>
        <v>0.12117797463694396</v>
      </c>
    </row>
    <row r="623" spans="1:19" ht="15.5" x14ac:dyDescent="0.35">
      <c r="A623" s="3" t="s">
        <v>5169</v>
      </c>
      <c r="B623" s="16" t="s">
        <v>5170</v>
      </c>
      <c r="C623" s="17" t="s">
        <v>5172</v>
      </c>
      <c r="D623" s="17" t="str">
        <f t="shared" si="94"/>
        <v>02/09/99</v>
      </c>
      <c r="E623" s="3" t="s">
        <v>5173</v>
      </c>
      <c r="F623" s="6">
        <v>5602.72</v>
      </c>
      <c r="G623" s="6">
        <f>IF(F623=0,$Y$3,F623)</f>
        <v>5602.72</v>
      </c>
      <c r="H623" s="79">
        <f t="shared" si="91"/>
        <v>17</v>
      </c>
      <c r="I623">
        <f t="shared" si="92"/>
        <v>23</v>
      </c>
      <c r="J623">
        <f t="shared" si="93"/>
        <v>0</v>
      </c>
      <c r="K623">
        <f t="shared" si="95"/>
        <v>42</v>
      </c>
      <c r="L623" s="80">
        <f t="shared" si="96"/>
        <v>5</v>
      </c>
      <c r="M623" s="80">
        <f t="shared" si="97"/>
        <v>47</v>
      </c>
      <c r="N623">
        <f t="shared" si="98"/>
        <v>5602.72</v>
      </c>
      <c r="O623" s="87">
        <f>(((1-((1+$W$11)/(1+$W$10))^(6*(J623+K623)))/($W$10-$W$11))*(1+$W$10)^(6*(J623+K623)))</f>
        <v>3532.9398561414855</v>
      </c>
      <c r="P623" s="69">
        <f>N623*0.065*O623</f>
        <v>1286614.7314020665</v>
      </c>
      <c r="Q623" s="69">
        <f t="shared" si="99"/>
        <v>8577.4315426804442</v>
      </c>
      <c r="R623" s="69">
        <f>G623*(1+0.06)^K623</f>
        <v>64750.818104139995</v>
      </c>
      <c r="S623" s="77">
        <f t="shared" si="100"/>
        <v>0.13246831150280133</v>
      </c>
    </row>
    <row r="624" spans="1:19" ht="15.5" x14ac:dyDescent="0.35">
      <c r="A624" s="3" t="s">
        <v>5174</v>
      </c>
      <c r="B624" s="16" t="s">
        <v>5175</v>
      </c>
      <c r="C624" s="17" t="s">
        <v>1607</v>
      </c>
      <c r="D624" s="17" t="str">
        <f t="shared" si="94"/>
        <v>10/11/99</v>
      </c>
      <c r="E624" s="3" t="s">
        <v>5173</v>
      </c>
      <c r="F624" s="6">
        <v>5602.72</v>
      </c>
      <c r="G624" s="6">
        <f>IF(F624=0,$Y$3,F624)</f>
        <v>5602.72</v>
      </c>
      <c r="H624" s="79">
        <f t="shared" si="91"/>
        <v>13</v>
      </c>
      <c r="I624">
        <f t="shared" si="92"/>
        <v>23</v>
      </c>
      <c r="J624">
        <f t="shared" si="93"/>
        <v>0</v>
      </c>
      <c r="K624">
        <f t="shared" si="95"/>
        <v>42</v>
      </c>
      <c r="L624" s="80">
        <f t="shared" si="96"/>
        <v>9</v>
      </c>
      <c r="M624" s="80">
        <f t="shared" si="97"/>
        <v>51</v>
      </c>
      <c r="N624">
        <f t="shared" si="98"/>
        <v>5602.72</v>
      </c>
      <c r="O624" s="87">
        <f>(((1-((1+$W$11)/(1+$W$10))^(6*(J624+K624)))/($W$10-$W$11))*(1+$W$10)^(6*(J624+K624)))</f>
        <v>3532.9398561414855</v>
      </c>
      <c r="P624" s="69">
        <f>N624*0.065*O624</f>
        <v>1286614.7314020665</v>
      </c>
      <c r="Q624" s="69">
        <f t="shared" si="99"/>
        <v>8577.4315426804442</v>
      </c>
      <c r="R624" s="69">
        <f>G624*(1+0.06)^K624</f>
        <v>64750.818104139995</v>
      </c>
      <c r="S624" s="77">
        <f t="shared" si="100"/>
        <v>0.13246831150280133</v>
      </c>
    </row>
    <row r="625" spans="1:19" ht="15.5" x14ac:dyDescent="0.35">
      <c r="A625" s="3" t="s">
        <v>5177</v>
      </c>
      <c r="B625" s="16" t="s">
        <v>5178</v>
      </c>
      <c r="C625" s="17" t="s">
        <v>5180</v>
      </c>
      <c r="D625" s="17" t="str">
        <f t="shared" si="94"/>
        <v>08/10/80</v>
      </c>
      <c r="E625" s="3" t="s">
        <v>5173</v>
      </c>
      <c r="F625" s="6">
        <v>8049.311999999999</v>
      </c>
      <c r="G625" s="6">
        <f>IF(F625=0,$Y$3,F625)</f>
        <v>8049.311999999999</v>
      </c>
      <c r="H625" s="79">
        <f t="shared" si="91"/>
        <v>1</v>
      </c>
      <c r="I625">
        <f t="shared" si="92"/>
        <v>42</v>
      </c>
      <c r="J625">
        <f t="shared" si="93"/>
        <v>0</v>
      </c>
      <c r="K625">
        <f t="shared" si="95"/>
        <v>23</v>
      </c>
      <c r="L625" s="80">
        <f t="shared" si="96"/>
        <v>21</v>
      </c>
      <c r="M625" s="80">
        <f t="shared" si="97"/>
        <v>44</v>
      </c>
      <c r="N625">
        <f t="shared" si="98"/>
        <v>8049.311999999999</v>
      </c>
      <c r="O625" s="87">
        <f>(((1-((1+$W$11)/(1+$W$10))^(6*(J625+K625)))/($W$10-$W$11))*(1+$W$10)^(6*(J625+K625)))</f>
        <v>582.2320727785642</v>
      </c>
      <c r="P625" s="69">
        <f>N625*0.065*O625</f>
        <v>304626.89466308901</v>
      </c>
      <c r="Q625" s="69">
        <f t="shared" si="99"/>
        <v>2030.8459644205934</v>
      </c>
      <c r="R625" s="69">
        <f>G625*(1+0.06)^K625</f>
        <v>30746.356787895958</v>
      </c>
      <c r="S625" s="77">
        <f t="shared" si="100"/>
        <v>6.6051596890987899E-2</v>
      </c>
    </row>
    <row r="626" spans="1:19" ht="15.5" x14ac:dyDescent="0.35">
      <c r="A626" s="3" t="s">
        <v>5181</v>
      </c>
      <c r="B626" s="16" t="s">
        <v>5182</v>
      </c>
      <c r="C626" s="17" t="s">
        <v>1441</v>
      </c>
      <c r="D626" s="17" t="str">
        <f t="shared" si="94"/>
        <v>06/06/89</v>
      </c>
      <c r="E626" s="3" t="s">
        <v>5173</v>
      </c>
      <c r="F626" s="6">
        <v>7445.8720000000003</v>
      </c>
      <c r="G626" s="6">
        <f>IF(F626=0,$Y$3,F626)</f>
        <v>7445.8720000000003</v>
      </c>
      <c r="H626" s="79">
        <f t="shared" si="91"/>
        <v>19</v>
      </c>
      <c r="I626">
        <f t="shared" si="92"/>
        <v>33</v>
      </c>
      <c r="J626">
        <f t="shared" si="93"/>
        <v>0</v>
      </c>
      <c r="K626">
        <f t="shared" si="95"/>
        <v>32</v>
      </c>
      <c r="L626" s="80">
        <f t="shared" si="96"/>
        <v>3</v>
      </c>
      <c r="M626" s="80">
        <f t="shared" si="97"/>
        <v>35</v>
      </c>
      <c r="N626">
        <f t="shared" si="98"/>
        <v>7445.8720000000003</v>
      </c>
      <c r="O626" s="87">
        <f>(((1-((1+$W$11)/(1+$W$10))^(6*(J626+K626)))/($W$10-$W$11))*(1+$W$10)^(6*(J626+K626)))</f>
        <v>1430.2452154182549</v>
      </c>
      <c r="P626" s="69">
        <f>N626*0.065*O626</f>
        <v>692212.48217008903</v>
      </c>
      <c r="Q626" s="69">
        <f t="shared" si="99"/>
        <v>4614.7498811339265</v>
      </c>
      <c r="R626" s="69">
        <f>G626*(1+0.06)^K626</f>
        <v>48051.091199822949</v>
      </c>
      <c r="S626" s="77">
        <f t="shared" si="100"/>
        <v>9.603839925181408E-2</v>
      </c>
    </row>
    <row r="627" spans="1:19" ht="15.5" x14ac:dyDescent="0.35">
      <c r="A627" s="3" t="s">
        <v>5184</v>
      </c>
      <c r="B627" s="16" t="s">
        <v>5185</v>
      </c>
      <c r="C627" s="17" t="s">
        <v>5187</v>
      </c>
      <c r="D627" s="17" t="str">
        <f t="shared" si="94"/>
        <v>03/10/93</v>
      </c>
      <c r="E627" s="3" t="s">
        <v>5165</v>
      </c>
      <c r="F627" s="6">
        <v>7862.0479999999998</v>
      </c>
      <c r="G627" s="6">
        <f>IF(F627=0,$Y$3,F627)</f>
        <v>7862.0479999999998</v>
      </c>
      <c r="H627" s="79">
        <f t="shared" si="91"/>
        <v>16</v>
      </c>
      <c r="I627">
        <f t="shared" si="92"/>
        <v>29</v>
      </c>
      <c r="J627">
        <f t="shared" si="93"/>
        <v>0</v>
      </c>
      <c r="K627">
        <f t="shared" si="95"/>
        <v>36</v>
      </c>
      <c r="L627" s="80">
        <f t="shared" si="96"/>
        <v>6</v>
      </c>
      <c r="M627" s="80">
        <f t="shared" si="97"/>
        <v>42</v>
      </c>
      <c r="N627">
        <f t="shared" si="98"/>
        <v>7862.0479999999998</v>
      </c>
      <c r="O627" s="87">
        <f>(((1-((1+$W$11)/(1+$W$10))^(6*(J627+K627)))/($W$10-$W$11))*(1+$W$10)^(6*(J627+K627)))</f>
        <v>2071.9321695914473</v>
      </c>
      <c r="P627" s="69">
        <f>N627*0.065*O627</f>
        <v>1058825.9610546865</v>
      </c>
      <c r="Q627" s="69">
        <f t="shared" si="99"/>
        <v>7058.8397403645768</v>
      </c>
      <c r="R627" s="69">
        <f>G627*(1+0.06)^K627</f>
        <v>64054.086290925276</v>
      </c>
      <c r="S627" s="77">
        <f t="shared" si="100"/>
        <v>0.11020124006303439</v>
      </c>
    </row>
    <row r="628" spans="1:19" ht="15.5" x14ac:dyDescent="0.35">
      <c r="A628" s="3" t="s">
        <v>5188</v>
      </c>
      <c r="B628" s="16" t="s">
        <v>5189</v>
      </c>
      <c r="C628" s="17" t="s">
        <v>1435</v>
      </c>
      <c r="D628" s="17" t="str">
        <f t="shared" si="94"/>
        <v>07/05/88</v>
      </c>
      <c r="E628" s="3" t="s">
        <v>5165</v>
      </c>
      <c r="F628" s="6">
        <v>7862.0479999999998</v>
      </c>
      <c r="G628" s="6">
        <f>IF(F628=0,$Y$3,F628)</f>
        <v>7862.0479999999998</v>
      </c>
      <c r="H628" s="79">
        <f t="shared" si="91"/>
        <v>11</v>
      </c>
      <c r="I628">
        <f t="shared" si="92"/>
        <v>34</v>
      </c>
      <c r="J628">
        <f t="shared" si="93"/>
        <v>0</v>
      </c>
      <c r="K628">
        <f t="shared" si="95"/>
        <v>31</v>
      </c>
      <c r="L628" s="80">
        <f t="shared" si="96"/>
        <v>11</v>
      </c>
      <c r="M628" s="80">
        <f t="shared" si="97"/>
        <v>42</v>
      </c>
      <c r="N628">
        <f t="shared" si="98"/>
        <v>7862.0479999999998</v>
      </c>
      <c r="O628" s="87">
        <f>(((1-((1+$W$11)/(1+$W$10))^(6*(J628+K628)))/($W$10-$W$11))*(1+$W$10)^(6*(J628+K628)))</f>
        <v>1300.6996735984885</v>
      </c>
      <c r="P628" s="69">
        <f>N628*0.065*O628</f>
        <v>664700.61238201719</v>
      </c>
      <c r="Q628" s="69">
        <f t="shared" si="99"/>
        <v>4431.3374158801143</v>
      </c>
      <c r="R628" s="69">
        <f>G628*(1+0.06)^K628</f>
        <v>47864.939486361574</v>
      </c>
      <c r="S628" s="77">
        <f t="shared" si="100"/>
        <v>9.2580027540675361E-2</v>
      </c>
    </row>
    <row r="629" spans="1:19" ht="15.5" x14ac:dyDescent="0.35">
      <c r="A629" s="3" t="s">
        <v>5191</v>
      </c>
      <c r="B629" s="16" t="s">
        <v>5192</v>
      </c>
      <c r="C629" s="17" t="s">
        <v>5194</v>
      </c>
      <c r="D629" s="17" t="str">
        <f t="shared" si="94"/>
        <v>06/04/96</v>
      </c>
      <c r="E629" s="3" t="s">
        <v>5165</v>
      </c>
      <c r="F629" s="6">
        <v>7862.0479999999998</v>
      </c>
      <c r="G629" s="6">
        <f>IF(F629=0,$Y$3,F629)</f>
        <v>7862.0479999999998</v>
      </c>
      <c r="H629" s="79">
        <f t="shared" si="91"/>
        <v>17</v>
      </c>
      <c r="I629">
        <f t="shared" si="92"/>
        <v>26</v>
      </c>
      <c r="J629">
        <f t="shared" si="93"/>
        <v>0</v>
      </c>
      <c r="K629">
        <f t="shared" si="95"/>
        <v>39</v>
      </c>
      <c r="L629" s="80">
        <f t="shared" si="96"/>
        <v>5</v>
      </c>
      <c r="M629" s="80">
        <f t="shared" si="97"/>
        <v>44</v>
      </c>
      <c r="N629">
        <f t="shared" si="98"/>
        <v>7862.0479999999998</v>
      </c>
      <c r="O629" s="87">
        <f>(((1-((1+$W$11)/(1+$W$10))^(6*(J629+K629)))/($W$10-$W$11))*(1+$W$10)^(6*(J629+K629)))</f>
        <v>2713.5031944291845</v>
      </c>
      <c r="P629" s="69">
        <f>N629*0.065*O629</f>
        <v>1386690.0035791127</v>
      </c>
      <c r="Q629" s="69">
        <f t="shared" si="99"/>
        <v>9244.6000238607521</v>
      </c>
      <c r="R629" s="69">
        <f>G629*(1+0.06)^K629</f>
        <v>76289.441637872675</v>
      </c>
      <c r="S629" s="77">
        <f t="shared" si="100"/>
        <v>0.12117797463694396</v>
      </c>
    </row>
    <row r="630" spans="1:19" ht="15.5" x14ac:dyDescent="0.35">
      <c r="A630" s="3" t="s">
        <v>5200</v>
      </c>
      <c r="B630" s="16" t="s">
        <v>5201</v>
      </c>
      <c r="C630" s="17" t="s">
        <v>5203</v>
      </c>
      <c r="D630" s="17" t="str">
        <f t="shared" si="94"/>
        <v>29/10/82</v>
      </c>
      <c r="E630" s="3" t="s">
        <v>3776</v>
      </c>
      <c r="F630" s="6">
        <v>5602.72</v>
      </c>
      <c r="G630" s="6">
        <f>IF(F630=0,$Y$3,F630)</f>
        <v>5602.72</v>
      </c>
      <c r="H630" s="79">
        <f t="shared" si="91"/>
        <v>3</v>
      </c>
      <c r="I630">
        <f t="shared" si="92"/>
        <v>40</v>
      </c>
      <c r="J630">
        <f t="shared" si="93"/>
        <v>0</v>
      </c>
      <c r="K630">
        <f t="shared" si="95"/>
        <v>25</v>
      </c>
      <c r="L630" s="80">
        <f t="shared" si="96"/>
        <v>19</v>
      </c>
      <c r="M630" s="80">
        <f t="shared" si="97"/>
        <v>44</v>
      </c>
      <c r="N630">
        <f t="shared" si="98"/>
        <v>5602.72</v>
      </c>
      <c r="O630" s="87">
        <f>(((1-((1+$W$11)/(1+$W$10))^(6*(J630+K630)))/($W$10-$W$11))*(1+$W$10)^(6*(J630+K630)))</f>
        <v>718.04386069822795</v>
      </c>
      <c r="P630" s="69">
        <f>N630*0.065*O630</f>
        <v>261494.91544872642</v>
      </c>
      <c r="Q630" s="69">
        <f t="shared" si="99"/>
        <v>1743.2994363248429</v>
      </c>
      <c r="R630" s="69">
        <f>G630*(1+0.06)^K630</f>
        <v>24046.149918921237</v>
      </c>
      <c r="S630" s="77">
        <f t="shared" si="100"/>
        <v>7.2498069013247304E-2</v>
      </c>
    </row>
    <row r="631" spans="1:19" ht="15.5" x14ac:dyDescent="0.35">
      <c r="A631" s="3" t="s">
        <v>5204</v>
      </c>
      <c r="B631" s="16" t="s">
        <v>5205</v>
      </c>
      <c r="C631" s="17" t="s">
        <v>5207</v>
      </c>
      <c r="D631" s="17" t="str">
        <f t="shared" si="94"/>
        <v>19/11/94</v>
      </c>
      <c r="E631" s="3" t="s">
        <v>4316</v>
      </c>
      <c r="F631" s="6">
        <v>7862.0479999999998</v>
      </c>
      <c r="G631" s="6">
        <f>IF(F631=0,$Y$3,F631)</f>
        <v>7862.0479999999998</v>
      </c>
      <c r="H631" s="79">
        <f t="shared" si="91"/>
        <v>13</v>
      </c>
      <c r="I631">
        <f t="shared" si="92"/>
        <v>28</v>
      </c>
      <c r="J631">
        <f t="shared" si="93"/>
        <v>0</v>
      </c>
      <c r="K631">
        <f t="shared" si="95"/>
        <v>37</v>
      </c>
      <c r="L631" s="80">
        <f t="shared" si="96"/>
        <v>9</v>
      </c>
      <c r="M631" s="80">
        <f t="shared" si="97"/>
        <v>46</v>
      </c>
      <c r="N631">
        <f t="shared" si="98"/>
        <v>7862.0479999999998</v>
      </c>
      <c r="O631" s="87">
        <f>(((1-((1+$W$11)/(1+$W$10))^(6*(J631+K631)))/($W$10-$W$11))*(1+$W$10)^(6*(J631+K631)))</f>
        <v>2268.4845089511282</v>
      </c>
      <c r="P631" s="69">
        <f>N631*0.065*O631</f>
        <v>1159270.716280963</v>
      </c>
      <c r="Q631" s="69">
        <f t="shared" si="99"/>
        <v>7728.4714418730873</v>
      </c>
      <c r="R631" s="69">
        <f>G631*(1+0.06)^K631</f>
        <v>67897.331468380798</v>
      </c>
      <c r="S631" s="77">
        <f t="shared" si="100"/>
        <v>0.11382584962815762</v>
      </c>
    </row>
    <row r="632" spans="1:19" ht="15.5" x14ac:dyDescent="0.35">
      <c r="A632" s="3" t="s">
        <v>5208</v>
      </c>
      <c r="B632" s="16" t="s">
        <v>5209</v>
      </c>
      <c r="C632" s="17" t="s">
        <v>5211</v>
      </c>
      <c r="D632" s="17" t="str">
        <f t="shared" si="94"/>
        <v>04/11/97</v>
      </c>
      <c r="E632" s="3" t="s">
        <v>5212</v>
      </c>
      <c r="F632" s="6">
        <v>9532.2240000000002</v>
      </c>
      <c r="G632" s="6">
        <f>IF(F632=0,$Y$3,F632)</f>
        <v>9532.2240000000002</v>
      </c>
      <c r="H632" s="79">
        <f t="shared" si="91"/>
        <v>20</v>
      </c>
      <c r="I632">
        <f t="shared" si="92"/>
        <v>25</v>
      </c>
      <c r="J632">
        <f t="shared" si="93"/>
        <v>0</v>
      </c>
      <c r="K632">
        <f t="shared" si="95"/>
        <v>40</v>
      </c>
      <c r="L632" s="80">
        <f t="shared" si="96"/>
        <v>2</v>
      </c>
      <c r="M632" s="80">
        <f t="shared" si="97"/>
        <v>42</v>
      </c>
      <c r="N632">
        <f t="shared" si="98"/>
        <v>9532.2240000000002</v>
      </c>
      <c r="O632" s="87">
        <f>(((1-((1+$W$11)/(1+$W$10))^(6*(J632+K632)))/($W$10-$W$11))*(1+$W$10)^(6*(J632+K632)))</f>
        <v>2964.8060935111685</v>
      </c>
      <c r="P632" s="69">
        <f>N632*0.065*O632</f>
        <v>1836977.7269943713</v>
      </c>
      <c r="Q632" s="69">
        <f t="shared" si="99"/>
        <v>12246.518179962475</v>
      </c>
      <c r="R632" s="69">
        <f>G632*(1+0.06)^K632</f>
        <v>98045.76737750227</v>
      </c>
      <c r="S632" s="77">
        <f t="shared" si="100"/>
        <v>0.12490613830182107</v>
      </c>
    </row>
    <row r="633" spans="1:19" ht="15.5" x14ac:dyDescent="0.35">
      <c r="A633" s="3" t="s">
        <v>5213</v>
      </c>
      <c r="B633" s="16" t="s">
        <v>5214</v>
      </c>
      <c r="C633" s="17" t="s">
        <v>5216</v>
      </c>
      <c r="D633" s="17" t="str">
        <f t="shared" si="94"/>
        <v>22/03/99</v>
      </c>
      <c r="E633" s="3" t="s">
        <v>5212</v>
      </c>
      <c r="F633" s="6">
        <v>9532.2240000000002</v>
      </c>
      <c r="G633" s="6">
        <f>IF(F633=0,$Y$3,F633)</f>
        <v>9532.2240000000002</v>
      </c>
      <c r="H633" s="79">
        <f t="shared" si="91"/>
        <v>15</v>
      </c>
      <c r="I633">
        <f t="shared" si="92"/>
        <v>23</v>
      </c>
      <c r="J633">
        <f t="shared" si="93"/>
        <v>0</v>
      </c>
      <c r="K633">
        <f t="shared" si="95"/>
        <v>42</v>
      </c>
      <c r="L633" s="80">
        <f t="shared" si="96"/>
        <v>7</v>
      </c>
      <c r="M633" s="80">
        <f t="shared" si="97"/>
        <v>49</v>
      </c>
      <c r="N633">
        <f t="shared" si="98"/>
        <v>9532.2240000000002</v>
      </c>
      <c r="O633" s="87">
        <f>(((1-((1+$W$11)/(1+$W$10))^(6*(J633+K633)))/($W$10-$W$11))*(1+$W$10)^(6*(J633+K633)))</f>
        <v>3532.9398561414855</v>
      </c>
      <c r="P633" s="69">
        <f>N633*0.065*O633</f>
        <v>2188990.315672447</v>
      </c>
      <c r="Q633" s="69">
        <f t="shared" si="99"/>
        <v>14593.268771149647</v>
      </c>
      <c r="R633" s="69">
        <f>G633*(1+0.06)^K633</f>
        <v>110164.22422536155</v>
      </c>
      <c r="S633" s="77">
        <f t="shared" si="100"/>
        <v>0.13246831150280133</v>
      </c>
    </row>
    <row r="634" spans="1:19" ht="15.5" x14ac:dyDescent="0.35">
      <c r="A634" s="3" t="s">
        <v>5217</v>
      </c>
      <c r="B634" s="16" t="s">
        <v>5218</v>
      </c>
      <c r="C634" s="17" t="s">
        <v>5220</v>
      </c>
      <c r="D634" s="17" t="str">
        <f t="shared" si="94"/>
        <v>20/10/85</v>
      </c>
      <c r="E634" s="3" t="s">
        <v>5212</v>
      </c>
      <c r="F634" s="6">
        <v>5602.72</v>
      </c>
      <c r="G634" s="6">
        <f>IF(F634=0,$Y$3,F634)</f>
        <v>5602.72</v>
      </c>
      <c r="H634" s="79">
        <f t="shared" si="91"/>
        <v>5</v>
      </c>
      <c r="I634">
        <f t="shared" si="92"/>
        <v>37</v>
      </c>
      <c r="J634">
        <f t="shared" si="93"/>
        <v>0</v>
      </c>
      <c r="K634">
        <f t="shared" si="95"/>
        <v>28</v>
      </c>
      <c r="L634" s="80">
        <f t="shared" si="96"/>
        <v>17</v>
      </c>
      <c r="M634" s="80">
        <f t="shared" si="97"/>
        <v>45</v>
      </c>
      <c r="N634">
        <f t="shared" si="98"/>
        <v>5602.72</v>
      </c>
      <c r="O634" s="87">
        <f>(((1-((1+$W$11)/(1+$W$10))^(6*(J634+K634)))/($W$10-$W$11))*(1+$W$10)^(6*(J634+K634)))</f>
        <v>971.97898006406626</v>
      </c>
      <c r="P634" s="69">
        <f>N634*0.065*O634</f>
        <v>353972.19462699548</v>
      </c>
      <c r="Q634" s="69">
        <f t="shared" si="99"/>
        <v>2359.8146308466366</v>
      </c>
      <c r="R634" s="69">
        <f>G634*(1+0.06)^K634</f>
        <v>28639.349291833903</v>
      </c>
      <c r="S634" s="77">
        <f t="shared" si="100"/>
        <v>8.2397634345676415E-2</v>
      </c>
    </row>
    <row r="635" spans="1:19" ht="15.5" x14ac:dyDescent="0.35">
      <c r="A635" s="3" t="s">
        <v>5221</v>
      </c>
      <c r="B635" s="16" t="s">
        <v>5222</v>
      </c>
      <c r="C635" s="17" t="s">
        <v>5224</v>
      </c>
      <c r="D635" s="17" t="str">
        <f t="shared" si="94"/>
        <v>09/07/95</v>
      </c>
      <c r="E635" s="3" t="s">
        <v>5225</v>
      </c>
      <c r="F635" s="6">
        <v>7445.8720000000003</v>
      </c>
      <c r="G635" s="6">
        <f>IF(F635=0,$Y$3,F635)</f>
        <v>7445.8720000000003</v>
      </c>
      <c r="H635" s="79">
        <f t="shared" si="91"/>
        <v>21</v>
      </c>
      <c r="I635">
        <f t="shared" si="92"/>
        <v>27</v>
      </c>
      <c r="J635">
        <f t="shared" si="93"/>
        <v>0</v>
      </c>
      <c r="K635">
        <f t="shared" si="95"/>
        <v>38</v>
      </c>
      <c r="L635" s="80">
        <f t="shared" si="96"/>
        <v>1</v>
      </c>
      <c r="M635" s="80">
        <f t="shared" si="97"/>
        <v>39</v>
      </c>
      <c r="N635">
        <f t="shared" si="98"/>
        <v>7445.8720000000003</v>
      </c>
      <c r="O635" s="87">
        <f>(((1-((1+$W$11)/(1+$W$10))^(6*(J635+K635)))/($W$10-$W$11))*(1+$W$10)^(6*(J635+K635)))</f>
        <v>2481.8865373152853</v>
      </c>
      <c r="P635" s="69">
        <f>N635*0.065*O635</f>
        <v>1201187.6158992345</v>
      </c>
      <c r="Q635" s="69">
        <f t="shared" si="99"/>
        <v>8007.9174393282301</v>
      </c>
      <c r="R635" s="69">
        <f>G635*(1+0.06)^K635</f>
        <v>68161.391231704984</v>
      </c>
      <c r="S635" s="77">
        <f t="shared" si="100"/>
        <v>0.11748465362314056</v>
      </c>
    </row>
    <row r="636" spans="1:19" ht="15.5" x14ac:dyDescent="0.35">
      <c r="A636" s="3" t="s">
        <v>5226</v>
      </c>
      <c r="B636" s="16" t="s">
        <v>5227</v>
      </c>
      <c r="C636" s="17" t="s">
        <v>5229</v>
      </c>
      <c r="D636" s="17" t="str">
        <f t="shared" si="94"/>
        <v>02/12/85</v>
      </c>
      <c r="E636" s="3" t="s">
        <v>5230</v>
      </c>
      <c r="F636" s="6">
        <v>0</v>
      </c>
      <c r="G636" s="6">
        <f>IF(F636=0,$Y$3,F636)</f>
        <v>15640.21</v>
      </c>
      <c r="H636" s="79">
        <f t="shared" si="91"/>
        <v>2</v>
      </c>
      <c r="I636">
        <f t="shared" si="92"/>
        <v>37</v>
      </c>
      <c r="J636">
        <f t="shared" si="93"/>
        <v>0</v>
      </c>
      <c r="K636">
        <f t="shared" si="95"/>
        <v>28</v>
      </c>
      <c r="L636" s="80">
        <f t="shared" si="96"/>
        <v>20</v>
      </c>
      <c r="M636" s="80">
        <f t="shared" si="97"/>
        <v>48</v>
      </c>
      <c r="N636">
        <f t="shared" si="98"/>
        <v>15640.21</v>
      </c>
      <c r="O636" s="87">
        <f>(((1-((1+$W$11)/(1+$W$10))^(6*(J636+K636)))/($W$10-$W$11))*(1+$W$10)^(6*(J636+K636)))</f>
        <v>971.97898006406626</v>
      </c>
      <c r="P636" s="69">
        <f>N636*0.065*O636</f>
        <v>988127.0986462076</v>
      </c>
      <c r="Q636" s="69">
        <f t="shared" si="99"/>
        <v>6587.5139909747177</v>
      </c>
      <c r="R636" s="69">
        <f>G636*(1+0.06)^K636</f>
        <v>79947.853397570027</v>
      </c>
      <c r="S636" s="77">
        <f t="shared" si="100"/>
        <v>8.2397634345676402E-2</v>
      </c>
    </row>
    <row r="637" spans="1:19" ht="15.5" x14ac:dyDescent="0.35">
      <c r="A637" s="3" t="s">
        <v>5236</v>
      </c>
      <c r="B637" s="16" t="s">
        <v>5237</v>
      </c>
      <c r="C637" s="17" t="s">
        <v>5239</v>
      </c>
      <c r="D637" s="17" t="str">
        <f t="shared" si="94"/>
        <v>11/05/94</v>
      </c>
      <c r="E637" s="3" t="s">
        <v>5235</v>
      </c>
      <c r="F637" s="6">
        <v>6354.8159999999998</v>
      </c>
      <c r="G637" s="6">
        <f>IF(F637=0,$Y$3,F637)</f>
        <v>6354.8159999999998</v>
      </c>
      <c r="H637" s="79">
        <f t="shared" si="91"/>
        <v>12</v>
      </c>
      <c r="I637">
        <f t="shared" si="92"/>
        <v>28</v>
      </c>
      <c r="J637">
        <f t="shared" si="93"/>
        <v>0</v>
      </c>
      <c r="K637">
        <f t="shared" si="95"/>
        <v>37</v>
      </c>
      <c r="L637" s="80">
        <f t="shared" si="96"/>
        <v>10</v>
      </c>
      <c r="M637" s="80">
        <f t="shared" si="97"/>
        <v>47</v>
      </c>
      <c r="N637">
        <f t="shared" si="98"/>
        <v>6354.8159999999998</v>
      </c>
      <c r="O637" s="87">
        <f>(((1-((1+$W$11)/(1+$W$10))^(6*(J637+K637)))/($W$10-$W$11))*(1+$W$10)^(6*(J637+K637)))</f>
        <v>2268.4845089511282</v>
      </c>
      <c r="P637" s="69">
        <f>N637*0.065*O637</f>
        <v>937027.10746026027</v>
      </c>
      <c r="Q637" s="69">
        <f t="shared" si="99"/>
        <v>6246.8473830684015</v>
      </c>
      <c r="R637" s="69">
        <f>G637*(1+0.06)^K637</f>
        <v>54880.744606566856</v>
      </c>
      <c r="S637" s="77">
        <f t="shared" si="100"/>
        <v>0.11382584962815763</v>
      </c>
    </row>
    <row r="638" spans="1:19" ht="15.5" x14ac:dyDescent="0.35">
      <c r="A638" s="3" t="s">
        <v>5240</v>
      </c>
      <c r="B638" s="16" t="s">
        <v>5241</v>
      </c>
      <c r="C638" s="17" t="s">
        <v>5243</v>
      </c>
      <c r="D638" s="17" t="str">
        <f t="shared" si="94"/>
        <v>18/06/90</v>
      </c>
      <c r="E638" s="3" t="s">
        <v>5225</v>
      </c>
      <c r="F638" s="6">
        <v>7445.8720000000003</v>
      </c>
      <c r="G638" s="6">
        <f>IF(F638=0,$Y$3,F638)</f>
        <v>7445.8720000000003</v>
      </c>
      <c r="H638" s="79">
        <f t="shared" si="91"/>
        <v>4</v>
      </c>
      <c r="I638">
        <f t="shared" si="92"/>
        <v>32</v>
      </c>
      <c r="J638">
        <f t="shared" si="93"/>
        <v>0</v>
      </c>
      <c r="K638">
        <f t="shared" si="95"/>
        <v>33</v>
      </c>
      <c r="L638" s="80">
        <f t="shared" si="96"/>
        <v>18</v>
      </c>
      <c r="M638" s="80">
        <f t="shared" si="97"/>
        <v>51</v>
      </c>
      <c r="N638">
        <f t="shared" si="98"/>
        <v>7445.8720000000003</v>
      </c>
      <c r="O638" s="87">
        <f>(((1-((1+$W$11)/(1+$W$10))^(6*(J638+K638)))/($W$10-$W$11))*(1+$W$10)^(6*(J638+K638)))</f>
        <v>1571.1687390454781</v>
      </c>
      <c r="P638" s="69">
        <f>N638*0.065*O638</f>
        <v>760416.88588671212</v>
      </c>
      <c r="Q638" s="69">
        <f t="shared" si="99"/>
        <v>5069.4459059114142</v>
      </c>
      <c r="R638" s="69">
        <f>G638*(1+0.06)^K638</f>
        <v>50934.156671812329</v>
      </c>
      <c r="S638" s="77">
        <f t="shared" si="100"/>
        <v>9.9529397111171106E-2</v>
      </c>
    </row>
    <row r="639" spans="1:19" ht="15.5" x14ac:dyDescent="0.35">
      <c r="A639" s="3" t="s">
        <v>5244</v>
      </c>
      <c r="B639" s="16" t="s">
        <v>5245</v>
      </c>
      <c r="C639" s="17" t="s">
        <v>5247</v>
      </c>
      <c r="D639" s="17" t="str">
        <f t="shared" si="94"/>
        <v>17/10/88</v>
      </c>
      <c r="E639" s="3" t="s">
        <v>5248</v>
      </c>
      <c r="F639" s="6">
        <v>15887.039999999999</v>
      </c>
      <c r="G639" s="6">
        <f>IF(F639=0,$Y$3,F639)</f>
        <v>15887.039999999999</v>
      </c>
      <c r="H639" s="79">
        <f t="shared" si="91"/>
        <v>16</v>
      </c>
      <c r="I639">
        <f t="shared" si="92"/>
        <v>34</v>
      </c>
      <c r="J639">
        <f t="shared" si="93"/>
        <v>0</v>
      </c>
      <c r="K639">
        <f t="shared" si="95"/>
        <v>31</v>
      </c>
      <c r="L639" s="80">
        <f t="shared" si="96"/>
        <v>6</v>
      </c>
      <c r="M639" s="80">
        <f t="shared" si="97"/>
        <v>37</v>
      </c>
      <c r="N639">
        <f t="shared" si="98"/>
        <v>15887.039999999999</v>
      </c>
      <c r="O639" s="87">
        <f>(((1-((1+$W$11)/(1+$W$10))^(6*(J639+K639)))/($W$10-$W$11))*(1+$W$10)^(6*(J639+K639)))</f>
        <v>1300.6996735984885</v>
      </c>
      <c r="P639" s="69">
        <f>N639*0.065*O639</f>
        <v>1343177.4032589984</v>
      </c>
      <c r="Q639" s="69">
        <f t="shared" si="99"/>
        <v>8954.5160217266566</v>
      </c>
      <c r="R639" s="69">
        <f>G639*(1+0.06)^K639</f>
        <v>96721.898443943079</v>
      </c>
      <c r="S639" s="77">
        <f t="shared" si="100"/>
        <v>9.2580027540675375E-2</v>
      </c>
    </row>
    <row r="640" spans="1:19" ht="15.5" x14ac:dyDescent="0.35">
      <c r="A640" s="3" t="s">
        <v>5253</v>
      </c>
      <c r="B640" s="16" t="s">
        <v>5254</v>
      </c>
      <c r="C640" s="17" t="s">
        <v>5256</v>
      </c>
      <c r="D640" s="17" t="str">
        <f t="shared" si="94"/>
        <v>17/08/78</v>
      </c>
      <c r="E640" s="3" t="s">
        <v>3813</v>
      </c>
      <c r="F640" s="6">
        <v>0</v>
      </c>
      <c r="G640" s="6">
        <f>IF(F640=0,$Y$3,F640)</f>
        <v>15640.21</v>
      </c>
      <c r="H640" s="79">
        <f t="shared" si="91"/>
        <v>2</v>
      </c>
      <c r="I640">
        <f t="shared" si="92"/>
        <v>44</v>
      </c>
      <c r="J640">
        <f t="shared" si="93"/>
        <v>0</v>
      </c>
      <c r="K640">
        <f t="shared" si="95"/>
        <v>21</v>
      </c>
      <c r="L640" s="80">
        <f t="shared" si="96"/>
        <v>20</v>
      </c>
      <c r="M640" s="80">
        <f t="shared" si="97"/>
        <v>41</v>
      </c>
      <c r="N640">
        <f t="shared" si="98"/>
        <v>15640.21</v>
      </c>
      <c r="O640" s="87">
        <f>(((1-((1+$W$11)/(1+$W$10))^(6*(J640+K640)))/($W$10-$W$11))*(1+$W$10)^(6*(J640+K640)))</f>
        <v>468.55183423527927</v>
      </c>
      <c r="P640" s="69">
        <f>N640*0.065*O640</f>
        <v>476336.1904161222</v>
      </c>
      <c r="Q640" s="69">
        <f t="shared" si="99"/>
        <v>3175.5746027741479</v>
      </c>
      <c r="R640" s="69">
        <f>G640*(1+0.06)^K640</f>
        <v>53169.8886208896</v>
      </c>
      <c r="S640" s="77">
        <f t="shared" si="100"/>
        <v>5.9725056514910876E-2</v>
      </c>
    </row>
    <row r="641" spans="1:19" ht="15.5" x14ac:dyDescent="0.35">
      <c r="A641" s="3" t="s">
        <v>5257</v>
      </c>
      <c r="B641" s="16" t="s">
        <v>5258</v>
      </c>
      <c r="C641" s="17" t="s">
        <v>5260</v>
      </c>
      <c r="D641" s="17" t="str">
        <f t="shared" si="94"/>
        <v>23/11/95</v>
      </c>
      <c r="E641" s="3" t="s">
        <v>3813</v>
      </c>
      <c r="F641" s="6">
        <v>6643.92</v>
      </c>
      <c r="G641" s="6">
        <f>IF(F641=0,$Y$3,F641)</f>
        <v>6643.92</v>
      </c>
      <c r="H641" s="79">
        <f t="shared" si="91"/>
        <v>13</v>
      </c>
      <c r="I641">
        <f t="shared" si="92"/>
        <v>27</v>
      </c>
      <c r="J641">
        <f t="shared" si="93"/>
        <v>0</v>
      </c>
      <c r="K641">
        <f t="shared" si="95"/>
        <v>38</v>
      </c>
      <c r="L641" s="80">
        <f t="shared" si="96"/>
        <v>9</v>
      </c>
      <c r="M641" s="80">
        <f t="shared" si="97"/>
        <v>47</v>
      </c>
      <c r="N641">
        <f t="shared" si="98"/>
        <v>6643.92</v>
      </c>
      <c r="O641" s="87">
        <f>(((1-((1+$W$11)/(1+$W$10))^(6*(J641+K641)))/($W$10-$W$11))*(1+$W$10)^(6*(J641+K641)))</f>
        <v>2481.8865373152853</v>
      </c>
      <c r="P641" s="69">
        <f>N641*0.065*O641</f>
        <v>1071814.614194985</v>
      </c>
      <c r="Q641" s="69">
        <f t="shared" si="99"/>
        <v>7145.4307612999</v>
      </c>
      <c r="R641" s="69">
        <f>G641*(1+0.06)^K641</f>
        <v>60820.120253497422</v>
      </c>
      <c r="S641" s="77">
        <f t="shared" si="100"/>
        <v>0.11748465362314055</v>
      </c>
    </row>
    <row r="642" spans="1:19" ht="15.5" x14ac:dyDescent="0.35">
      <c r="A642" s="3" t="s">
        <v>5261</v>
      </c>
      <c r="B642" s="16" t="s">
        <v>5262</v>
      </c>
      <c r="C642" s="17" t="s">
        <v>5264</v>
      </c>
      <c r="D642" s="17" t="str">
        <f t="shared" si="94"/>
        <v>18/05/00</v>
      </c>
      <c r="E642" s="3" t="s">
        <v>3813</v>
      </c>
      <c r="F642" s="6">
        <v>6661.8559999999989</v>
      </c>
      <c r="G642" s="6">
        <f>IF(F642=0,$Y$3,F642)</f>
        <v>6661.8559999999989</v>
      </c>
      <c r="H642" s="79">
        <f t="shared" ref="H642:H684" si="101">_xlfn.NUMBERVALUE(MID(B642,3,2))</f>
        <v>16</v>
      </c>
      <c r="I642">
        <f t="shared" ref="I642:I685" si="102">2022-YEAR(D642)</f>
        <v>22</v>
      </c>
      <c r="J642">
        <f t="shared" ref="J642:J684" si="103">2022-YEAR(E642)</f>
        <v>0</v>
      </c>
      <c r="K642">
        <f t="shared" si="95"/>
        <v>43</v>
      </c>
      <c r="L642" s="80">
        <f t="shared" si="96"/>
        <v>6</v>
      </c>
      <c r="M642" s="80">
        <f t="shared" si="97"/>
        <v>49</v>
      </c>
      <c r="N642">
        <f t="shared" si="98"/>
        <v>6661.8559999999989</v>
      </c>
      <c r="O642" s="87">
        <f>(((1-((1+$W$11)/(1+$W$10))^(6*(J642+K642)))/($W$10-$W$11))*(1+$W$10)^(6*(J642+K642)))</f>
        <v>3853.3236192812783</v>
      </c>
      <c r="P642" s="69">
        <f>N642*0.065*O642</f>
        <v>1668568.6597482953</v>
      </c>
      <c r="Q642" s="69">
        <f t="shared" si="99"/>
        <v>11123.791064988636</v>
      </c>
      <c r="R642" s="69">
        <f>G642*(1+0.06)^K642</f>
        <v>81610.76471026431</v>
      </c>
      <c r="S642" s="77">
        <f t="shared" si="100"/>
        <v>0.13630298777962044</v>
      </c>
    </row>
    <row r="643" spans="1:19" ht="15.5" x14ac:dyDescent="0.35">
      <c r="A643" s="3" t="s">
        <v>5265</v>
      </c>
      <c r="B643" s="16" t="s">
        <v>5266</v>
      </c>
      <c r="C643" s="17" t="s">
        <v>5268</v>
      </c>
      <c r="D643" s="17" t="str">
        <f t="shared" ref="D643:D684" si="104">_xlfn.CONCAT(MID(C643,5,2),"/",MID(C643,3,2),"/",MID(C643,1,2))</f>
        <v>02/03/94</v>
      </c>
      <c r="E643" s="3" t="s">
        <v>3813</v>
      </c>
      <c r="F643" s="6">
        <v>6661.8559999999989</v>
      </c>
      <c r="G643" s="6">
        <f>IF(F643=0,$Y$3,F643)</f>
        <v>6661.8559999999989</v>
      </c>
      <c r="H643" s="79">
        <f t="shared" si="101"/>
        <v>15</v>
      </c>
      <c r="I643">
        <f t="shared" si="102"/>
        <v>28</v>
      </c>
      <c r="J643">
        <f t="shared" si="103"/>
        <v>0</v>
      </c>
      <c r="K643">
        <f t="shared" ref="K643:K685" si="105">65-I643</f>
        <v>37</v>
      </c>
      <c r="L643" s="80">
        <f t="shared" ref="L643:L685" si="106">IF(H643&gt;22,122-H643,22-H643)</f>
        <v>7</v>
      </c>
      <c r="M643" s="80">
        <f t="shared" ref="M643:M685" si="107">L643+K643</f>
        <v>44</v>
      </c>
      <c r="N643">
        <f t="shared" ref="N643:N685" si="108">G643*(1+0.06)^-J643</f>
        <v>6661.8559999999989</v>
      </c>
      <c r="O643" s="87">
        <f>(((1-((1+$W$11)/(1+$W$10))^(6*(J643+K643)))/($W$10-$W$11))*(1+$W$10)^(6*(J643+K643)))</f>
        <v>2268.4845089511282</v>
      </c>
      <c r="P643" s="69">
        <f>N643*0.065*O643</f>
        <v>982300.61389610311</v>
      </c>
      <c r="Q643" s="69">
        <f t="shared" ref="Q643:Q685" si="109">P643/150</f>
        <v>6548.6707593073543</v>
      </c>
      <c r="R643" s="69">
        <f>G643*(1+0.06)^K643</f>
        <v>57532.368795843184</v>
      </c>
      <c r="S643" s="77">
        <f t="shared" si="100"/>
        <v>0.11382584962815763</v>
      </c>
    </row>
    <row r="644" spans="1:19" ht="15.5" x14ac:dyDescent="0.35">
      <c r="A644" s="3" t="s">
        <v>5269</v>
      </c>
      <c r="B644" s="16" t="s">
        <v>5270</v>
      </c>
      <c r="C644" s="17" t="s">
        <v>5272</v>
      </c>
      <c r="D644" s="17" t="str">
        <f t="shared" si="104"/>
        <v>04/03/99</v>
      </c>
      <c r="E644" s="3" t="s">
        <v>5273</v>
      </c>
      <c r="F644" s="6">
        <v>12709.632</v>
      </c>
      <c r="G644" s="6">
        <f>IF(F644=0,$Y$3,F644)</f>
        <v>12709.632</v>
      </c>
      <c r="H644" s="79">
        <f t="shared" si="101"/>
        <v>14</v>
      </c>
      <c r="I644">
        <f t="shared" si="102"/>
        <v>23</v>
      </c>
      <c r="J644">
        <f t="shared" si="103"/>
        <v>0</v>
      </c>
      <c r="K644">
        <f t="shared" si="105"/>
        <v>42</v>
      </c>
      <c r="L644" s="80">
        <f t="shared" si="106"/>
        <v>8</v>
      </c>
      <c r="M644" s="80">
        <f t="shared" si="107"/>
        <v>50</v>
      </c>
      <c r="N644">
        <f t="shared" si="108"/>
        <v>12709.632</v>
      </c>
      <c r="O644" s="87">
        <f>(((1-((1+$W$11)/(1+$W$10))^(6*(J644+K644)))/($W$10-$W$11))*(1+$W$10)^(6*(J644+K644)))</f>
        <v>3532.9398561414855</v>
      </c>
      <c r="P644" s="69">
        <f>N644*0.065*O644</f>
        <v>2918653.7542299293</v>
      </c>
      <c r="Q644" s="69">
        <f t="shared" si="109"/>
        <v>19457.691694866196</v>
      </c>
      <c r="R644" s="69">
        <f>G644*(1+0.06)^K644</f>
        <v>146885.63230048207</v>
      </c>
      <c r="S644" s="77">
        <f t="shared" si="100"/>
        <v>0.13246831150280133</v>
      </c>
    </row>
    <row r="645" spans="1:19" ht="15.5" x14ac:dyDescent="0.35">
      <c r="A645" s="3" t="s">
        <v>5274</v>
      </c>
      <c r="B645" s="16" t="s">
        <v>5275</v>
      </c>
      <c r="C645" s="17" t="s">
        <v>5277</v>
      </c>
      <c r="D645" s="17" t="str">
        <f t="shared" si="104"/>
        <v>27/12/91</v>
      </c>
      <c r="E645" s="3" t="s">
        <v>4952</v>
      </c>
      <c r="F645" s="6">
        <v>14827.903999999999</v>
      </c>
      <c r="G645" s="6">
        <f>IF(F645=0,$Y$3,F645)</f>
        <v>14827.903999999999</v>
      </c>
      <c r="H645" s="79">
        <f t="shared" si="101"/>
        <v>19</v>
      </c>
      <c r="I645">
        <f t="shared" si="102"/>
        <v>31</v>
      </c>
      <c r="J645">
        <f t="shared" si="103"/>
        <v>0</v>
      </c>
      <c r="K645">
        <f t="shared" si="105"/>
        <v>34</v>
      </c>
      <c r="L645" s="80">
        <f t="shared" si="106"/>
        <v>3</v>
      </c>
      <c r="M645" s="80">
        <f t="shared" si="107"/>
        <v>37</v>
      </c>
      <c r="N645">
        <f t="shared" si="108"/>
        <v>14827.903999999999</v>
      </c>
      <c r="O645" s="87">
        <f>(((1-((1+$W$11)/(1+$W$10))^(6*(J645+K645)))/($W$10-$W$11))*(1+$W$10)^(6*(J645+K645)))</f>
        <v>1724.4052908394829</v>
      </c>
      <c r="P645" s="69">
        <f>N645*0.065*O645</f>
        <v>1662005.5471278953</v>
      </c>
      <c r="Q645" s="69">
        <f t="shared" si="109"/>
        <v>11080.036980852636</v>
      </c>
      <c r="R645" s="69">
        <f>G645*(1+0.06)^K645</f>
        <v>107517.50669063721</v>
      </c>
      <c r="S645" s="77">
        <f t="shared" ref="S645:S684" si="110">Q645/R645</f>
        <v>0.10305332891259747</v>
      </c>
    </row>
    <row r="646" spans="1:19" ht="15.5" x14ac:dyDescent="0.35">
      <c r="A646" s="3" t="s">
        <v>5278</v>
      </c>
      <c r="B646" s="16" t="s">
        <v>5279</v>
      </c>
      <c r="C646" s="17" t="s">
        <v>5281</v>
      </c>
      <c r="D646" s="17" t="str">
        <f t="shared" si="104"/>
        <v>18/05/97</v>
      </c>
      <c r="E646" s="3" t="s">
        <v>4952</v>
      </c>
      <c r="F646" s="6">
        <v>9532.2240000000002</v>
      </c>
      <c r="G646" s="6">
        <f>IF(F646=0,$Y$3,F646)</f>
        <v>9532.2240000000002</v>
      </c>
      <c r="H646" s="79">
        <f t="shared" si="101"/>
        <v>13</v>
      </c>
      <c r="I646">
        <f t="shared" si="102"/>
        <v>25</v>
      </c>
      <c r="J646">
        <f t="shared" si="103"/>
        <v>0</v>
      </c>
      <c r="K646">
        <f t="shared" si="105"/>
        <v>40</v>
      </c>
      <c r="L646" s="80">
        <f t="shared" si="106"/>
        <v>9</v>
      </c>
      <c r="M646" s="80">
        <f t="shared" si="107"/>
        <v>49</v>
      </c>
      <c r="N646">
        <f t="shared" si="108"/>
        <v>9532.2240000000002</v>
      </c>
      <c r="O646" s="87">
        <f>(((1-((1+$W$11)/(1+$W$10))^(6*(J646+K646)))/($W$10-$W$11))*(1+$W$10)^(6*(J646+K646)))</f>
        <v>2964.8060935111685</v>
      </c>
      <c r="P646" s="69">
        <f>N646*0.065*O646</f>
        <v>1836977.7269943713</v>
      </c>
      <c r="Q646" s="69">
        <f t="shared" si="109"/>
        <v>12246.518179962475</v>
      </c>
      <c r="R646" s="69">
        <f>G646*(1+0.06)^K646</f>
        <v>98045.76737750227</v>
      </c>
      <c r="S646" s="77">
        <f t="shared" si="110"/>
        <v>0.12490613830182107</v>
      </c>
    </row>
    <row r="647" spans="1:19" ht="15.5" x14ac:dyDescent="0.35">
      <c r="A647" s="3" t="s">
        <v>5282</v>
      </c>
      <c r="B647" s="16" t="s">
        <v>5283</v>
      </c>
      <c r="C647" s="17" t="s">
        <v>5285</v>
      </c>
      <c r="D647" s="17" t="str">
        <f t="shared" si="104"/>
        <v>23/04/97</v>
      </c>
      <c r="E647" s="3" t="s">
        <v>4952</v>
      </c>
      <c r="F647" s="6">
        <v>6661.8559999999989</v>
      </c>
      <c r="G647" s="6">
        <f>IF(F647=0,$Y$3,F647)</f>
        <v>6661.8559999999989</v>
      </c>
      <c r="H647" s="79">
        <f t="shared" si="101"/>
        <v>16</v>
      </c>
      <c r="I647">
        <f t="shared" si="102"/>
        <v>25</v>
      </c>
      <c r="J647">
        <f t="shared" si="103"/>
        <v>0</v>
      </c>
      <c r="K647">
        <f t="shared" si="105"/>
        <v>40</v>
      </c>
      <c r="L647" s="80">
        <f t="shared" si="106"/>
        <v>6</v>
      </c>
      <c r="M647" s="80">
        <f t="shared" si="107"/>
        <v>46</v>
      </c>
      <c r="N647">
        <f t="shared" si="108"/>
        <v>6661.8559999999989</v>
      </c>
      <c r="O647" s="87">
        <f>(((1-((1+$W$11)/(1+$W$10))^(6*(J647+K647)))/($W$10-$W$11))*(1+$W$10)^(6*(J647+K647)))</f>
        <v>2964.8060935111685</v>
      </c>
      <c r="P647" s="69">
        <f>N647*0.065*O647</f>
        <v>1283822.232088106</v>
      </c>
      <c r="Q647" s="69">
        <f t="shared" si="109"/>
        <v>8558.8148805873734</v>
      </c>
      <c r="R647" s="69">
        <f>G647*(1+0.06)^K647</f>
        <v>68521.971753749982</v>
      </c>
      <c r="S647" s="77">
        <f t="shared" si="110"/>
        <v>0.1249061383018211</v>
      </c>
    </row>
    <row r="648" spans="1:19" ht="15.5" x14ac:dyDescent="0.35">
      <c r="A648" s="3" t="s">
        <v>5286</v>
      </c>
      <c r="B648" s="16" t="s">
        <v>5287</v>
      </c>
      <c r="C648" s="17" t="s">
        <v>5289</v>
      </c>
      <c r="D648" s="17" t="str">
        <f t="shared" si="104"/>
        <v>04/04/95</v>
      </c>
      <c r="E648" s="3" t="s">
        <v>5290</v>
      </c>
      <c r="F648" s="6">
        <v>11455.632</v>
      </c>
      <c r="G648" s="6">
        <f>IF(F648=0,$Y$3,F648)</f>
        <v>11455.632</v>
      </c>
      <c r="H648" s="79">
        <f t="shared" si="101"/>
        <v>13</v>
      </c>
      <c r="I648">
        <f t="shared" si="102"/>
        <v>27</v>
      </c>
      <c r="J648">
        <f t="shared" si="103"/>
        <v>0</v>
      </c>
      <c r="K648">
        <f t="shared" si="105"/>
        <v>38</v>
      </c>
      <c r="L648" s="80">
        <f t="shared" si="106"/>
        <v>9</v>
      </c>
      <c r="M648" s="80">
        <f t="shared" si="107"/>
        <v>47</v>
      </c>
      <c r="N648">
        <f t="shared" si="108"/>
        <v>11455.632</v>
      </c>
      <c r="O648" s="87">
        <f>(((1-((1+$W$11)/(1+$W$10))^(6*(J648+K648)))/($W$10-$W$11))*(1+$W$10)^(6*(J648+K648)))</f>
        <v>2481.8865373152853</v>
      </c>
      <c r="P648" s="69">
        <f>N648*0.065*O648</f>
        <v>1848052.6244204815</v>
      </c>
      <c r="Q648" s="69">
        <f t="shared" si="109"/>
        <v>12320.350829469877</v>
      </c>
      <c r="R648" s="69">
        <f>G648*(1+0.06)^K648</f>
        <v>104867.74612274277</v>
      </c>
      <c r="S648" s="77">
        <f t="shared" si="110"/>
        <v>0.11748465362314058</v>
      </c>
    </row>
    <row r="649" spans="1:19" ht="15.5" x14ac:dyDescent="0.35">
      <c r="A649" s="3" t="s">
        <v>5296</v>
      </c>
      <c r="B649" s="16" t="s">
        <v>5297</v>
      </c>
      <c r="C649" s="17" t="s">
        <v>5299</v>
      </c>
      <c r="D649" s="17" t="str">
        <f t="shared" si="104"/>
        <v>08/12/93</v>
      </c>
      <c r="E649" s="3" t="s">
        <v>5300</v>
      </c>
      <c r="F649" s="6">
        <v>12709.632</v>
      </c>
      <c r="G649" s="6">
        <f>IF(F649=0,$Y$3,F649)</f>
        <v>12709.632</v>
      </c>
      <c r="H649" s="79">
        <f t="shared" si="101"/>
        <v>9</v>
      </c>
      <c r="I649">
        <f t="shared" si="102"/>
        <v>29</v>
      </c>
      <c r="J649">
        <f t="shared" si="103"/>
        <v>0</v>
      </c>
      <c r="K649">
        <f t="shared" si="105"/>
        <v>36</v>
      </c>
      <c r="L649" s="80">
        <f t="shared" si="106"/>
        <v>13</v>
      </c>
      <c r="M649" s="80">
        <f t="shared" si="107"/>
        <v>49</v>
      </c>
      <c r="N649">
        <f t="shared" si="108"/>
        <v>12709.632</v>
      </c>
      <c r="O649" s="87">
        <f>(((1-((1+$W$11)/(1+$W$10))^(6*(J649+K649)))/($W$10-$W$11))*(1+$W$10)^(6*(J649+K649)))</f>
        <v>2071.9321695914473</v>
      </c>
      <c r="P649" s="69">
        <f>N649*0.065*O649</f>
        <v>1711677.2012904775</v>
      </c>
      <c r="Q649" s="69">
        <f t="shared" si="109"/>
        <v>11411.181341936517</v>
      </c>
      <c r="R649" s="69">
        <f>G649*(1+0.06)^K649</f>
        <v>103548.57472937142</v>
      </c>
      <c r="S649" s="77">
        <f t="shared" si="110"/>
        <v>0.1102012400630344</v>
      </c>
    </row>
    <row r="650" spans="1:19" ht="15.5" x14ac:dyDescent="0.35">
      <c r="A650" s="3" t="s">
        <v>5305</v>
      </c>
      <c r="B650" s="16" t="s">
        <v>5306</v>
      </c>
      <c r="C650" s="17" t="s">
        <v>5308</v>
      </c>
      <c r="D650" s="17" t="str">
        <f t="shared" si="104"/>
        <v>09/01/99</v>
      </c>
      <c r="E650" s="3" t="s">
        <v>3770</v>
      </c>
      <c r="F650" s="6">
        <v>8049.311999999999</v>
      </c>
      <c r="G650" s="6">
        <f>IF(F650=0,$Y$3,F650)</f>
        <v>8049.311999999999</v>
      </c>
      <c r="H650" s="79">
        <f t="shared" si="101"/>
        <v>16</v>
      </c>
      <c r="I650">
        <f t="shared" si="102"/>
        <v>23</v>
      </c>
      <c r="J650">
        <f t="shared" si="103"/>
        <v>0</v>
      </c>
      <c r="K650">
        <f t="shared" si="105"/>
        <v>42</v>
      </c>
      <c r="L650" s="80">
        <f t="shared" si="106"/>
        <v>6</v>
      </c>
      <c r="M650" s="80">
        <f t="shared" si="107"/>
        <v>48</v>
      </c>
      <c r="N650">
        <f t="shared" si="108"/>
        <v>8049.311999999999</v>
      </c>
      <c r="O650" s="87">
        <f>(((1-((1+$W$11)/(1+$W$10))^(6*(J650+K650)))/($W$10-$W$11))*(1+$W$10)^(6*(J650+K650)))</f>
        <v>3532.9398561414855</v>
      </c>
      <c r="P650" s="69">
        <f>N650*0.065*O650</f>
        <v>1848452.7866556654</v>
      </c>
      <c r="Q650" s="69">
        <f t="shared" si="109"/>
        <v>12323.018577704435</v>
      </c>
      <c r="R650" s="69">
        <f>G650*(1+0.06)^K650</f>
        <v>93026.161788465455</v>
      </c>
      <c r="S650" s="77">
        <f t="shared" si="110"/>
        <v>0.13246831150280133</v>
      </c>
    </row>
    <row r="651" spans="1:19" ht="15.5" x14ac:dyDescent="0.35">
      <c r="A651" s="3" t="s">
        <v>5309</v>
      </c>
      <c r="B651" s="16" t="s">
        <v>5310</v>
      </c>
      <c r="C651" s="17" t="s">
        <v>5312</v>
      </c>
      <c r="D651" s="17" t="str">
        <f t="shared" si="104"/>
        <v>13/03/86</v>
      </c>
      <c r="E651" s="3" t="s">
        <v>3770</v>
      </c>
      <c r="F651" s="6">
        <v>8049.311999999999</v>
      </c>
      <c r="G651" s="6">
        <f>IF(F651=0,$Y$3,F651)</f>
        <v>8049.311999999999</v>
      </c>
      <c r="H651" s="79">
        <f t="shared" si="101"/>
        <v>6</v>
      </c>
      <c r="I651">
        <f t="shared" si="102"/>
        <v>36</v>
      </c>
      <c r="J651">
        <f t="shared" si="103"/>
        <v>0</v>
      </c>
      <c r="K651">
        <f t="shared" si="105"/>
        <v>29</v>
      </c>
      <c r="L651" s="80">
        <f t="shared" si="106"/>
        <v>16</v>
      </c>
      <c r="M651" s="80">
        <f t="shared" si="107"/>
        <v>45</v>
      </c>
      <c r="N651">
        <f t="shared" si="108"/>
        <v>8049.311999999999</v>
      </c>
      <c r="O651" s="87">
        <f>(((1-((1+$W$11)/(1+$W$10))^(6*(J651+K651)))/($W$10-$W$11))*(1+$W$10)^(6*(J651+K651)))</f>
        <v>1072.3399666941964</v>
      </c>
      <c r="P651" s="69">
        <f>N651*0.065*O651</f>
        <v>561053.93252942758</v>
      </c>
      <c r="Q651" s="69">
        <f t="shared" si="109"/>
        <v>3740.359550196184</v>
      </c>
      <c r="R651" s="69">
        <f>G651*(1+0.06)^K651</f>
        <v>43614.29473587242</v>
      </c>
      <c r="S651" s="77">
        <f t="shared" si="110"/>
        <v>8.5759945743654711E-2</v>
      </c>
    </row>
    <row r="652" spans="1:19" ht="15.5" x14ac:dyDescent="0.35">
      <c r="A652" s="3" t="s">
        <v>5313</v>
      </c>
      <c r="B652" s="16" t="s">
        <v>5314</v>
      </c>
      <c r="C652" s="17" t="s">
        <v>5316</v>
      </c>
      <c r="D652" s="17" t="str">
        <f t="shared" si="104"/>
        <v>16/02/95</v>
      </c>
      <c r="E652" s="3" t="s">
        <v>5317</v>
      </c>
      <c r="F652" s="6">
        <v>6778.5919999999996</v>
      </c>
      <c r="G652" s="6">
        <f>IF(F652=0,$Y$3,F652)</f>
        <v>6778.5919999999996</v>
      </c>
      <c r="H652" s="79">
        <f t="shared" si="101"/>
        <v>14</v>
      </c>
      <c r="I652">
        <f t="shared" si="102"/>
        <v>27</v>
      </c>
      <c r="J652">
        <f t="shared" si="103"/>
        <v>0</v>
      </c>
      <c r="K652">
        <f t="shared" si="105"/>
        <v>38</v>
      </c>
      <c r="L652" s="80">
        <f t="shared" si="106"/>
        <v>8</v>
      </c>
      <c r="M652" s="80">
        <f t="shared" si="107"/>
        <v>46</v>
      </c>
      <c r="N652">
        <f t="shared" si="108"/>
        <v>6778.5919999999996</v>
      </c>
      <c r="O652" s="87">
        <f>(((1-((1+$W$11)/(1+$W$10))^(6*(J652+K652)))/($W$10-$W$11))*(1+$W$10)^(6*(J652+K652)))</f>
        <v>2481.8865373152853</v>
      </c>
      <c r="P652" s="69">
        <f>N652*0.065*O652</f>
        <v>1093540.2547389511</v>
      </c>
      <c r="Q652" s="69">
        <f t="shared" si="109"/>
        <v>7290.2683649263408</v>
      </c>
      <c r="R652" s="69">
        <f>G652*(1+0.06)^K652</f>
        <v>62052.941725577002</v>
      </c>
      <c r="S652" s="77">
        <f t="shared" si="110"/>
        <v>0.11748465362314058</v>
      </c>
    </row>
    <row r="653" spans="1:19" ht="15.5" x14ac:dyDescent="0.35">
      <c r="A653" s="3" t="s">
        <v>5318</v>
      </c>
      <c r="B653" s="16" t="s">
        <v>5319</v>
      </c>
      <c r="C653" s="17" t="s">
        <v>5321</v>
      </c>
      <c r="D653" s="17" t="str">
        <f t="shared" si="104"/>
        <v>04/10/91</v>
      </c>
      <c r="E653" s="3" t="s">
        <v>5317</v>
      </c>
      <c r="F653" s="6">
        <v>7445.8720000000003</v>
      </c>
      <c r="G653" s="6">
        <f>IF(F653=0,$Y$3,F653)</f>
        <v>7445.8720000000003</v>
      </c>
      <c r="H653" s="79">
        <f t="shared" si="101"/>
        <v>11</v>
      </c>
      <c r="I653">
        <f t="shared" si="102"/>
        <v>31</v>
      </c>
      <c r="J653">
        <f t="shared" si="103"/>
        <v>0</v>
      </c>
      <c r="K653">
        <f t="shared" si="105"/>
        <v>34</v>
      </c>
      <c r="L653" s="80">
        <f t="shared" si="106"/>
        <v>11</v>
      </c>
      <c r="M653" s="80">
        <f t="shared" si="107"/>
        <v>45</v>
      </c>
      <c r="N653">
        <f t="shared" si="108"/>
        <v>7445.8720000000003</v>
      </c>
      <c r="O653" s="87">
        <f>(((1-((1+$W$11)/(1+$W$10))^(6*(J653+K653)))/($W$10-$W$11))*(1+$W$10)^(6*(J653+K653)))</f>
        <v>1724.4052908394829</v>
      </c>
      <c r="P653" s="69">
        <f>N653*0.065*O653</f>
        <v>834580.56966138154</v>
      </c>
      <c r="Q653" s="69">
        <f t="shared" si="109"/>
        <v>5563.8704644092104</v>
      </c>
      <c r="R653" s="69">
        <f>G653*(1+0.06)^K653</f>
        <v>53990.206072121073</v>
      </c>
      <c r="S653" s="77">
        <f t="shared" si="110"/>
        <v>0.10305332891259748</v>
      </c>
    </row>
    <row r="654" spans="1:19" ht="15.5" x14ac:dyDescent="0.35">
      <c r="A654" s="3" t="s">
        <v>5322</v>
      </c>
      <c r="B654" s="16" t="s">
        <v>5323</v>
      </c>
      <c r="C654" s="17" t="s">
        <v>5325</v>
      </c>
      <c r="D654" s="17" t="str">
        <f t="shared" si="104"/>
        <v>27/08/92</v>
      </c>
      <c r="E654" s="3" t="s">
        <v>4533</v>
      </c>
      <c r="F654" s="6">
        <v>8049.311999999999</v>
      </c>
      <c r="G654" s="6">
        <f>IF(F654=0,$Y$3,F654)</f>
        <v>8049.311999999999</v>
      </c>
      <c r="H654" s="79">
        <f t="shared" si="101"/>
        <v>11</v>
      </c>
      <c r="I654">
        <f t="shared" si="102"/>
        <v>30</v>
      </c>
      <c r="J654">
        <f t="shared" si="103"/>
        <v>0</v>
      </c>
      <c r="K654">
        <f t="shared" si="105"/>
        <v>35</v>
      </c>
      <c r="L654" s="80">
        <f t="shared" si="106"/>
        <v>11</v>
      </c>
      <c r="M654" s="80">
        <f t="shared" si="107"/>
        <v>46</v>
      </c>
      <c r="N654">
        <f t="shared" si="108"/>
        <v>8049.311999999999</v>
      </c>
      <c r="O654" s="87">
        <f>(((1-((1+$W$11)/(1+$W$10))^(6*(J654+K654)))/($W$10-$W$11))*(1+$W$10)^(6*(J654+K654)))</f>
        <v>1890.963685662718</v>
      </c>
      <c r="P654" s="69">
        <f>N654*0.065*O654</f>
        <v>989362.18462699419</v>
      </c>
      <c r="Q654" s="69">
        <f t="shared" si="109"/>
        <v>6595.7478975132944</v>
      </c>
      <c r="R654" s="69">
        <f>G654*(1+0.06)^K654</f>
        <v>61867.710650401299</v>
      </c>
      <c r="S654" s="77">
        <f t="shared" si="110"/>
        <v>0.10661050535365998</v>
      </c>
    </row>
    <row r="655" spans="1:19" ht="15.5" x14ac:dyDescent="0.35">
      <c r="A655" s="3" t="s">
        <v>5326</v>
      </c>
      <c r="B655" s="16" t="s">
        <v>5327</v>
      </c>
      <c r="C655" s="17" t="s">
        <v>5329</v>
      </c>
      <c r="D655" s="17" t="str">
        <f t="shared" si="104"/>
        <v>27/03/89</v>
      </c>
      <c r="E655" s="3" t="s">
        <v>5330</v>
      </c>
      <c r="F655" s="6">
        <v>6661.8559999999989</v>
      </c>
      <c r="G655" s="6">
        <f>IF(F655=0,$Y$3,F655)</f>
        <v>6661.8559999999989</v>
      </c>
      <c r="H655" s="79">
        <f t="shared" si="101"/>
        <v>5</v>
      </c>
      <c r="I655">
        <f t="shared" si="102"/>
        <v>33</v>
      </c>
      <c r="J655">
        <f t="shared" si="103"/>
        <v>0</v>
      </c>
      <c r="K655">
        <f t="shared" si="105"/>
        <v>32</v>
      </c>
      <c r="L655" s="80">
        <f t="shared" si="106"/>
        <v>17</v>
      </c>
      <c r="M655" s="80">
        <f t="shared" si="107"/>
        <v>49</v>
      </c>
      <c r="N655">
        <f t="shared" si="108"/>
        <v>6661.8559999999989</v>
      </c>
      <c r="O655" s="87">
        <f>(((1-((1+$W$11)/(1+$W$10))^(6*(J655+K655)))/($W$10-$W$11))*(1+$W$10)^(6*(J655+K655)))</f>
        <v>1430.2452154182549</v>
      </c>
      <c r="P655" s="69">
        <f>N655*0.065*O655</f>
        <v>619325.69853735052</v>
      </c>
      <c r="Q655" s="69">
        <f t="shared" si="109"/>
        <v>4128.8379902490033</v>
      </c>
      <c r="R655" s="69">
        <f>G655*(1+0.06)^K655</f>
        <v>42991.532787037926</v>
      </c>
      <c r="S655" s="77">
        <f t="shared" si="110"/>
        <v>9.6038399251814066E-2</v>
      </c>
    </row>
    <row r="656" spans="1:19" ht="15.5" x14ac:dyDescent="0.35">
      <c r="A656" s="3" t="s">
        <v>5331</v>
      </c>
      <c r="B656" s="16" t="s">
        <v>5332</v>
      </c>
      <c r="C656" s="17" t="s">
        <v>5334</v>
      </c>
      <c r="D656" s="17" t="str">
        <f t="shared" si="104"/>
        <v>27/07/65</v>
      </c>
      <c r="E656" s="3" t="s">
        <v>5330</v>
      </c>
      <c r="F656" s="6">
        <v>5602.72</v>
      </c>
      <c r="G656" s="6">
        <f>IF(F656=0,$Y$3,F656)</f>
        <v>5602.72</v>
      </c>
      <c r="H656" s="79">
        <f t="shared" si="101"/>
        <v>2</v>
      </c>
      <c r="I656">
        <f t="shared" si="102"/>
        <v>57</v>
      </c>
      <c r="J656">
        <f t="shared" si="103"/>
        <v>0</v>
      </c>
      <c r="K656">
        <f t="shared" si="105"/>
        <v>8</v>
      </c>
      <c r="L656" s="80">
        <f t="shared" si="106"/>
        <v>20</v>
      </c>
      <c r="M656" s="80">
        <f t="shared" si="107"/>
        <v>28</v>
      </c>
      <c r="N656">
        <f t="shared" si="108"/>
        <v>5602.72</v>
      </c>
      <c r="O656" s="87">
        <f>(((1-((1+$W$11)/(1+$W$10))^(6*(J656+K656)))/($W$10-$W$11))*(1+$W$10)^(6*(J656+K656)))</f>
        <v>78.622056234907163</v>
      </c>
      <c r="P656" s="69">
        <f>N656*0.065*O656</f>
        <v>28632.328849048539</v>
      </c>
      <c r="Q656" s="69">
        <f t="shared" si="109"/>
        <v>190.88219232699026</v>
      </c>
      <c r="R656" s="69">
        <f>G656*(1+0.06)^K656</f>
        <v>8929.8844841354421</v>
      </c>
      <c r="S656" s="77">
        <f t="shared" si="110"/>
        <v>2.1375661988249198E-2</v>
      </c>
    </row>
    <row r="657" spans="1:19" ht="15.5" x14ac:dyDescent="0.35">
      <c r="A657" s="3" t="s">
        <v>5335</v>
      </c>
      <c r="B657" s="16" t="s">
        <v>5336</v>
      </c>
      <c r="C657" s="17" t="s">
        <v>5338</v>
      </c>
      <c r="D657" s="17" t="str">
        <f t="shared" si="104"/>
        <v>06/01/01</v>
      </c>
      <c r="E657" s="3" t="s">
        <v>5339</v>
      </c>
      <c r="F657" s="6">
        <v>7862.0479999999998</v>
      </c>
      <c r="G657" s="6">
        <f>IF(F657=0,$Y$3,F657)</f>
        <v>7862.0479999999998</v>
      </c>
      <c r="H657" s="79">
        <f t="shared" si="101"/>
        <v>16</v>
      </c>
      <c r="I657">
        <f t="shared" si="102"/>
        <v>21</v>
      </c>
      <c r="J657">
        <f t="shared" si="103"/>
        <v>0</v>
      </c>
      <c r="K657">
        <f t="shared" si="105"/>
        <v>44</v>
      </c>
      <c r="L657" s="80">
        <f t="shared" si="106"/>
        <v>6</v>
      </c>
      <c r="M657" s="80">
        <f t="shared" si="107"/>
        <v>50</v>
      </c>
      <c r="N657">
        <f t="shared" si="108"/>
        <v>7862.0479999999998</v>
      </c>
      <c r="O657" s="87">
        <f>(((1-((1+$W$11)/(1+$W$10))^(6*(J657+K657)))/($W$10-$W$11))*(1+$W$10)^(6*(J657+K657)))</f>
        <v>4200.5189242334509</v>
      </c>
      <c r="P657" s="69">
        <f>N657*0.065*O657</f>
        <v>2146604.2914700639</v>
      </c>
      <c r="Q657" s="69">
        <f t="shared" si="109"/>
        <v>14310.695276467093</v>
      </c>
      <c r="R657" s="69">
        <f>G657*(1+0.06)^K657</f>
        <v>102092.48210062367</v>
      </c>
      <c r="S657" s="77">
        <f t="shared" si="110"/>
        <v>0.14017384024773036</v>
      </c>
    </row>
    <row r="658" spans="1:19" ht="15.5" x14ac:dyDescent="0.35">
      <c r="A658" s="3" t="s">
        <v>5345</v>
      </c>
      <c r="B658" s="16" t="s">
        <v>5346</v>
      </c>
      <c r="C658" s="17" t="s">
        <v>4832</v>
      </c>
      <c r="D658" s="17" t="str">
        <f t="shared" si="104"/>
        <v>28/04/89</v>
      </c>
      <c r="E658" s="3" t="s">
        <v>5344</v>
      </c>
      <c r="F658" s="6">
        <v>6661.8559999999989</v>
      </c>
      <c r="G658" s="6">
        <f>IF(F658=0,$Y$3,F658)</f>
        <v>6661.8559999999989</v>
      </c>
      <c r="H658" s="79">
        <f t="shared" si="101"/>
        <v>9</v>
      </c>
      <c r="I658">
        <f t="shared" si="102"/>
        <v>33</v>
      </c>
      <c r="J658">
        <f t="shared" si="103"/>
        <v>0</v>
      </c>
      <c r="K658">
        <f t="shared" si="105"/>
        <v>32</v>
      </c>
      <c r="L658" s="80">
        <f t="shared" si="106"/>
        <v>13</v>
      </c>
      <c r="M658" s="80">
        <f t="shared" si="107"/>
        <v>45</v>
      </c>
      <c r="N658">
        <f t="shared" si="108"/>
        <v>6661.8559999999989</v>
      </c>
      <c r="O658" s="87">
        <f>(((1-((1+$W$11)/(1+$W$10))^(6*(J658+K658)))/($W$10-$W$11))*(1+$W$10)^(6*(J658+K658)))</f>
        <v>1430.2452154182549</v>
      </c>
      <c r="P658" s="69">
        <f>N658*0.065*O658</f>
        <v>619325.69853735052</v>
      </c>
      <c r="Q658" s="69">
        <f t="shared" si="109"/>
        <v>4128.8379902490033</v>
      </c>
      <c r="R658" s="69">
        <f>G658*(1+0.06)^K658</f>
        <v>42991.532787037926</v>
      </c>
      <c r="S658" s="77">
        <f t="shared" si="110"/>
        <v>9.6038399251814066E-2</v>
      </c>
    </row>
    <row r="659" spans="1:19" ht="15.5" x14ac:dyDescent="0.35">
      <c r="A659" s="3" t="s">
        <v>5348</v>
      </c>
      <c r="B659" s="16" t="s">
        <v>5349</v>
      </c>
      <c r="C659" s="17" t="s">
        <v>5351</v>
      </c>
      <c r="D659" s="17" t="str">
        <f t="shared" si="104"/>
        <v>27/01/92</v>
      </c>
      <c r="E659" s="3" t="s">
        <v>5352</v>
      </c>
      <c r="F659" s="6">
        <v>5602.72</v>
      </c>
      <c r="G659" s="6">
        <f>IF(F659=0,$Y$3,F659)</f>
        <v>5602.72</v>
      </c>
      <c r="H659" s="79">
        <f t="shared" si="101"/>
        <v>13</v>
      </c>
      <c r="I659">
        <f t="shared" si="102"/>
        <v>30</v>
      </c>
      <c r="J659">
        <f t="shared" si="103"/>
        <v>0</v>
      </c>
      <c r="K659">
        <f t="shared" si="105"/>
        <v>35</v>
      </c>
      <c r="L659" s="80">
        <f t="shared" si="106"/>
        <v>9</v>
      </c>
      <c r="M659" s="80">
        <f t="shared" si="107"/>
        <v>44</v>
      </c>
      <c r="N659">
        <f t="shared" si="108"/>
        <v>5602.72</v>
      </c>
      <c r="O659" s="87">
        <f>(((1-((1+$W$11)/(1+$W$10))^(6*(J659+K659)))/($W$10-$W$11))*(1+$W$10)^(6*(J659+K659)))</f>
        <v>1890.963685662718</v>
      </c>
      <c r="P659" s="69">
        <f>N659*0.065*O659</f>
        <v>688645.10396085458</v>
      </c>
      <c r="Q659" s="69">
        <f t="shared" si="109"/>
        <v>4590.9673597390301</v>
      </c>
      <c r="R659" s="69">
        <f>G659*(1+0.06)^K659</f>
        <v>43062.992193024256</v>
      </c>
      <c r="S659" s="77">
        <f t="shared" si="110"/>
        <v>0.10661050535365997</v>
      </c>
    </row>
    <row r="660" spans="1:19" ht="15.5" x14ac:dyDescent="0.35">
      <c r="A660" s="3" t="s">
        <v>5353</v>
      </c>
      <c r="B660" s="16" t="s">
        <v>5354</v>
      </c>
      <c r="C660" s="17" t="s">
        <v>4755</v>
      </c>
      <c r="D660" s="17" t="str">
        <f t="shared" si="104"/>
        <v>23/04/94</v>
      </c>
      <c r="E660" s="3" t="s">
        <v>5356</v>
      </c>
      <c r="F660" s="6">
        <v>6661.8559999999989</v>
      </c>
      <c r="G660" s="6">
        <f>IF(F660=0,$Y$3,F660)</f>
        <v>6661.8559999999989</v>
      </c>
      <c r="H660" s="79">
        <f t="shared" si="101"/>
        <v>17</v>
      </c>
      <c r="I660">
        <f t="shared" si="102"/>
        <v>28</v>
      </c>
      <c r="J660">
        <f t="shared" si="103"/>
        <v>0</v>
      </c>
      <c r="K660">
        <f t="shared" si="105"/>
        <v>37</v>
      </c>
      <c r="L660" s="80">
        <f t="shared" si="106"/>
        <v>5</v>
      </c>
      <c r="M660" s="80">
        <f t="shared" si="107"/>
        <v>42</v>
      </c>
      <c r="N660">
        <f t="shared" si="108"/>
        <v>6661.8559999999989</v>
      </c>
      <c r="O660" s="87">
        <f>(((1-((1+$W$11)/(1+$W$10))^(6*(J660+K660)))/($W$10-$W$11))*(1+$W$10)^(6*(J660+K660)))</f>
        <v>2268.4845089511282</v>
      </c>
      <c r="P660" s="69">
        <f>N660*0.065*O660</f>
        <v>982300.61389610311</v>
      </c>
      <c r="Q660" s="69">
        <f t="shared" si="109"/>
        <v>6548.6707593073543</v>
      </c>
      <c r="R660" s="69">
        <f>G660*(1+0.06)^K660</f>
        <v>57532.368795843184</v>
      </c>
      <c r="S660" s="77">
        <f t="shared" si="110"/>
        <v>0.11382584962815763</v>
      </c>
    </row>
    <row r="661" spans="1:19" ht="15.5" x14ac:dyDescent="0.35">
      <c r="A661" s="3" t="s">
        <v>5357</v>
      </c>
      <c r="B661" s="16" t="s">
        <v>5358</v>
      </c>
      <c r="C661" s="17" t="s">
        <v>5360</v>
      </c>
      <c r="D661" s="17" t="str">
        <f t="shared" si="104"/>
        <v>02/06/69</v>
      </c>
      <c r="E661" s="3" t="s">
        <v>5361</v>
      </c>
      <c r="F661" s="6">
        <v>5602.72</v>
      </c>
      <c r="G661" s="6">
        <f>IF(F661=0,$Y$3,F661)</f>
        <v>5602.72</v>
      </c>
      <c r="H661" s="79">
        <f t="shared" si="101"/>
        <v>6</v>
      </c>
      <c r="I661">
        <f t="shared" si="102"/>
        <v>53</v>
      </c>
      <c r="J661">
        <f t="shared" si="103"/>
        <v>0</v>
      </c>
      <c r="K661">
        <f t="shared" si="105"/>
        <v>12</v>
      </c>
      <c r="L661" s="80">
        <f t="shared" si="106"/>
        <v>16</v>
      </c>
      <c r="M661" s="80">
        <f t="shared" si="107"/>
        <v>28</v>
      </c>
      <c r="N661">
        <f t="shared" si="108"/>
        <v>5602.72</v>
      </c>
      <c r="O661" s="87">
        <f>(((1-((1+$W$11)/(1+$W$10))^(6*(J661+K661)))/($W$10-$W$11))*(1+$W$10)^(6*(J661+K661)))</f>
        <v>151.75484256444349</v>
      </c>
      <c r="P661" s="69">
        <f>N661*0.065*O661</f>
        <v>55265.592949622827</v>
      </c>
      <c r="Q661" s="69">
        <f t="shared" si="109"/>
        <v>368.43728633081884</v>
      </c>
      <c r="R661" s="69">
        <f>G661*(1+0.06)^K661</f>
        <v>11273.773416682483</v>
      </c>
      <c r="S661" s="77">
        <f t="shared" si="110"/>
        <v>3.2680919929224402E-2</v>
      </c>
    </row>
    <row r="662" spans="1:19" ht="15.5" x14ac:dyDescent="0.35">
      <c r="A662" s="3" t="s">
        <v>5362</v>
      </c>
      <c r="B662" s="16" t="s">
        <v>5363</v>
      </c>
      <c r="C662" s="17" t="s">
        <v>5365</v>
      </c>
      <c r="D662" s="17" t="str">
        <f t="shared" si="104"/>
        <v>20/03/82</v>
      </c>
      <c r="E662" s="3" t="s">
        <v>5356</v>
      </c>
      <c r="F662" s="6">
        <v>6661.8559999999989</v>
      </c>
      <c r="G662" s="6">
        <f>IF(F662=0,$Y$3,F662)</f>
        <v>6661.8559999999989</v>
      </c>
      <c r="H662" s="79">
        <f t="shared" si="101"/>
        <v>3</v>
      </c>
      <c r="I662">
        <f t="shared" si="102"/>
        <v>40</v>
      </c>
      <c r="J662">
        <f t="shared" si="103"/>
        <v>0</v>
      </c>
      <c r="K662">
        <f t="shared" si="105"/>
        <v>25</v>
      </c>
      <c r="L662" s="80">
        <f t="shared" si="106"/>
        <v>19</v>
      </c>
      <c r="M662" s="80">
        <f t="shared" si="107"/>
        <v>44</v>
      </c>
      <c r="N662">
        <f t="shared" si="108"/>
        <v>6661.8559999999989</v>
      </c>
      <c r="O662" s="87">
        <f>(((1-((1+$W$11)/(1+$W$10))^(6*(J662+K662)))/($W$10-$W$11))*(1+$W$10)^(6*(J662+K662)))</f>
        <v>718.04386069822795</v>
      </c>
      <c r="P662" s="69">
        <f>N662*0.065*O662</f>
        <v>310927.8121076175</v>
      </c>
      <c r="Q662" s="69">
        <f t="shared" si="109"/>
        <v>2072.85208071745</v>
      </c>
      <c r="R662" s="69">
        <f>G662*(1+0.06)^K662</f>
        <v>28591.824705547471</v>
      </c>
      <c r="S662" s="77">
        <f t="shared" si="110"/>
        <v>7.2498069013247304E-2</v>
      </c>
    </row>
    <row r="663" spans="1:19" ht="15.5" x14ac:dyDescent="0.35">
      <c r="A663" s="3" t="s">
        <v>5366</v>
      </c>
      <c r="B663" s="16" t="s">
        <v>5367</v>
      </c>
      <c r="C663" s="17" t="s">
        <v>5369</v>
      </c>
      <c r="D663" s="17" t="str">
        <f t="shared" si="104"/>
        <v>22/04/98</v>
      </c>
      <c r="E663" s="3" t="s">
        <v>5370</v>
      </c>
      <c r="F663" s="6">
        <v>10591.359999999999</v>
      </c>
      <c r="G663" s="6">
        <f>IF(F663=0,$Y$3,F663)</f>
        <v>10591.359999999999</v>
      </c>
      <c r="H663" s="79">
        <f t="shared" si="101"/>
        <v>16</v>
      </c>
      <c r="I663">
        <f t="shared" si="102"/>
        <v>24</v>
      </c>
      <c r="J663">
        <f t="shared" si="103"/>
        <v>0</v>
      </c>
      <c r="K663">
        <f t="shared" si="105"/>
        <v>41</v>
      </c>
      <c r="L663" s="80">
        <f t="shared" si="106"/>
        <v>6</v>
      </c>
      <c r="M663" s="80">
        <f t="shared" si="107"/>
        <v>47</v>
      </c>
      <c r="N663">
        <f t="shared" si="108"/>
        <v>10591.359999999999</v>
      </c>
      <c r="O663" s="87">
        <f>(((1-((1+$W$11)/(1+$W$10))^(6*(J663+K663)))/($W$10-$W$11))*(1+$W$10)^(6*(J663+K663)))</f>
        <v>3237.3816560572077</v>
      </c>
      <c r="P663" s="69">
        <f>N663*0.065*O663</f>
        <v>2228737.8474853742</v>
      </c>
      <c r="Q663" s="69">
        <f t="shared" si="109"/>
        <v>14858.252316569162</v>
      </c>
      <c r="R663" s="69">
        <f>G663*(1+0.06)^K663</f>
        <v>115476.12602239153</v>
      </c>
      <c r="S663" s="77">
        <f t="shared" si="110"/>
        <v>0.12866947332202724</v>
      </c>
    </row>
    <row r="664" spans="1:19" ht="15.5" x14ac:dyDescent="0.35">
      <c r="A664" s="3" t="s">
        <v>5371</v>
      </c>
      <c r="B664" s="16" t="s">
        <v>5372</v>
      </c>
      <c r="C664" s="17" t="s">
        <v>1655</v>
      </c>
      <c r="D664" s="17" t="str">
        <f t="shared" si="104"/>
        <v>09/05/96</v>
      </c>
      <c r="E664" s="3" t="s">
        <v>5370</v>
      </c>
      <c r="F664" s="6">
        <v>8049.311999999999</v>
      </c>
      <c r="G664" s="6">
        <f>IF(F664=0,$Y$3,F664)</f>
        <v>8049.311999999999</v>
      </c>
      <c r="H664" s="79">
        <f t="shared" si="101"/>
        <v>13</v>
      </c>
      <c r="I664">
        <f t="shared" si="102"/>
        <v>26</v>
      </c>
      <c r="J664">
        <f t="shared" si="103"/>
        <v>0</v>
      </c>
      <c r="K664">
        <f t="shared" si="105"/>
        <v>39</v>
      </c>
      <c r="L664" s="80">
        <f t="shared" si="106"/>
        <v>9</v>
      </c>
      <c r="M664" s="80">
        <f t="shared" si="107"/>
        <v>48</v>
      </c>
      <c r="N664">
        <f t="shared" si="108"/>
        <v>8049.311999999999</v>
      </c>
      <c r="O664" s="87">
        <f>(((1-((1+$W$11)/(1+$W$10))^(6*(J664+K664)))/($W$10-$W$11))*(1+$W$10)^(6*(J664+K664)))</f>
        <v>2713.5031944291845</v>
      </c>
      <c r="P664" s="69">
        <f>N664*0.065*O664</f>
        <v>1419719.1986222158</v>
      </c>
      <c r="Q664" s="69">
        <f t="shared" si="109"/>
        <v>9464.7946574814378</v>
      </c>
      <c r="R664" s="69">
        <f>G664*(1+0.06)^K664</f>
        <v>78106.559264078285</v>
      </c>
      <c r="S664" s="77">
        <f t="shared" si="110"/>
        <v>0.12117797463694395</v>
      </c>
    </row>
    <row r="665" spans="1:19" ht="15.5" x14ac:dyDescent="0.35">
      <c r="A665" s="3" t="s">
        <v>5374</v>
      </c>
      <c r="B665" s="16" t="s">
        <v>5375</v>
      </c>
      <c r="C665" s="17" t="s">
        <v>5377</v>
      </c>
      <c r="D665" s="17" t="str">
        <f t="shared" si="104"/>
        <v>12/12/95</v>
      </c>
      <c r="E665" s="3" t="s">
        <v>5378</v>
      </c>
      <c r="F665" s="6">
        <v>7445.8720000000003</v>
      </c>
      <c r="G665" s="6">
        <f>IF(F665=0,$Y$3,F665)</f>
        <v>7445.8720000000003</v>
      </c>
      <c r="H665" s="79">
        <f t="shared" si="101"/>
        <v>14</v>
      </c>
      <c r="I665">
        <f t="shared" si="102"/>
        <v>27</v>
      </c>
      <c r="J665">
        <f t="shared" si="103"/>
        <v>0</v>
      </c>
      <c r="K665">
        <f t="shared" si="105"/>
        <v>38</v>
      </c>
      <c r="L665" s="80">
        <f t="shared" si="106"/>
        <v>8</v>
      </c>
      <c r="M665" s="80">
        <f t="shared" si="107"/>
        <v>46</v>
      </c>
      <c r="N665">
        <f t="shared" si="108"/>
        <v>7445.8720000000003</v>
      </c>
      <c r="O665" s="87">
        <f>(((1-((1+$W$11)/(1+$W$10))^(6*(J665+K665)))/($W$10-$W$11))*(1+$W$10)^(6*(J665+K665)))</f>
        <v>2481.8865373152853</v>
      </c>
      <c r="P665" s="69">
        <f>N665*0.065*O665</f>
        <v>1201187.6158992345</v>
      </c>
      <c r="Q665" s="69">
        <f t="shared" si="109"/>
        <v>8007.9174393282301</v>
      </c>
      <c r="R665" s="69">
        <f>G665*(1+0.06)^K665</f>
        <v>68161.391231704984</v>
      </c>
      <c r="S665" s="77">
        <f t="shared" si="110"/>
        <v>0.11748465362314056</v>
      </c>
    </row>
    <row r="666" spans="1:19" ht="15.5" x14ac:dyDescent="0.35">
      <c r="A666" s="3" t="s">
        <v>5379</v>
      </c>
      <c r="B666" s="16" t="s">
        <v>5380</v>
      </c>
      <c r="C666" s="17" t="s">
        <v>5382</v>
      </c>
      <c r="D666" s="17" t="str">
        <f t="shared" si="104"/>
        <v>01/10/84</v>
      </c>
      <c r="E666" s="3" t="s">
        <v>3590</v>
      </c>
      <c r="F666" s="6">
        <v>7445.8720000000003</v>
      </c>
      <c r="G666" s="6">
        <f>IF(F666=0,$Y$3,F666)</f>
        <v>7445.8720000000003</v>
      </c>
      <c r="H666" s="79">
        <f t="shared" si="101"/>
        <v>22</v>
      </c>
      <c r="I666">
        <f t="shared" si="102"/>
        <v>38</v>
      </c>
      <c r="J666">
        <f t="shared" si="103"/>
        <v>0</v>
      </c>
      <c r="K666">
        <f t="shared" si="105"/>
        <v>27</v>
      </c>
      <c r="L666" s="80">
        <f t="shared" si="106"/>
        <v>0</v>
      </c>
      <c r="M666" s="80">
        <f t="shared" si="107"/>
        <v>27</v>
      </c>
      <c r="N666">
        <f t="shared" si="108"/>
        <v>7445.8720000000003</v>
      </c>
      <c r="O666" s="87">
        <f>(((1-((1+$W$11)/(1+$W$10))^(6*(J666+K666)))/($W$10-$W$11))*(1+$W$10)^(6*(J666+K666)))</f>
        <v>879.8935468544031</v>
      </c>
      <c r="P666" s="69">
        <f>N666*0.065*O666</f>
        <v>425852.35702775279</v>
      </c>
      <c r="Q666" s="69">
        <f t="shared" si="109"/>
        <v>2839.0157135183517</v>
      </c>
      <c r="R666" s="69">
        <f>G666*(1+0.06)^K666</f>
        <v>35906.570614199969</v>
      </c>
      <c r="S666" s="77">
        <f t="shared" si="110"/>
        <v>7.9066746418707173E-2</v>
      </c>
    </row>
    <row r="667" spans="1:19" ht="15.5" x14ac:dyDescent="0.35">
      <c r="A667" s="3" t="s">
        <v>5383</v>
      </c>
      <c r="B667" s="16" t="s">
        <v>5384</v>
      </c>
      <c r="C667" s="17" t="s">
        <v>5386</v>
      </c>
      <c r="D667" s="17" t="str">
        <f t="shared" si="104"/>
        <v>22/10/97</v>
      </c>
      <c r="E667" s="3" t="s">
        <v>3590</v>
      </c>
      <c r="F667" s="6">
        <v>12709.632</v>
      </c>
      <c r="G667" s="6">
        <f>IF(F667=0,$Y$3,F667)</f>
        <v>12709.632</v>
      </c>
      <c r="H667" s="79">
        <f t="shared" si="101"/>
        <v>12</v>
      </c>
      <c r="I667">
        <f t="shared" si="102"/>
        <v>25</v>
      </c>
      <c r="J667">
        <f t="shared" si="103"/>
        <v>0</v>
      </c>
      <c r="K667">
        <f t="shared" si="105"/>
        <v>40</v>
      </c>
      <c r="L667" s="80">
        <f t="shared" si="106"/>
        <v>10</v>
      </c>
      <c r="M667" s="80">
        <f t="shared" si="107"/>
        <v>50</v>
      </c>
      <c r="N667">
        <f t="shared" si="108"/>
        <v>12709.632</v>
      </c>
      <c r="O667" s="87">
        <f>(((1-((1+$W$11)/(1+$W$10))^(6*(J667+K667)))/($W$10-$W$11))*(1+$W$10)^(6*(J667+K667)))</f>
        <v>2964.8060935111685</v>
      </c>
      <c r="P667" s="69">
        <f>N667*0.065*O667</f>
        <v>2449303.6359924949</v>
      </c>
      <c r="Q667" s="69">
        <f t="shared" si="109"/>
        <v>16328.690906616632</v>
      </c>
      <c r="R667" s="69">
        <f>G667*(1+0.06)^K667</f>
        <v>130727.68983666968</v>
      </c>
      <c r="S667" s="77">
        <f t="shared" si="110"/>
        <v>0.12490613830182107</v>
      </c>
    </row>
    <row r="668" spans="1:19" ht="15.5" x14ac:dyDescent="0.35">
      <c r="A668" s="3" t="s">
        <v>5391</v>
      </c>
      <c r="B668" s="16" t="s">
        <v>5392</v>
      </c>
      <c r="C668" s="17" t="s">
        <v>5394</v>
      </c>
      <c r="D668" s="17" t="str">
        <f t="shared" si="104"/>
        <v>21/10/83</v>
      </c>
      <c r="E668" s="3" t="s">
        <v>5395</v>
      </c>
      <c r="F668" s="6">
        <v>7577.2</v>
      </c>
      <c r="G668" s="6">
        <f>IF(F668=0,$Y$3,F668)</f>
        <v>7577.2</v>
      </c>
      <c r="H668" s="79">
        <f t="shared" si="101"/>
        <v>3</v>
      </c>
      <c r="I668">
        <f t="shared" si="102"/>
        <v>39</v>
      </c>
      <c r="J668">
        <f t="shared" si="103"/>
        <v>0</v>
      </c>
      <c r="K668">
        <f t="shared" si="105"/>
        <v>26</v>
      </c>
      <c r="L668" s="80">
        <f t="shared" si="106"/>
        <v>19</v>
      </c>
      <c r="M668" s="80">
        <f t="shared" si="107"/>
        <v>45</v>
      </c>
      <c r="N668">
        <f t="shared" si="108"/>
        <v>7577.2</v>
      </c>
      <c r="O668" s="87">
        <f>(((1-((1+$W$11)/(1+$W$10))^(6*(J668+K668)))/($W$10-$W$11))*(1+$W$10)^(6*(J668+K668)))</f>
        <v>795.44548998043808</v>
      </c>
      <c r="P668" s="69">
        <f>N668*0.065*O668</f>
        <v>391771.22183418542</v>
      </c>
      <c r="Q668" s="69">
        <f t="shared" si="109"/>
        <v>2611.808145561236</v>
      </c>
      <c r="R668" s="69">
        <f>G668*(1+0.06)^K668</f>
        <v>34471.58458669878</v>
      </c>
      <c r="S668" s="77">
        <f t="shared" si="110"/>
        <v>7.5766988285447992E-2</v>
      </c>
    </row>
    <row r="669" spans="1:19" ht="15.5" x14ac:dyDescent="0.35">
      <c r="A669" s="3" t="s">
        <v>5396</v>
      </c>
      <c r="B669" s="16" t="s">
        <v>5397</v>
      </c>
      <c r="C669" s="17" t="s">
        <v>5399</v>
      </c>
      <c r="D669" s="17" t="str">
        <f t="shared" si="104"/>
        <v>22/01/00</v>
      </c>
      <c r="E669" s="3" t="s">
        <v>5395</v>
      </c>
      <c r="F669" s="6">
        <v>7862.0479999999998</v>
      </c>
      <c r="G669" s="6">
        <f>IF(F669=0,$Y$3,F669)</f>
        <v>7862.0479999999998</v>
      </c>
      <c r="H669" s="79">
        <f t="shared" si="101"/>
        <v>16</v>
      </c>
      <c r="I669">
        <f t="shared" si="102"/>
        <v>22</v>
      </c>
      <c r="J669">
        <f t="shared" si="103"/>
        <v>0</v>
      </c>
      <c r="K669">
        <f t="shared" si="105"/>
        <v>43</v>
      </c>
      <c r="L669" s="80">
        <f t="shared" si="106"/>
        <v>6</v>
      </c>
      <c r="M669" s="80">
        <f t="shared" si="107"/>
        <v>49</v>
      </c>
      <c r="N669">
        <f t="shared" si="108"/>
        <v>7862.0479999999998</v>
      </c>
      <c r="O669" s="87">
        <f>(((1-((1+$W$11)/(1+$W$10))^(6*(J669+K669)))/($W$10-$W$11))*(1+$W$10)^(6*(J669+K669)))</f>
        <v>3853.3236192812783</v>
      </c>
      <c r="P669" s="69">
        <f>N669*0.065*O669</f>
        <v>1969175.9915310037</v>
      </c>
      <c r="Q669" s="69">
        <f t="shared" si="109"/>
        <v>13127.839943540024</v>
      </c>
      <c r="R669" s="69">
        <f>G669*(1+0.06)^K669</f>
        <v>96313.662359078939</v>
      </c>
      <c r="S669" s="77">
        <f t="shared" si="110"/>
        <v>0.13630298777962044</v>
      </c>
    </row>
    <row r="670" spans="1:19" ht="15.5" x14ac:dyDescent="0.35">
      <c r="A670" s="3" t="s">
        <v>5400</v>
      </c>
      <c r="B670" s="16" t="s">
        <v>5401</v>
      </c>
      <c r="C670" s="17" t="s">
        <v>5403</v>
      </c>
      <c r="D670" s="17" t="str">
        <f t="shared" si="104"/>
        <v>05/09/99</v>
      </c>
      <c r="E670" s="3" t="s">
        <v>5395</v>
      </c>
      <c r="F670" s="6">
        <v>6661.8559999999989</v>
      </c>
      <c r="G670" s="6">
        <f>IF(F670=0,$Y$3,F670)</f>
        <v>6661.8559999999989</v>
      </c>
      <c r="H670" s="79">
        <f t="shared" si="101"/>
        <v>14</v>
      </c>
      <c r="I670">
        <f t="shared" si="102"/>
        <v>23</v>
      </c>
      <c r="J670">
        <f t="shared" si="103"/>
        <v>0</v>
      </c>
      <c r="K670">
        <f t="shared" si="105"/>
        <v>42</v>
      </c>
      <c r="L670" s="80">
        <f t="shared" si="106"/>
        <v>8</v>
      </c>
      <c r="M670" s="80">
        <f t="shared" si="107"/>
        <v>50</v>
      </c>
      <c r="N670">
        <f t="shared" si="108"/>
        <v>6661.8559999999989</v>
      </c>
      <c r="O670" s="87">
        <f>(((1-((1+$W$11)/(1+$W$10))^(6*(J670+K670)))/($W$10-$W$11))*(1+$W$10)^(6*(J670+K670)))</f>
        <v>3532.9398561414855</v>
      </c>
      <c r="P670" s="69">
        <f>N670*0.065*O670</f>
        <v>1529835.8775878937</v>
      </c>
      <c r="Q670" s="69">
        <f t="shared" si="109"/>
        <v>10198.905850585958</v>
      </c>
      <c r="R670" s="69">
        <f>G670*(1+0.06)^K670</f>
        <v>76991.287462513486</v>
      </c>
      <c r="S670" s="77">
        <f t="shared" si="110"/>
        <v>0.13246831150280131</v>
      </c>
    </row>
    <row r="671" spans="1:19" ht="15.5" x14ac:dyDescent="0.35">
      <c r="A671" s="3" t="s">
        <v>835</v>
      </c>
      <c r="B671" s="16" t="s">
        <v>3383</v>
      </c>
      <c r="C671" s="17" t="s">
        <v>1668</v>
      </c>
      <c r="D671" s="17" t="str">
        <f t="shared" si="104"/>
        <v>18/08/72</v>
      </c>
      <c r="E671" s="3" t="s">
        <v>5404</v>
      </c>
      <c r="F671" s="6">
        <v>178628.18687999999</v>
      </c>
      <c r="G671" s="6">
        <f>IF(F671=0,$Y$3,F671)</f>
        <v>178628.18687999999</v>
      </c>
      <c r="H671" s="79">
        <f t="shared" si="101"/>
        <v>4</v>
      </c>
      <c r="I671">
        <f t="shared" si="102"/>
        <v>50</v>
      </c>
      <c r="J671">
        <f t="shared" si="103"/>
        <v>4</v>
      </c>
      <c r="K671">
        <f t="shared" si="105"/>
        <v>15</v>
      </c>
      <c r="L671" s="80">
        <f t="shared" si="106"/>
        <v>18</v>
      </c>
      <c r="M671" s="80">
        <f t="shared" si="107"/>
        <v>33</v>
      </c>
      <c r="N671">
        <f t="shared" si="108"/>
        <v>141490.2549033449</v>
      </c>
      <c r="O671" s="87">
        <f>(((1-((1+$W$11)/(1+$W$10))^(6*(J671+K671)))/($W$10-$W$11))*(1+$W$10)^(6*(J671+K671)))</f>
        <v>373.65839639087795</v>
      </c>
      <c r="P671" s="69">
        <f>N671*0.065*O671</f>
        <v>3436486.4138878272</v>
      </c>
      <c r="Q671" s="69">
        <f t="shared" si="109"/>
        <v>22909.90942591885</v>
      </c>
      <c r="R671" s="69">
        <f>G671*(1+0.06)^K671</f>
        <v>428092.84478580696</v>
      </c>
      <c r="S671" s="77">
        <f t="shared" si="110"/>
        <v>5.3516216645437396E-2</v>
      </c>
    </row>
    <row r="672" spans="1:19" ht="15.5" x14ac:dyDescent="0.35">
      <c r="A672" s="3" t="s">
        <v>838</v>
      </c>
      <c r="B672" s="16" t="s">
        <v>3386</v>
      </c>
      <c r="C672" s="17" t="s">
        <v>1671</v>
      </c>
      <c r="D672" s="17" t="str">
        <f t="shared" si="104"/>
        <v>21/02/75</v>
      </c>
      <c r="E672" s="3" t="s">
        <v>5405</v>
      </c>
      <c r="F672" s="6">
        <v>359677.26559999998</v>
      </c>
      <c r="G672" s="6">
        <f>IF(F672=0,$Y$3,F672)</f>
        <v>359677.26559999998</v>
      </c>
      <c r="H672" s="79">
        <f t="shared" si="101"/>
        <v>99</v>
      </c>
      <c r="I672">
        <f t="shared" si="102"/>
        <v>47</v>
      </c>
      <c r="J672">
        <f t="shared" si="103"/>
        <v>5</v>
      </c>
      <c r="K672">
        <f t="shared" si="105"/>
        <v>18</v>
      </c>
      <c r="L672" s="80">
        <f t="shared" si="106"/>
        <v>23</v>
      </c>
      <c r="M672" s="80">
        <f t="shared" si="107"/>
        <v>41</v>
      </c>
      <c r="N672">
        <f t="shared" si="108"/>
        <v>268771.77631371544</v>
      </c>
      <c r="O672" s="87">
        <f>(((1-((1+$W$11)/(1+$W$10))^(6*(J672+K672)))/($W$10-$W$11))*(1+$W$10)^(6*(J672+K672)))</f>
        <v>582.2320727785642</v>
      </c>
      <c r="P672" s="69">
        <f>N672*0.065*O672</f>
        <v>10171690.647788225</v>
      </c>
      <c r="Q672" s="69">
        <f t="shared" si="109"/>
        <v>67811.270985254829</v>
      </c>
      <c r="R672" s="69">
        <f>G672*(1+0.06)^K672</f>
        <v>1026640.9016147043</v>
      </c>
      <c r="S672" s="77">
        <f t="shared" si="110"/>
        <v>6.6051596890987913E-2</v>
      </c>
    </row>
    <row r="673" spans="1:19" ht="15.5" x14ac:dyDescent="0.35">
      <c r="A673" s="3" t="s">
        <v>840</v>
      </c>
      <c r="B673" s="16" t="s">
        <v>3388</v>
      </c>
      <c r="C673" s="17" t="s">
        <v>1176</v>
      </c>
      <c r="D673" s="17" t="str">
        <f t="shared" si="104"/>
        <v>27/02/87</v>
      </c>
      <c r="E673" s="3" t="s">
        <v>5415</v>
      </c>
      <c r="F673" s="6">
        <v>6413.7919999999995</v>
      </c>
      <c r="G673" s="6">
        <f>IF(F673=0,$Y$3,F673)</f>
        <v>6413.7919999999995</v>
      </c>
      <c r="H673" s="79">
        <f t="shared" si="101"/>
        <v>9</v>
      </c>
      <c r="I673">
        <f t="shared" si="102"/>
        <v>35</v>
      </c>
      <c r="J673">
        <f t="shared" si="103"/>
        <v>13</v>
      </c>
      <c r="K673">
        <f t="shared" si="105"/>
        <v>30</v>
      </c>
      <c r="L673" s="80">
        <f t="shared" si="106"/>
        <v>13</v>
      </c>
      <c r="M673" s="80">
        <f t="shared" si="107"/>
        <v>43</v>
      </c>
      <c r="N673">
        <f t="shared" si="108"/>
        <v>3007.0359701464686</v>
      </c>
      <c r="O673" s="87">
        <f>(((1-((1+$W$11)/(1+$W$10))^(6*(J673+K673)))/($W$10-$W$11))*(1+$W$10)^(6*(J673+K673)))</f>
        <v>3853.3236192812783</v>
      </c>
      <c r="P673" s="69">
        <f>N673*0.065*O673</f>
        <v>753160.37730659568</v>
      </c>
      <c r="Q673" s="69">
        <f t="shared" si="109"/>
        <v>5021.0691820439715</v>
      </c>
      <c r="R673" s="69">
        <f>G673*(1+0.06)^K673</f>
        <v>36837.557736901676</v>
      </c>
      <c r="S673" s="77">
        <f t="shared" si="110"/>
        <v>0.13630298777962044</v>
      </c>
    </row>
    <row r="674" spans="1:19" ht="15.5" x14ac:dyDescent="0.35">
      <c r="A674" s="3" t="s">
        <v>841</v>
      </c>
      <c r="B674" s="16" t="s">
        <v>3389</v>
      </c>
      <c r="C674" s="17" t="s">
        <v>1672</v>
      </c>
      <c r="D674" s="17" t="str">
        <f t="shared" si="104"/>
        <v>02/01/88</v>
      </c>
      <c r="E674" s="3" t="s">
        <v>5416</v>
      </c>
      <c r="F674" s="6">
        <v>6413.7919999999995</v>
      </c>
      <c r="G674" s="6">
        <f>IF(F674=0,$Y$3,F674)</f>
        <v>6413.7919999999995</v>
      </c>
      <c r="H674" s="79">
        <f t="shared" si="101"/>
        <v>9</v>
      </c>
      <c r="I674">
        <f t="shared" si="102"/>
        <v>34</v>
      </c>
      <c r="J674">
        <f t="shared" si="103"/>
        <v>10</v>
      </c>
      <c r="K674">
        <f t="shared" si="105"/>
        <v>31</v>
      </c>
      <c r="L674" s="80">
        <f t="shared" si="106"/>
        <v>13</v>
      </c>
      <c r="M674" s="80">
        <f t="shared" si="107"/>
        <v>44</v>
      </c>
      <c r="N674">
        <f t="shared" si="108"/>
        <v>3581.4279530199674</v>
      </c>
      <c r="O674" s="87">
        <f>(((1-((1+$W$11)/(1+$W$10))^(6*(J674+K674)))/($W$10-$W$11))*(1+$W$10)^(6*(J674+K674)))</f>
        <v>3237.3816560572077</v>
      </c>
      <c r="P674" s="69">
        <f>N674*0.065*O674</f>
        <v>753639.19524382823</v>
      </c>
      <c r="Q674" s="69">
        <f t="shared" si="109"/>
        <v>5024.2613016255218</v>
      </c>
      <c r="R674" s="69">
        <f>G674*(1+0.06)^K674</f>
        <v>39047.811201115786</v>
      </c>
      <c r="S674" s="77">
        <f t="shared" si="110"/>
        <v>0.12866947332202719</v>
      </c>
    </row>
    <row r="675" spans="1:19" ht="15.5" x14ac:dyDescent="0.35">
      <c r="A675" s="3" t="s">
        <v>845</v>
      </c>
      <c r="B675" s="16" t="s">
        <v>3393</v>
      </c>
      <c r="C675" s="17" t="s">
        <v>1675</v>
      </c>
      <c r="D675" s="17" t="str">
        <f t="shared" si="104"/>
        <v>05/01/88</v>
      </c>
      <c r="E675" s="3" t="s">
        <v>5417</v>
      </c>
      <c r="F675" s="6">
        <v>9307.5679999999993</v>
      </c>
      <c r="G675" s="6">
        <f>IF(F675=0,$Y$3,F675)</f>
        <v>9307.5679999999993</v>
      </c>
      <c r="H675" s="79">
        <f t="shared" si="101"/>
        <v>7</v>
      </c>
      <c r="I675">
        <f t="shared" si="102"/>
        <v>34</v>
      </c>
      <c r="J675">
        <f t="shared" si="103"/>
        <v>6</v>
      </c>
      <c r="K675">
        <f t="shared" si="105"/>
        <v>31</v>
      </c>
      <c r="L675" s="80">
        <f t="shared" si="106"/>
        <v>15</v>
      </c>
      <c r="M675" s="80">
        <f t="shared" si="107"/>
        <v>46</v>
      </c>
      <c r="N675">
        <f t="shared" si="108"/>
        <v>6561.4681674590365</v>
      </c>
      <c r="O675" s="87">
        <f>(((1-((1+$W$11)/(1+$W$10))^(6*(J675+K675)))/($W$10-$W$11))*(1+$W$10)^(6*(J675+K675)))</f>
        <v>2268.4845089511282</v>
      </c>
      <c r="P675" s="69">
        <f>N675*0.065*O675</f>
        <v>967498.27810069022</v>
      </c>
      <c r="Q675" s="69">
        <f t="shared" si="109"/>
        <v>6449.9885206712679</v>
      </c>
      <c r="R675" s="69">
        <f>G675*(1+0.06)^K675</f>
        <v>56665.410728247327</v>
      </c>
      <c r="S675" s="77">
        <f t="shared" si="110"/>
        <v>0.11382584962815759</v>
      </c>
    </row>
    <row r="676" spans="1:19" ht="15.5" x14ac:dyDescent="0.35">
      <c r="A676" s="3" t="s">
        <v>846</v>
      </c>
      <c r="B676" s="16" t="s">
        <v>3394</v>
      </c>
      <c r="C676" s="17" t="s">
        <v>1676</v>
      </c>
      <c r="D676" s="17" t="str">
        <f t="shared" si="104"/>
        <v>19/05/89</v>
      </c>
      <c r="E676" s="3" t="s">
        <v>5418</v>
      </c>
      <c r="F676" s="6">
        <v>16143.615999999998</v>
      </c>
      <c r="G676" s="6">
        <f>IF(F676=0,$Y$3,F676)</f>
        <v>16143.615999999998</v>
      </c>
      <c r="H676" s="79">
        <f t="shared" si="101"/>
        <v>12</v>
      </c>
      <c r="I676">
        <f t="shared" si="102"/>
        <v>33</v>
      </c>
      <c r="J676">
        <f t="shared" si="103"/>
        <v>5</v>
      </c>
      <c r="K676">
        <f t="shared" si="105"/>
        <v>32</v>
      </c>
      <c r="L676" s="80">
        <f t="shared" si="106"/>
        <v>10</v>
      </c>
      <c r="M676" s="80">
        <f t="shared" si="107"/>
        <v>42</v>
      </c>
      <c r="N676">
        <f t="shared" si="108"/>
        <v>12063.448995611241</v>
      </c>
      <c r="O676" s="87">
        <f>(((1-((1+$W$11)/(1+$W$10))^(6*(J676+K676)))/($W$10-$W$11))*(1+$W$10)^(6*(J676+K676)))</f>
        <v>2268.4845089511282</v>
      </c>
      <c r="P676" s="69">
        <f>N676*0.065*O676</f>
        <v>1778773.5661192997</v>
      </c>
      <c r="Q676" s="69">
        <f t="shared" si="109"/>
        <v>11858.490440795331</v>
      </c>
      <c r="R676" s="69">
        <f>G676*(1+0.06)^K676</f>
        <v>104180.99649187105</v>
      </c>
      <c r="S676" s="77">
        <f t="shared" si="110"/>
        <v>0.11382584962815763</v>
      </c>
    </row>
    <row r="677" spans="1:19" ht="15.5" x14ac:dyDescent="0.35">
      <c r="A677" s="3" t="s">
        <v>852</v>
      </c>
      <c r="B677" s="16" t="s">
        <v>3400</v>
      </c>
      <c r="C677" s="17" t="s">
        <v>1682</v>
      </c>
      <c r="D677" s="17" t="str">
        <f t="shared" si="104"/>
        <v>21/10/65</v>
      </c>
      <c r="E677" s="3" t="s">
        <v>5423</v>
      </c>
      <c r="F677" s="6">
        <v>5632.2079999999996</v>
      </c>
      <c r="G677" s="6">
        <f>IF(F677=0,$Y$3,F677)</f>
        <v>5632.2079999999996</v>
      </c>
      <c r="H677" s="79">
        <f t="shared" si="101"/>
        <v>99</v>
      </c>
      <c r="I677">
        <f t="shared" si="102"/>
        <v>57</v>
      </c>
      <c r="J677">
        <f t="shared" si="103"/>
        <v>5</v>
      </c>
      <c r="K677">
        <f t="shared" si="105"/>
        <v>8</v>
      </c>
      <c r="L677" s="80">
        <f t="shared" si="106"/>
        <v>23</v>
      </c>
      <c r="M677" s="80">
        <f t="shared" si="107"/>
        <v>31</v>
      </c>
      <c r="N677">
        <f t="shared" si="108"/>
        <v>4208.7134592815883</v>
      </c>
      <c r="O677" s="87">
        <f>(((1-((1+$W$11)/(1+$W$10))^(6*(J677+K677)))/($W$10-$W$11))*(1+$W$10)^(6*(J677+K677)))</f>
        <v>175.10129702621214</v>
      </c>
      <c r="P677" s="69">
        <f>N677*0.065*O677</f>
        <v>47901.827059572344</v>
      </c>
      <c r="Q677" s="69">
        <f t="shared" si="109"/>
        <v>319.34551373048231</v>
      </c>
      <c r="R677" s="69">
        <f>G677*(1+0.06)^K677</f>
        <v>8976.883876157206</v>
      </c>
      <c r="S677" s="77">
        <f t="shared" si="110"/>
        <v>3.5574205719500367E-2</v>
      </c>
    </row>
    <row r="678" spans="1:19" ht="15.5" x14ac:dyDescent="0.35">
      <c r="A678" s="3" t="s">
        <v>855</v>
      </c>
      <c r="B678" s="16" t="s">
        <v>3403</v>
      </c>
      <c r="C678" s="17" t="s">
        <v>1685</v>
      </c>
      <c r="D678" s="17" t="str">
        <f t="shared" si="104"/>
        <v>12/12/80</v>
      </c>
      <c r="E678" s="3" t="s">
        <v>5424</v>
      </c>
      <c r="F678" s="6">
        <v>15598.848</v>
      </c>
      <c r="G678" s="6">
        <f>IF(F678=0,$Y$3,F678)</f>
        <v>15598.848</v>
      </c>
      <c r="H678" s="79">
        <f t="shared" si="101"/>
        <v>19</v>
      </c>
      <c r="I678">
        <f t="shared" si="102"/>
        <v>42</v>
      </c>
      <c r="J678">
        <f t="shared" si="103"/>
        <v>3</v>
      </c>
      <c r="K678">
        <f t="shared" si="105"/>
        <v>23</v>
      </c>
      <c r="L678" s="80">
        <f t="shared" si="106"/>
        <v>3</v>
      </c>
      <c r="M678" s="80">
        <f t="shared" si="107"/>
        <v>26</v>
      </c>
      <c r="N678">
        <f t="shared" si="108"/>
        <v>13097.093573889852</v>
      </c>
      <c r="O678" s="87">
        <f>(((1-((1+$W$11)/(1+$W$10))^(6*(J678+K678)))/($W$10-$W$11))*(1+$W$10)^(6*(J678+K678)))</f>
        <v>795.44548998043808</v>
      </c>
      <c r="P678" s="69">
        <f>N678*0.065*O678</f>
        <v>677171.56098815997</v>
      </c>
      <c r="Q678" s="69">
        <f t="shared" si="109"/>
        <v>4514.4770732543993</v>
      </c>
      <c r="R678" s="69">
        <f>G678*(1+0.06)^K678</f>
        <v>59583.694368929588</v>
      </c>
      <c r="S678" s="77">
        <f t="shared" si="110"/>
        <v>7.576698828544795E-2</v>
      </c>
    </row>
    <row r="679" spans="1:19" ht="15.5" x14ac:dyDescent="0.35">
      <c r="A679" s="3" t="s">
        <v>5429</v>
      </c>
      <c r="B679" s="16" t="s">
        <v>2811</v>
      </c>
      <c r="C679" s="17" t="s">
        <v>1121</v>
      </c>
      <c r="D679" s="17" t="str">
        <f t="shared" si="104"/>
        <v>09/02/89</v>
      </c>
      <c r="E679" s="71" t="s">
        <v>5430</v>
      </c>
      <c r="F679" s="6">
        <v>28382.643428320196</v>
      </c>
      <c r="G679" s="6">
        <f>IF(F679=0,$Y$3,F679)</f>
        <v>28382.643428320196</v>
      </c>
      <c r="H679" s="79">
        <f t="shared" si="101"/>
        <v>9</v>
      </c>
      <c r="I679">
        <f t="shared" si="102"/>
        <v>33</v>
      </c>
      <c r="J679">
        <f t="shared" si="103"/>
        <v>8</v>
      </c>
      <c r="K679">
        <f t="shared" si="105"/>
        <v>32</v>
      </c>
      <c r="L679" s="80">
        <f t="shared" si="106"/>
        <v>13</v>
      </c>
      <c r="M679" s="80">
        <f t="shared" si="107"/>
        <v>45</v>
      </c>
      <c r="N679">
        <f t="shared" si="108"/>
        <v>17807.621618311881</v>
      </c>
      <c r="O679" s="87">
        <f>(((1-((1+$W$11)/(1+$W$10))^(6*(J679+K679)))/($W$10-$W$11))*(1+$W$10)^(6*(J679+K679)))</f>
        <v>2964.8060935111685</v>
      </c>
      <c r="P679" s="69">
        <f>N679*0.065*O679</f>
        <v>3431749.4305192982</v>
      </c>
      <c r="Q679" s="69">
        <f t="shared" si="109"/>
        <v>22878.329536795321</v>
      </c>
      <c r="R679" s="69">
        <f>G679*(1+0.06)^K679</f>
        <v>183164.17309702197</v>
      </c>
      <c r="S679" s="77">
        <f t="shared" si="110"/>
        <v>0.12490613830182108</v>
      </c>
    </row>
    <row r="680" spans="1:19" ht="15.5" x14ac:dyDescent="0.35">
      <c r="A680" s="3" t="s">
        <v>490</v>
      </c>
      <c r="B680" s="16" t="s">
        <v>2843</v>
      </c>
      <c r="C680" s="17" t="s">
        <v>1153</v>
      </c>
      <c r="D680" s="17" t="str">
        <f t="shared" si="104"/>
        <v>19/02/89</v>
      </c>
      <c r="E680" s="3" t="s">
        <v>5431</v>
      </c>
      <c r="F680" s="6">
        <v>14395.007999999998</v>
      </c>
      <c r="G680" s="6">
        <f>IF(F680=0,$Y$3,F680)</f>
        <v>14395.007999999998</v>
      </c>
      <c r="H680" s="79">
        <f t="shared" si="101"/>
        <v>7</v>
      </c>
      <c r="I680">
        <f t="shared" si="102"/>
        <v>33</v>
      </c>
      <c r="J680">
        <f t="shared" si="103"/>
        <v>7</v>
      </c>
      <c r="K680">
        <f t="shared" si="105"/>
        <v>32</v>
      </c>
      <c r="L680" s="80">
        <f t="shared" si="106"/>
        <v>15</v>
      </c>
      <c r="M680" s="80">
        <f t="shared" si="107"/>
        <v>47</v>
      </c>
      <c r="N680">
        <f t="shared" si="108"/>
        <v>9573.5024710504349</v>
      </c>
      <c r="O680" s="87">
        <f>(((1-((1+$W$11)/(1+$W$10))^(6*(J680+K680)))/($W$10-$W$11))*(1+$W$10)^(6*(J680+K680)))</f>
        <v>2713.5031944291845</v>
      </c>
      <c r="P680" s="69">
        <f>N680*0.065*O680</f>
        <v>1688552.4199096183</v>
      </c>
      <c r="Q680" s="69">
        <f t="shared" si="109"/>
        <v>11257.016132730789</v>
      </c>
      <c r="R680" s="69">
        <f>G680*(1+0.06)^K680</f>
        <v>92896.552912832893</v>
      </c>
      <c r="S680" s="77">
        <f t="shared" si="110"/>
        <v>0.12117797463694398</v>
      </c>
    </row>
    <row r="681" spans="1:19" ht="15.5" x14ac:dyDescent="0.35">
      <c r="A681" s="3" t="s">
        <v>5436</v>
      </c>
      <c r="B681" s="16" t="s">
        <v>2655</v>
      </c>
      <c r="C681" s="17" t="s">
        <v>967</v>
      </c>
      <c r="D681" s="17" t="str">
        <f t="shared" si="104"/>
        <v>10/09/88</v>
      </c>
      <c r="E681" s="3" t="s">
        <v>3497</v>
      </c>
      <c r="F681" s="6">
        <v>13859.664000000001</v>
      </c>
      <c r="G681" s="6">
        <f>IF(F681=0,$Y$3,F681)</f>
        <v>13859.664000000001</v>
      </c>
      <c r="H681" s="79">
        <f t="shared" si="101"/>
        <v>10</v>
      </c>
      <c r="I681">
        <f t="shared" si="102"/>
        <v>34</v>
      </c>
      <c r="J681">
        <f t="shared" si="103"/>
        <v>12</v>
      </c>
      <c r="K681">
        <f t="shared" si="105"/>
        <v>31</v>
      </c>
      <c r="L681" s="80">
        <f t="shared" si="106"/>
        <v>12</v>
      </c>
      <c r="M681" s="80">
        <f t="shared" si="107"/>
        <v>43</v>
      </c>
      <c r="N681">
        <f t="shared" si="108"/>
        <v>6887.8283974710657</v>
      </c>
      <c r="O681" s="87">
        <f>(((1-((1+$W$11)/(1+$W$10))^(6*(J681+K681)))/($W$10-$W$11))*(1+$W$10)^(6*(J681+K681)))</f>
        <v>3853.3236192812783</v>
      </c>
      <c r="P681" s="69">
        <f>N681*0.065*O681</f>
        <v>1725167.0702195524</v>
      </c>
      <c r="Q681" s="69">
        <f t="shared" si="109"/>
        <v>11501.113801463682</v>
      </c>
      <c r="R681" s="69">
        <f>G681*(1+0.06)^K681</f>
        <v>84379.029314156316</v>
      </c>
      <c r="S681" s="77">
        <f t="shared" si="110"/>
        <v>0.13630298777962041</v>
      </c>
    </row>
    <row r="682" spans="1:19" ht="15.5" x14ac:dyDescent="0.35">
      <c r="A682" s="3" t="s">
        <v>474</v>
      </c>
      <c r="B682" s="16" t="s">
        <v>2588</v>
      </c>
      <c r="C682" s="17" t="s">
        <v>902</v>
      </c>
      <c r="D682" s="17" t="str">
        <f t="shared" si="104"/>
        <v>24/05/83</v>
      </c>
      <c r="E682" s="3" t="s">
        <v>5437</v>
      </c>
      <c r="F682" s="6">
        <v>19075.392</v>
      </c>
      <c r="G682" s="6">
        <f>IF(F682=0,$Y$3,F682)</f>
        <v>19075.392</v>
      </c>
      <c r="H682" s="79">
        <f t="shared" si="101"/>
        <v>2</v>
      </c>
      <c r="I682">
        <f t="shared" si="102"/>
        <v>39</v>
      </c>
      <c r="J682">
        <f t="shared" si="103"/>
        <v>16</v>
      </c>
      <c r="K682">
        <f t="shared" si="105"/>
        <v>26</v>
      </c>
      <c r="L682" s="80">
        <f t="shared" si="106"/>
        <v>20</v>
      </c>
      <c r="M682" s="80">
        <f t="shared" si="107"/>
        <v>46</v>
      </c>
      <c r="N682">
        <f t="shared" si="108"/>
        <v>7508.9571711643803</v>
      </c>
      <c r="O682" s="87">
        <f>(((1-((1+$W$11)/(1+$W$10))^(6*(J682+K682)))/($W$10-$W$11))*(1+$W$10)^(6*(J682+K682)))</f>
        <v>3532.9398561414855</v>
      </c>
      <c r="P682" s="69">
        <f>N682*0.065*O682</f>
        <v>1724365.1144242941</v>
      </c>
      <c r="Q682" s="69">
        <f t="shared" si="109"/>
        <v>11495.767429495294</v>
      </c>
      <c r="R682" s="69">
        <f>G682*(1+0.06)^K682</f>
        <v>86781.26337597493</v>
      </c>
      <c r="S682" s="77">
        <f t="shared" si="110"/>
        <v>0.13246831150280136</v>
      </c>
    </row>
    <row r="683" spans="1:19" ht="15.5" x14ac:dyDescent="0.35">
      <c r="A683" s="3" t="s">
        <v>5438</v>
      </c>
      <c r="B683" s="16" t="s">
        <v>5439</v>
      </c>
      <c r="C683" s="17" t="s">
        <v>5441</v>
      </c>
      <c r="D683" s="17" t="str">
        <f t="shared" si="104"/>
        <v>07/05/90</v>
      </c>
      <c r="E683" s="3" t="s">
        <v>3952</v>
      </c>
      <c r="F683" s="6">
        <v>13768.768</v>
      </c>
      <c r="G683" s="6">
        <f>IF(F683=0,$Y$3,F683)</f>
        <v>13768.768</v>
      </c>
      <c r="H683" s="79">
        <f t="shared" si="101"/>
        <v>9</v>
      </c>
      <c r="I683">
        <f t="shared" si="102"/>
        <v>32</v>
      </c>
      <c r="J683">
        <f t="shared" si="103"/>
        <v>0</v>
      </c>
      <c r="K683">
        <f t="shared" si="105"/>
        <v>33</v>
      </c>
      <c r="L683" s="80">
        <f t="shared" si="106"/>
        <v>13</v>
      </c>
      <c r="M683" s="80">
        <f t="shared" si="107"/>
        <v>46</v>
      </c>
      <c r="N683">
        <f t="shared" si="108"/>
        <v>13768.768</v>
      </c>
      <c r="O683" s="87">
        <f>(((1-((1+$W$11)/(1+$W$10))^(6*(J683+K683)))/($W$10-$W$11))*(1+$W$10)^(6*(J683+K683)))</f>
        <v>1571.1687390454781</v>
      </c>
      <c r="P683" s="69">
        <f>N683*0.065*O683</f>
        <v>1406148.7606900325</v>
      </c>
      <c r="Q683" s="69">
        <f t="shared" si="109"/>
        <v>9374.3250712668832</v>
      </c>
      <c r="R683" s="69">
        <f>G683*(1+0.06)^K683</f>
        <v>94186.495079399174</v>
      </c>
      <c r="S683" s="77">
        <f t="shared" si="110"/>
        <v>9.9529397111171106E-2</v>
      </c>
    </row>
    <row r="684" spans="1:19" ht="15.5" x14ac:dyDescent="0.35">
      <c r="A684" s="3" t="s">
        <v>329</v>
      </c>
      <c r="B684" s="16" t="s">
        <v>2737</v>
      </c>
      <c r="C684" s="17" t="s">
        <v>1048</v>
      </c>
      <c r="D684" s="17" t="str">
        <f t="shared" si="104"/>
        <v>30/09/90</v>
      </c>
      <c r="E684" s="3" t="s">
        <v>5442</v>
      </c>
      <c r="F684" s="6">
        <v>18611.184000000001</v>
      </c>
      <c r="G684" s="6">
        <f>IF(F684=0,$Y$3,F684)</f>
        <v>18611.184000000001</v>
      </c>
      <c r="H684" s="79">
        <f t="shared" si="101"/>
        <v>12</v>
      </c>
      <c r="I684">
        <f t="shared" si="102"/>
        <v>32</v>
      </c>
      <c r="J684">
        <f t="shared" si="103"/>
        <v>9</v>
      </c>
      <c r="K684">
        <f t="shared" si="105"/>
        <v>33</v>
      </c>
      <c r="L684" s="80">
        <f t="shared" si="106"/>
        <v>10</v>
      </c>
      <c r="M684" s="80">
        <f t="shared" si="107"/>
        <v>43</v>
      </c>
      <c r="N684">
        <f t="shared" si="108"/>
        <v>11015.931214074584</v>
      </c>
      <c r="O684" s="87">
        <f>(((1-((1+$W$11)/(1+$W$10))^(6*(J684+K684)))/($W$10-$W$11))*(1+$W$10)^(6*(J684+K684)))</f>
        <v>3532.9398561414855</v>
      </c>
      <c r="P684" s="69">
        <f>N684*0.065*O684</f>
        <v>2529710.4585166154</v>
      </c>
      <c r="Q684" s="69">
        <f t="shared" si="109"/>
        <v>16864.736390110771</v>
      </c>
      <c r="R684" s="69">
        <f>G684*(1+0.06)^K684</f>
        <v>127311.47697730055</v>
      </c>
      <c r="S684" s="77">
        <f t="shared" si="110"/>
        <v>0.13246831150280133</v>
      </c>
    </row>
    <row r="685" spans="1:19" x14ac:dyDescent="0.35">
      <c r="G685" s="81">
        <v>15869.198296778324</v>
      </c>
      <c r="H685">
        <v>10</v>
      </c>
      <c r="I685">
        <v>31</v>
      </c>
      <c r="J685">
        <v>3</v>
      </c>
      <c r="K685">
        <f t="shared" si="105"/>
        <v>34</v>
      </c>
      <c r="L685" s="80">
        <f t="shared" si="106"/>
        <v>12</v>
      </c>
      <c r="M685" s="80">
        <f t="shared" si="107"/>
        <v>46</v>
      </c>
      <c r="N685">
        <f t="shared" si="108"/>
        <v>13324.084896238439</v>
      </c>
      <c r="O685" s="87">
        <f>(((1-((1+$W$11)/(1+$W$10))^(6*(J685+K685)))/($W$10-$W$11))*(1+$W$10)^(6*(J685+K685)))</f>
        <v>2268.4845089511282</v>
      </c>
      <c r="P685" s="69">
        <f>N685*0.065*O685</f>
        <v>1964656.211899329</v>
      </c>
      <c r="Q685" s="69">
        <f t="shared" si="109"/>
        <v>13097.708079328861</v>
      </c>
      <c r="R685" s="69">
        <f>G685*(1+0.06)^K685</f>
        <v>115067.95795608821</v>
      </c>
      <c r="S685" s="77">
        <f t="shared" ref="S685" si="111">Q685/R685</f>
        <v>0.11382584962815763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B5904-8CD8-4347-87A0-743B16E040CF}">
  <dimension ref="A1:D12"/>
  <sheetViews>
    <sheetView tabSelected="1" topLeftCell="A3" workbookViewId="0">
      <selection activeCell="C8" sqref="C8"/>
    </sheetView>
  </sheetViews>
  <sheetFormatPr baseColWidth="10" defaultRowHeight="15.5" x14ac:dyDescent="0.35"/>
  <cols>
    <col min="1" max="1" width="35.90625" style="91" customWidth="1"/>
    <col min="2" max="2" width="22" style="66" customWidth="1"/>
    <col min="3" max="3" width="22.54296875" style="66" customWidth="1"/>
    <col min="4" max="4" width="29.26953125" customWidth="1"/>
  </cols>
  <sheetData>
    <row r="1" spans="1:4" ht="72.5" x14ac:dyDescent="0.35">
      <c r="A1" s="91" t="s">
        <v>6356</v>
      </c>
      <c r="B1" s="66" t="s">
        <v>6375</v>
      </c>
      <c r="C1" s="66" t="s">
        <v>6387</v>
      </c>
    </row>
    <row r="2" spans="1:4" x14ac:dyDescent="0.35">
      <c r="A2" s="91" t="s">
        <v>6343</v>
      </c>
      <c r="B2" s="66" t="s">
        <v>6357</v>
      </c>
    </row>
    <row r="3" spans="1:4" ht="58" x14ac:dyDescent="0.35">
      <c r="A3" s="94" t="s">
        <v>6349</v>
      </c>
      <c r="B3" s="66" t="s">
        <v>6373</v>
      </c>
      <c r="C3" s="92"/>
    </row>
    <row r="4" spans="1:4" ht="15.5" customHeight="1" x14ac:dyDescent="0.35">
      <c r="A4" s="94"/>
      <c r="B4" s="66" t="s">
        <v>6363</v>
      </c>
      <c r="C4" s="92"/>
    </row>
    <row r="5" spans="1:4" x14ac:dyDescent="0.35">
      <c r="A5" s="91" t="s">
        <v>6350</v>
      </c>
      <c r="B5" s="66" t="s">
        <v>6351</v>
      </c>
    </row>
    <row r="6" spans="1:4" ht="29" x14ac:dyDescent="0.35">
      <c r="A6" s="91" t="s">
        <v>6352</v>
      </c>
      <c r="B6" s="66" t="s">
        <v>6374</v>
      </c>
    </row>
    <row r="7" spans="1:4" ht="29" x14ac:dyDescent="0.35">
      <c r="A7" s="91" t="s">
        <v>6353</v>
      </c>
      <c r="B7" s="66" t="s">
        <v>6354</v>
      </c>
    </row>
    <row r="8" spans="1:4" ht="43.5" x14ac:dyDescent="0.35">
      <c r="A8" s="91" t="s">
        <v>6355</v>
      </c>
      <c r="B8" s="92" t="s">
        <v>6362</v>
      </c>
      <c r="C8" s="66" t="s">
        <v>6391</v>
      </c>
      <c r="D8" s="66" t="s">
        <v>6376</v>
      </c>
    </row>
    <row r="9" spans="1:4" x14ac:dyDescent="0.35">
      <c r="A9" s="91" t="s">
        <v>6364</v>
      </c>
      <c r="B9" s="66" t="s">
        <v>6365</v>
      </c>
    </row>
    <row r="10" spans="1:4" x14ac:dyDescent="0.35">
      <c r="A10" s="91" t="s">
        <v>6366</v>
      </c>
      <c r="B10" s="66" t="s">
        <v>6365</v>
      </c>
    </row>
    <row r="11" spans="1:4" ht="29" x14ac:dyDescent="0.35">
      <c r="A11" s="91" t="s">
        <v>6367</v>
      </c>
      <c r="B11" s="66" t="s">
        <v>6368</v>
      </c>
      <c r="C11" s="66" t="s">
        <v>6369</v>
      </c>
    </row>
    <row r="12" spans="1:4" x14ac:dyDescent="0.35">
      <c r="A12" s="91" t="s">
        <v>6370</v>
      </c>
      <c r="B12" s="66" t="s">
        <v>6371</v>
      </c>
    </row>
  </sheetData>
  <mergeCells count="1">
    <mergeCell ref="A3:A4"/>
  </mergeCells>
  <pageMargins left="0.7" right="0.7" top="0.75" bottom="0.75" header="0.3" footer="0.3"/>
  <pageSetup paperSize="9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9CA7-990C-4AE9-A8C0-21B7FD7DEFDE}">
  <dimension ref="A1:K12"/>
  <sheetViews>
    <sheetView topLeftCell="B1" workbookViewId="0">
      <selection activeCell="F7" sqref="F7"/>
    </sheetView>
  </sheetViews>
  <sheetFormatPr baseColWidth="10" defaultRowHeight="14.5" x14ac:dyDescent="0.35"/>
  <cols>
    <col min="1" max="1" width="36.90625" bestFit="1" customWidth="1"/>
    <col min="2" max="4" width="17.6328125" customWidth="1"/>
    <col min="5" max="5" width="22.54296875" customWidth="1"/>
    <col min="6" max="6" width="13" bestFit="1" customWidth="1"/>
    <col min="7" max="7" width="13" customWidth="1"/>
    <col min="8" max="8" width="12.7265625" customWidth="1"/>
    <col min="9" max="9" width="11.6328125" customWidth="1"/>
    <col min="11" max="12" width="12.1796875" customWidth="1"/>
  </cols>
  <sheetData>
    <row r="1" spans="1:11" s="91" customFormat="1" ht="62" x14ac:dyDescent="0.35">
      <c r="A1" s="91" t="s">
        <v>6382</v>
      </c>
      <c r="C1" s="91" t="s">
        <v>6358</v>
      </c>
      <c r="D1" s="91" t="s">
        <v>6359</v>
      </c>
      <c r="E1" s="91" t="s">
        <v>6360</v>
      </c>
      <c r="F1" s="91" t="s">
        <v>6372</v>
      </c>
      <c r="H1" s="91" t="s">
        <v>6361</v>
      </c>
      <c r="J1" s="91" t="s">
        <v>6377</v>
      </c>
      <c r="K1" s="91" t="s">
        <v>6379</v>
      </c>
    </row>
    <row r="2" spans="1:11" x14ac:dyDescent="0.35">
      <c r="A2" s="20" t="s">
        <v>6329</v>
      </c>
      <c r="B2">
        <v>25</v>
      </c>
      <c r="C2">
        <v>98</v>
      </c>
      <c r="D2" s="81">
        <f>'73'!U2</f>
        <v>23134.75523278915</v>
      </c>
      <c r="E2" s="80">
        <f>AVERAGE('73'!H2:H232)</f>
        <v>51.272727272727273</v>
      </c>
      <c r="F2" s="80">
        <f>AVERAGE('73'!I2:I232)</f>
        <v>13.727272727272727</v>
      </c>
      <c r="G2" s="80"/>
      <c r="H2">
        <v>7.1</v>
      </c>
      <c r="J2">
        <f>MODE('73'!H2:H232)</f>
        <v>51</v>
      </c>
      <c r="K2">
        <f>65-J2</f>
        <v>14</v>
      </c>
    </row>
    <row r="3" spans="1:11" x14ac:dyDescent="0.35">
      <c r="A3" s="20">
        <v>97</v>
      </c>
      <c r="B3">
        <v>75</v>
      </c>
      <c r="C3" s="88">
        <f>'97'!T2</f>
        <v>0.10509199746349203</v>
      </c>
      <c r="D3" s="81">
        <f>AVERAGE('97'!G2:G684)</f>
        <v>15869.198296778324</v>
      </c>
      <c r="E3" s="80">
        <f>AVERAGE('97'!I2:I684)</f>
        <v>34.133235724743777</v>
      </c>
      <c r="F3" s="80">
        <f>AVERAGE('97'!K2:K684)</f>
        <v>30.866764275256223</v>
      </c>
      <c r="G3" s="80"/>
      <c r="H3">
        <v>3.4</v>
      </c>
      <c r="J3">
        <f>MODE('97'!I2:I684)</f>
        <v>31</v>
      </c>
      <c r="K3">
        <f>65-J3</f>
        <v>34</v>
      </c>
    </row>
    <row r="6" spans="1:11" s="93" customFormat="1" ht="58" x14ac:dyDescent="0.35">
      <c r="C6" s="93" t="s">
        <v>6330</v>
      </c>
      <c r="D6" s="93" t="s">
        <v>6381</v>
      </c>
      <c r="E6" s="93" t="s">
        <v>6380</v>
      </c>
      <c r="F6" s="93" t="s">
        <v>6384</v>
      </c>
      <c r="G6" s="93" t="s">
        <v>6388</v>
      </c>
      <c r="H6" s="93" t="s">
        <v>6386</v>
      </c>
      <c r="I6" s="93" t="s">
        <v>6389</v>
      </c>
      <c r="J6" s="93" t="s">
        <v>6323</v>
      </c>
      <c r="K6" s="93" t="s">
        <v>6390</v>
      </c>
    </row>
    <row r="7" spans="1:11" x14ac:dyDescent="0.35">
      <c r="A7" t="s">
        <v>6378</v>
      </c>
      <c r="B7">
        <v>73</v>
      </c>
      <c r="C7">
        <v>51</v>
      </c>
      <c r="D7" s="20">
        <v>2022</v>
      </c>
      <c r="E7" s="95">
        <f>AVERAGE(I7*(1.06)^-2,I7*(1.06)^-1,I7)</f>
        <v>80711.995161979357</v>
      </c>
      <c r="F7">
        <f>0.025*E7*F2+0.005*E7*F2</f>
        <v>33238.667098524224</v>
      </c>
      <c r="G7">
        <v>74726.423999999999</v>
      </c>
      <c r="H7">
        <f>G7+F7</f>
        <v>107965.09109852422</v>
      </c>
      <c r="I7">
        <v>85457.97</v>
      </c>
      <c r="J7">
        <f>H7/I7</f>
        <v>1.2633706499057282</v>
      </c>
      <c r="K7">
        <f t="shared" ref="K7:K8" si="0">H7/E7</f>
        <v>1.3376585584565361</v>
      </c>
    </row>
    <row r="8" spans="1:11" x14ac:dyDescent="0.35">
      <c r="D8" s="20"/>
      <c r="E8" s="95"/>
    </row>
    <row r="9" spans="1:11" x14ac:dyDescent="0.35">
      <c r="B9">
        <v>97</v>
      </c>
      <c r="C9">
        <v>31</v>
      </c>
      <c r="D9" s="20">
        <v>2031</v>
      </c>
      <c r="E9" s="95">
        <f>AVERAGE(I9*(1.06)^-2,I9*(1.06)^-1,I9)</f>
        <v>108677.56940459309</v>
      </c>
      <c r="F9">
        <f>0.025*E9*25+0.005*E9*25</f>
        <v>81508.177053444815</v>
      </c>
      <c r="G9" s="69">
        <v>13097.708079328861</v>
      </c>
      <c r="H9">
        <f t="shared" ref="H8:H9" si="1">G9+F9</f>
        <v>94605.885132773677</v>
      </c>
      <c r="I9">
        <v>115067.95795608821</v>
      </c>
      <c r="J9">
        <f t="shared" ref="J8:J9" si="2">H9/I9</f>
        <v>0.82217401623549113</v>
      </c>
      <c r="K9">
        <f>H9/E9</f>
        <v>0.87051896404277984</v>
      </c>
    </row>
    <row r="12" spans="1:11" x14ac:dyDescent="0.35">
      <c r="A12" s="82"/>
      <c r="B12" s="82"/>
      <c r="C12" s="82"/>
      <c r="D12" s="8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5</vt:i4>
      </vt:variant>
    </vt:vector>
  </HeadingPairs>
  <TitlesOfParts>
    <vt:vector size="16" baseType="lpstr">
      <vt:lpstr>Activos 2022</vt:lpstr>
      <vt:lpstr>Bajas 2022</vt:lpstr>
      <vt:lpstr>Activos 2021</vt:lpstr>
      <vt:lpstr>Bajas 2021</vt:lpstr>
      <vt:lpstr>Activos 2020</vt:lpstr>
      <vt:lpstr>73 0 97</vt:lpstr>
      <vt:lpstr>73</vt:lpstr>
      <vt:lpstr>CBIA</vt:lpstr>
      <vt:lpstr>97</vt:lpstr>
      <vt:lpstr>Plan de pensiones</vt:lpstr>
      <vt:lpstr>Simulación</vt:lpstr>
      <vt:lpstr>'Activos 2020'!Área_de_impresión</vt:lpstr>
      <vt:lpstr>'Activos 2021'!Área_de_impresión</vt:lpstr>
      <vt:lpstr>'Activos 2022'!Área_de_impresión</vt:lpstr>
      <vt:lpstr>'Bajas 2021'!Área_de_impresión</vt:lpstr>
      <vt:lpstr>'Bajas 2022'!Área_de_impresión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Gómez</dc:creator>
  <cp:lastModifiedBy>usuario1</cp:lastModifiedBy>
  <dcterms:created xsi:type="dcterms:W3CDTF">2022-10-22T04:42:43Z</dcterms:created>
  <dcterms:modified xsi:type="dcterms:W3CDTF">2023-03-26T05:55:41Z</dcterms:modified>
</cp:coreProperties>
</file>